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166925"/>
  <mc:AlternateContent xmlns:mc="http://schemas.openxmlformats.org/markup-compatibility/2006">
    <mc:Choice Requires="x15">
      <x15ac:absPath xmlns:x15ac="http://schemas.microsoft.com/office/spreadsheetml/2010/11/ac" url="D:\DATA ANALYTICS\Data Analytics- EXCEL\Northwind Project\New folder\"/>
    </mc:Choice>
  </mc:AlternateContent>
  <xr:revisionPtr revIDLastSave="0" documentId="13_ncr:1_{FC3969B5-C2B2-427F-832A-CAA29D30C5A7}" xr6:coauthVersionLast="47" xr6:coauthVersionMax="47" xr10:uidLastSave="{00000000-0000-0000-0000-000000000000}"/>
  <bookViews>
    <workbookView xWindow="-108" yWindow="-108" windowWidth="23256" windowHeight="12456" activeTab="1" xr2:uid="{79832A75-B4A7-4C81-9F7F-807A8F845E68}"/>
  </bookViews>
  <sheets>
    <sheet name="Consilidated Sheet" sheetId="1" r:id="rId1"/>
    <sheet name="Dashboard" sheetId="7" r:id="rId2"/>
    <sheet name="Inferences" sheetId="8" r:id="rId3"/>
  </sheets>
  <externalReferences>
    <externalReference r:id="rId4"/>
  </externalReferences>
  <definedNames>
    <definedName name="NativeTimeline_OrderDate">#N/A</definedName>
  </definedNames>
  <calcPr calcId="191029"/>
  <pivotCaches>
    <pivotCache cacheId="0" r:id="rId5"/>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2" i="1"/>
  <c r="M255" i="1"/>
  <c r="L3" i="1"/>
  <c r="N3" i="1" s="1"/>
  <c r="O3" i="1" s="1"/>
  <c r="L4" i="1"/>
  <c r="L5" i="1"/>
  <c r="L6" i="1"/>
  <c r="L7" i="1"/>
  <c r="L8" i="1"/>
  <c r="L9" i="1"/>
  <c r="L10" i="1"/>
  <c r="L11" i="1"/>
  <c r="L12" i="1"/>
  <c r="L13" i="1"/>
  <c r="N13" i="1" s="1"/>
  <c r="O13" i="1" s="1"/>
  <c r="L14" i="1"/>
  <c r="L15" i="1"/>
  <c r="L16" i="1"/>
  <c r="L17" i="1"/>
  <c r="L18" i="1"/>
  <c r="L19" i="1"/>
  <c r="L20" i="1"/>
  <c r="L21" i="1"/>
  <c r="L22" i="1"/>
  <c r="L23" i="1"/>
  <c r="N23" i="1" s="1"/>
  <c r="O23" i="1" s="1"/>
  <c r="L24" i="1"/>
  <c r="L25" i="1"/>
  <c r="L26" i="1"/>
  <c r="L27" i="1"/>
  <c r="L28" i="1"/>
  <c r="L29" i="1"/>
  <c r="L30" i="1"/>
  <c r="L31" i="1"/>
  <c r="L32" i="1"/>
  <c r="L33" i="1"/>
  <c r="L34" i="1"/>
  <c r="L35" i="1"/>
  <c r="L36" i="1"/>
  <c r="L37" i="1"/>
  <c r="L38" i="1"/>
  <c r="L39" i="1"/>
  <c r="N39" i="1" s="1"/>
  <c r="O39" i="1" s="1"/>
  <c r="L40" i="1"/>
  <c r="L41" i="1"/>
  <c r="L42" i="1"/>
  <c r="L43" i="1"/>
  <c r="L44" i="1"/>
  <c r="L45" i="1"/>
  <c r="M45" i="1" s="1"/>
  <c r="L46" i="1"/>
  <c r="L47" i="1"/>
  <c r="N47" i="1" s="1"/>
  <c r="O47" i="1" s="1"/>
  <c r="L48" i="1"/>
  <c r="L49" i="1"/>
  <c r="L50" i="1"/>
  <c r="L51" i="1"/>
  <c r="L52" i="1"/>
  <c r="L53" i="1"/>
  <c r="L54" i="1"/>
  <c r="L55" i="1"/>
  <c r="N55" i="1" s="1"/>
  <c r="O55" i="1" s="1"/>
  <c r="L56" i="1"/>
  <c r="L57" i="1"/>
  <c r="L58" i="1"/>
  <c r="L59" i="1"/>
  <c r="L60" i="1"/>
  <c r="L61" i="1"/>
  <c r="L62" i="1"/>
  <c r="L63" i="1"/>
  <c r="L64" i="1"/>
  <c r="L65" i="1"/>
  <c r="L66" i="1"/>
  <c r="L67" i="1"/>
  <c r="L68" i="1"/>
  <c r="L69" i="1"/>
  <c r="L70" i="1"/>
  <c r="L71" i="1"/>
  <c r="N71" i="1" s="1"/>
  <c r="O71" i="1" s="1"/>
  <c r="L72" i="1"/>
  <c r="L73" i="1"/>
  <c r="L74" i="1"/>
  <c r="L75" i="1"/>
  <c r="L76" i="1"/>
  <c r="L77" i="1"/>
  <c r="M77" i="1" s="1"/>
  <c r="L78" i="1"/>
  <c r="L79" i="1"/>
  <c r="N79" i="1" s="1"/>
  <c r="O79" i="1" s="1"/>
  <c r="L80" i="1"/>
  <c r="L81" i="1"/>
  <c r="L82" i="1"/>
  <c r="L83" i="1"/>
  <c r="L84" i="1"/>
  <c r="L85" i="1"/>
  <c r="L86" i="1"/>
  <c r="L87" i="1"/>
  <c r="N87" i="1" s="1"/>
  <c r="O87" i="1" s="1"/>
  <c r="L88" i="1"/>
  <c r="L89" i="1"/>
  <c r="L90" i="1"/>
  <c r="L91" i="1"/>
  <c r="L92" i="1"/>
  <c r="L93" i="1"/>
  <c r="L94" i="1"/>
  <c r="L95" i="1"/>
  <c r="L96" i="1"/>
  <c r="L97" i="1"/>
  <c r="L98" i="1"/>
  <c r="L99" i="1"/>
  <c r="L100" i="1"/>
  <c r="L101" i="1"/>
  <c r="L102" i="1"/>
  <c r="L103" i="1"/>
  <c r="N103" i="1" s="1"/>
  <c r="O103" i="1" s="1"/>
  <c r="L104" i="1"/>
  <c r="L105" i="1"/>
  <c r="L106" i="1"/>
  <c r="L107" i="1"/>
  <c r="L108" i="1"/>
  <c r="L109" i="1"/>
  <c r="M109" i="1" s="1"/>
  <c r="L110" i="1"/>
  <c r="L111" i="1"/>
  <c r="N111" i="1" s="1"/>
  <c r="O111" i="1" s="1"/>
  <c r="L112" i="1"/>
  <c r="L113" i="1"/>
  <c r="L114" i="1"/>
  <c r="L115" i="1"/>
  <c r="L116" i="1"/>
  <c r="L117" i="1"/>
  <c r="L118" i="1"/>
  <c r="L119" i="1"/>
  <c r="N119" i="1" s="1"/>
  <c r="O119" i="1" s="1"/>
  <c r="L120" i="1"/>
  <c r="L121" i="1"/>
  <c r="L122" i="1"/>
  <c r="L123" i="1"/>
  <c r="L124" i="1"/>
  <c r="L125" i="1"/>
  <c r="M125" i="1" s="1"/>
  <c r="L126" i="1"/>
  <c r="L127" i="1"/>
  <c r="N127" i="1" s="1"/>
  <c r="O127" i="1" s="1"/>
  <c r="L128" i="1"/>
  <c r="L129" i="1"/>
  <c r="L130" i="1"/>
  <c r="L131" i="1"/>
  <c r="L132" i="1"/>
  <c r="L133" i="1"/>
  <c r="L134" i="1"/>
  <c r="L135" i="1"/>
  <c r="N135" i="1" s="1"/>
  <c r="O135" i="1" s="1"/>
  <c r="L136" i="1"/>
  <c r="L137" i="1"/>
  <c r="L138" i="1"/>
  <c r="L139" i="1"/>
  <c r="L140" i="1"/>
  <c r="L141" i="1"/>
  <c r="M141" i="1" s="1"/>
  <c r="L142" i="1"/>
  <c r="L143" i="1"/>
  <c r="N143" i="1" s="1"/>
  <c r="O143" i="1" s="1"/>
  <c r="L144" i="1"/>
  <c r="L145" i="1"/>
  <c r="L146" i="1"/>
  <c r="L147" i="1"/>
  <c r="L148" i="1"/>
  <c r="L149" i="1"/>
  <c r="L150" i="1"/>
  <c r="L151" i="1"/>
  <c r="N151" i="1" s="1"/>
  <c r="O151" i="1" s="1"/>
  <c r="L152" i="1"/>
  <c r="L153" i="1"/>
  <c r="L154" i="1"/>
  <c r="L155" i="1"/>
  <c r="L156" i="1"/>
  <c r="L157" i="1"/>
  <c r="M157" i="1" s="1"/>
  <c r="L158" i="1"/>
  <c r="L159" i="1"/>
  <c r="L160" i="1"/>
  <c r="L161" i="1"/>
  <c r="L162" i="1"/>
  <c r="L163" i="1"/>
  <c r="L164" i="1"/>
  <c r="L165" i="1"/>
  <c r="L166" i="1"/>
  <c r="L167" i="1"/>
  <c r="N167" i="1" s="1"/>
  <c r="O167" i="1" s="1"/>
  <c r="L168" i="1"/>
  <c r="L169" i="1"/>
  <c r="L170" i="1"/>
  <c r="L171" i="1"/>
  <c r="L172" i="1"/>
  <c r="L173" i="1"/>
  <c r="L174" i="1"/>
  <c r="L175" i="1"/>
  <c r="N175" i="1" s="1"/>
  <c r="O175" i="1" s="1"/>
  <c r="L176" i="1"/>
  <c r="L177" i="1"/>
  <c r="L178" i="1"/>
  <c r="L179" i="1"/>
  <c r="L180" i="1"/>
  <c r="L181" i="1"/>
  <c r="L182" i="1"/>
  <c r="L183" i="1"/>
  <c r="N183" i="1" s="1"/>
  <c r="O183" i="1" s="1"/>
  <c r="L184" i="1"/>
  <c r="L185" i="1"/>
  <c r="L186" i="1"/>
  <c r="L187" i="1"/>
  <c r="L188" i="1"/>
  <c r="L189" i="1"/>
  <c r="M189" i="1" s="1"/>
  <c r="L190" i="1"/>
  <c r="L191" i="1"/>
  <c r="L192" i="1"/>
  <c r="L193" i="1"/>
  <c r="L194" i="1"/>
  <c r="L195" i="1"/>
  <c r="L196" i="1"/>
  <c r="L197" i="1"/>
  <c r="L198" i="1"/>
  <c r="L199" i="1"/>
  <c r="N199" i="1" s="1"/>
  <c r="O199" i="1" s="1"/>
  <c r="L200" i="1"/>
  <c r="L201" i="1"/>
  <c r="L202" i="1"/>
  <c r="L203" i="1"/>
  <c r="L204" i="1"/>
  <c r="L205" i="1"/>
  <c r="M205" i="1" s="1"/>
  <c r="L206" i="1"/>
  <c r="L207" i="1"/>
  <c r="N207" i="1" s="1"/>
  <c r="O207" i="1" s="1"/>
  <c r="L208" i="1"/>
  <c r="L209" i="1"/>
  <c r="L210" i="1"/>
  <c r="L211" i="1"/>
  <c r="L212" i="1"/>
  <c r="L213" i="1"/>
  <c r="L214" i="1"/>
  <c r="L215" i="1"/>
  <c r="N215" i="1" s="1"/>
  <c r="O215" i="1" s="1"/>
  <c r="L216" i="1"/>
  <c r="L217" i="1"/>
  <c r="L218" i="1"/>
  <c r="L219" i="1"/>
  <c r="L220" i="1"/>
  <c r="L221" i="1"/>
  <c r="M221" i="1" s="1"/>
  <c r="L222" i="1"/>
  <c r="L223" i="1"/>
  <c r="L224" i="1"/>
  <c r="L225" i="1"/>
  <c r="L226" i="1"/>
  <c r="L227" i="1"/>
  <c r="L228" i="1"/>
  <c r="L229" i="1"/>
  <c r="L230" i="1"/>
  <c r="L231" i="1"/>
  <c r="N231" i="1" s="1"/>
  <c r="O231" i="1" s="1"/>
  <c r="L232" i="1"/>
  <c r="L233" i="1"/>
  <c r="L234" i="1"/>
  <c r="L235" i="1"/>
  <c r="L236" i="1"/>
  <c r="L237" i="1"/>
  <c r="M237" i="1" s="1"/>
  <c r="L238" i="1"/>
  <c r="L239" i="1"/>
  <c r="N239" i="1" s="1"/>
  <c r="O239" i="1" s="1"/>
  <c r="L240" i="1"/>
  <c r="L241" i="1"/>
  <c r="L242" i="1"/>
  <c r="L243" i="1"/>
  <c r="L244" i="1"/>
  <c r="L245" i="1"/>
  <c r="L246" i="1"/>
  <c r="L247" i="1"/>
  <c r="N247" i="1" s="1"/>
  <c r="O247" i="1" s="1"/>
  <c r="L248" i="1"/>
  <c r="L249" i="1"/>
  <c r="L250" i="1"/>
  <c r="L251" i="1"/>
  <c r="L252" i="1"/>
  <c r="L253" i="1"/>
  <c r="M253" i="1" s="1"/>
  <c r="L254" i="1"/>
  <c r="L255" i="1"/>
  <c r="N255" i="1" s="1"/>
  <c r="O255" i="1" s="1"/>
  <c r="L256" i="1"/>
  <c r="L257" i="1"/>
  <c r="L258" i="1"/>
  <c r="L259" i="1"/>
  <c r="L260" i="1"/>
  <c r="L261" i="1"/>
  <c r="L262" i="1"/>
  <c r="L263" i="1"/>
  <c r="N263" i="1" s="1"/>
  <c r="O263" i="1" s="1"/>
  <c r="L264" i="1"/>
  <c r="L265" i="1"/>
  <c r="L266" i="1"/>
  <c r="L267" i="1"/>
  <c r="L268" i="1"/>
  <c r="L269" i="1"/>
  <c r="M269" i="1" s="1"/>
  <c r="L270" i="1"/>
  <c r="L271" i="1"/>
  <c r="N271" i="1" s="1"/>
  <c r="O271" i="1" s="1"/>
  <c r="L272" i="1"/>
  <c r="L273" i="1"/>
  <c r="L274" i="1"/>
  <c r="L275" i="1"/>
  <c r="L276" i="1"/>
  <c r="L277" i="1"/>
  <c r="L278" i="1"/>
  <c r="L279" i="1"/>
  <c r="N279" i="1" s="1"/>
  <c r="O279" i="1" s="1"/>
  <c r="L280" i="1"/>
  <c r="L281" i="1"/>
  <c r="L282" i="1"/>
  <c r="L283" i="1"/>
  <c r="L284" i="1"/>
  <c r="L285" i="1"/>
  <c r="M285" i="1" s="1"/>
  <c r="L286" i="1"/>
  <c r="L287" i="1"/>
  <c r="L288" i="1"/>
  <c r="L289" i="1"/>
  <c r="L290" i="1"/>
  <c r="L291" i="1"/>
  <c r="L292" i="1"/>
  <c r="L293" i="1"/>
  <c r="L294" i="1"/>
  <c r="L295" i="1"/>
  <c r="N295" i="1" s="1"/>
  <c r="O295" i="1" s="1"/>
  <c r="L296" i="1"/>
  <c r="L297" i="1"/>
  <c r="L298" i="1"/>
  <c r="L299" i="1"/>
  <c r="L300" i="1"/>
  <c r="L301" i="1"/>
  <c r="M301" i="1" s="1"/>
  <c r="L302" i="1"/>
  <c r="L303" i="1"/>
  <c r="N303" i="1" s="1"/>
  <c r="O303" i="1" s="1"/>
  <c r="L304" i="1"/>
  <c r="L305" i="1"/>
  <c r="L306" i="1"/>
  <c r="N306" i="1" s="1"/>
  <c r="O306" i="1" s="1"/>
  <c r="L307" i="1"/>
  <c r="L308" i="1"/>
  <c r="L309" i="1"/>
  <c r="L310" i="1"/>
  <c r="N310" i="1" s="1"/>
  <c r="O310" i="1" s="1"/>
  <c r="L311" i="1"/>
  <c r="N311" i="1" s="1"/>
  <c r="O311" i="1" s="1"/>
  <c r="L312" i="1"/>
  <c r="L313" i="1"/>
  <c r="L314" i="1"/>
  <c r="N314" i="1" s="1"/>
  <c r="O314" i="1" s="1"/>
  <c r="L315" i="1"/>
  <c r="L316" i="1"/>
  <c r="L317" i="1"/>
  <c r="M317" i="1" s="1"/>
  <c r="L318" i="1"/>
  <c r="N318" i="1" s="1"/>
  <c r="O318" i="1" s="1"/>
  <c r="L319" i="1"/>
  <c r="N319" i="1" s="1"/>
  <c r="O319" i="1" s="1"/>
  <c r="L320" i="1"/>
  <c r="L321" i="1"/>
  <c r="L322" i="1"/>
  <c r="N322" i="1" s="1"/>
  <c r="O322" i="1" s="1"/>
  <c r="L323" i="1"/>
  <c r="N323" i="1" s="1"/>
  <c r="O323" i="1" s="1"/>
  <c r="L324" i="1"/>
  <c r="L325" i="1"/>
  <c r="L326" i="1"/>
  <c r="N326" i="1" s="1"/>
  <c r="O326" i="1" s="1"/>
  <c r="L327" i="1"/>
  <c r="N327" i="1" s="1"/>
  <c r="O327" i="1" s="1"/>
  <c r="L328" i="1"/>
  <c r="L329" i="1"/>
  <c r="L330" i="1"/>
  <c r="N330" i="1" s="1"/>
  <c r="O330" i="1" s="1"/>
  <c r="L331" i="1"/>
  <c r="L332" i="1"/>
  <c r="L333" i="1"/>
  <c r="M333" i="1" s="1"/>
  <c r="L334" i="1"/>
  <c r="N334" i="1" s="1"/>
  <c r="O334" i="1" s="1"/>
  <c r="L335" i="1"/>
  <c r="N335" i="1" s="1"/>
  <c r="O335" i="1" s="1"/>
  <c r="L336" i="1"/>
  <c r="L337" i="1"/>
  <c r="L338" i="1"/>
  <c r="N338" i="1" s="1"/>
  <c r="O338" i="1" s="1"/>
  <c r="L339" i="1"/>
  <c r="L340" i="1"/>
  <c r="L341" i="1"/>
  <c r="L342" i="1"/>
  <c r="N342" i="1" s="1"/>
  <c r="O342" i="1" s="1"/>
  <c r="L343" i="1"/>
  <c r="N343" i="1" s="1"/>
  <c r="O343" i="1" s="1"/>
  <c r="L344" i="1"/>
  <c r="L345" i="1"/>
  <c r="L346" i="1"/>
  <c r="N346" i="1" s="1"/>
  <c r="O346" i="1" s="1"/>
  <c r="L347" i="1"/>
  <c r="L348" i="1"/>
  <c r="L349" i="1"/>
  <c r="M349" i="1" s="1"/>
  <c r="L350" i="1"/>
  <c r="N350" i="1" s="1"/>
  <c r="O350" i="1" s="1"/>
  <c r="L351" i="1"/>
  <c r="N351" i="1" s="1"/>
  <c r="O351" i="1" s="1"/>
  <c r="L352" i="1"/>
  <c r="L353" i="1"/>
  <c r="L354" i="1"/>
  <c r="N354" i="1" s="1"/>
  <c r="O354" i="1" s="1"/>
  <c r="L355" i="1"/>
  <c r="N355" i="1" s="1"/>
  <c r="O355" i="1" s="1"/>
  <c r="L356" i="1"/>
  <c r="L357" i="1"/>
  <c r="L358" i="1"/>
  <c r="N358" i="1" s="1"/>
  <c r="O358" i="1" s="1"/>
  <c r="L359" i="1"/>
  <c r="N359" i="1" s="1"/>
  <c r="O359" i="1" s="1"/>
  <c r="L360" i="1"/>
  <c r="L361" i="1"/>
  <c r="L362" i="1"/>
  <c r="N362" i="1" s="1"/>
  <c r="O362" i="1" s="1"/>
  <c r="L363" i="1"/>
  <c r="L364" i="1"/>
  <c r="L365" i="1"/>
  <c r="M365" i="1" s="1"/>
  <c r="L366" i="1"/>
  <c r="N366" i="1" s="1"/>
  <c r="O366" i="1" s="1"/>
  <c r="L367" i="1"/>
  <c r="N367" i="1" s="1"/>
  <c r="O367" i="1" s="1"/>
  <c r="L368" i="1"/>
  <c r="L369" i="1"/>
  <c r="L370" i="1"/>
  <c r="N370" i="1" s="1"/>
  <c r="O370" i="1" s="1"/>
  <c r="L371" i="1"/>
  <c r="L372" i="1"/>
  <c r="L373" i="1"/>
  <c r="L374" i="1"/>
  <c r="N374" i="1" s="1"/>
  <c r="O374" i="1" s="1"/>
  <c r="L375" i="1"/>
  <c r="N375" i="1" s="1"/>
  <c r="O375" i="1" s="1"/>
  <c r="L376" i="1"/>
  <c r="L377" i="1"/>
  <c r="L378" i="1"/>
  <c r="N378" i="1" s="1"/>
  <c r="O378" i="1" s="1"/>
  <c r="L379" i="1"/>
  <c r="L380" i="1"/>
  <c r="L381" i="1"/>
  <c r="M381" i="1" s="1"/>
  <c r="L382" i="1"/>
  <c r="N382" i="1" s="1"/>
  <c r="O382" i="1" s="1"/>
  <c r="L383" i="1"/>
  <c r="N383" i="1" s="1"/>
  <c r="O383" i="1" s="1"/>
  <c r="L384" i="1"/>
  <c r="L385" i="1"/>
  <c r="L386" i="1"/>
  <c r="N386" i="1" s="1"/>
  <c r="O386" i="1" s="1"/>
  <c r="L387" i="1"/>
  <c r="N387" i="1" s="1"/>
  <c r="O387" i="1" s="1"/>
  <c r="L388" i="1"/>
  <c r="L389" i="1"/>
  <c r="L390" i="1"/>
  <c r="N390" i="1" s="1"/>
  <c r="O390" i="1" s="1"/>
  <c r="L391" i="1"/>
  <c r="N391" i="1" s="1"/>
  <c r="O391" i="1" s="1"/>
  <c r="L392" i="1"/>
  <c r="L393" i="1"/>
  <c r="L394" i="1"/>
  <c r="N394" i="1" s="1"/>
  <c r="O394" i="1" s="1"/>
  <c r="L395" i="1"/>
  <c r="L396" i="1"/>
  <c r="L397" i="1"/>
  <c r="M397" i="1" s="1"/>
  <c r="L398" i="1"/>
  <c r="N398" i="1" s="1"/>
  <c r="O398" i="1" s="1"/>
  <c r="L399" i="1"/>
  <c r="N399" i="1" s="1"/>
  <c r="O399" i="1" s="1"/>
  <c r="L400" i="1"/>
  <c r="L401" i="1"/>
  <c r="L402" i="1"/>
  <c r="N402" i="1" s="1"/>
  <c r="O402" i="1" s="1"/>
  <c r="L403" i="1"/>
  <c r="L404" i="1"/>
  <c r="L405" i="1"/>
  <c r="L406" i="1"/>
  <c r="N406" i="1" s="1"/>
  <c r="O406" i="1" s="1"/>
  <c r="L407" i="1"/>
  <c r="N407" i="1" s="1"/>
  <c r="O407" i="1" s="1"/>
  <c r="L408" i="1"/>
  <c r="L409" i="1"/>
  <c r="L410" i="1"/>
  <c r="N410" i="1" s="1"/>
  <c r="O410" i="1" s="1"/>
  <c r="L411" i="1"/>
  <c r="L412" i="1"/>
  <c r="L413" i="1"/>
  <c r="M413" i="1" s="1"/>
  <c r="L414" i="1"/>
  <c r="N414" i="1" s="1"/>
  <c r="O414" i="1" s="1"/>
  <c r="L415" i="1"/>
  <c r="N415" i="1" s="1"/>
  <c r="O415" i="1" s="1"/>
  <c r="L416" i="1"/>
  <c r="L417" i="1"/>
  <c r="L418" i="1"/>
  <c r="N418" i="1" s="1"/>
  <c r="O418" i="1" s="1"/>
  <c r="L419" i="1"/>
  <c r="N419" i="1" s="1"/>
  <c r="O419" i="1" s="1"/>
  <c r="L420" i="1"/>
  <c r="L421" i="1"/>
  <c r="L422" i="1"/>
  <c r="N422" i="1" s="1"/>
  <c r="O422" i="1" s="1"/>
  <c r="L423" i="1"/>
  <c r="N423" i="1" s="1"/>
  <c r="O423" i="1" s="1"/>
  <c r="L424" i="1"/>
  <c r="L425" i="1"/>
  <c r="L426" i="1"/>
  <c r="N426" i="1" s="1"/>
  <c r="O426" i="1" s="1"/>
  <c r="L427" i="1"/>
  <c r="L428" i="1"/>
  <c r="L429" i="1"/>
  <c r="M429" i="1" s="1"/>
  <c r="L430" i="1"/>
  <c r="N430" i="1" s="1"/>
  <c r="O430" i="1" s="1"/>
  <c r="L431" i="1"/>
  <c r="N431" i="1" s="1"/>
  <c r="O431" i="1" s="1"/>
  <c r="L432" i="1"/>
  <c r="L433" i="1"/>
  <c r="L434" i="1"/>
  <c r="N434" i="1" s="1"/>
  <c r="O434" i="1" s="1"/>
  <c r="L435" i="1"/>
  <c r="L436" i="1"/>
  <c r="L437" i="1"/>
  <c r="L438" i="1"/>
  <c r="N438" i="1" s="1"/>
  <c r="O438" i="1" s="1"/>
  <c r="L439" i="1"/>
  <c r="N439" i="1" s="1"/>
  <c r="O439" i="1" s="1"/>
  <c r="L440" i="1"/>
  <c r="L441" i="1"/>
  <c r="L442" i="1"/>
  <c r="N442" i="1" s="1"/>
  <c r="O442" i="1" s="1"/>
  <c r="L443" i="1"/>
  <c r="L444" i="1"/>
  <c r="L445" i="1"/>
  <c r="M445" i="1" s="1"/>
  <c r="L446" i="1"/>
  <c r="N446" i="1" s="1"/>
  <c r="O446" i="1" s="1"/>
  <c r="L447" i="1"/>
  <c r="N447" i="1" s="1"/>
  <c r="O447" i="1" s="1"/>
  <c r="L448" i="1"/>
  <c r="L449" i="1"/>
  <c r="L450" i="1"/>
  <c r="N450" i="1" s="1"/>
  <c r="O450" i="1" s="1"/>
  <c r="L451" i="1"/>
  <c r="L452" i="1"/>
  <c r="L453" i="1"/>
  <c r="L454" i="1"/>
  <c r="N454" i="1" s="1"/>
  <c r="O454" i="1" s="1"/>
  <c r="L455" i="1"/>
  <c r="N455" i="1" s="1"/>
  <c r="O455" i="1" s="1"/>
  <c r="L456" i="1"/>
  <c r="L457" i="1"/>
  <c r="L458" i="1"/>
  <c r="N458" i="1" s="1"/>
  <c r="O458" i="1" s="1"/>
  <c r="L459" i="1"/>
  <c r="L460" i="1"/>
  <c r="L461" i="1"/>
  <c r="L462" i="1"/>
  <c r="N462" i="1" s="1"/>
  <c r="O462" i="1" s="1"/>
  <c r="L463" i="1"/>
  <c r="N463" i="1" s="1"/>
  <c r="O463" i="1" s="1"/>
  <c r="L464" i="1"/>
  <c r="L465" i="1"/>
  <c r="L466" i="1"/>
  <c r="N466" i="1" s="1"/>
  <c r="O466" i="1" s="1"/>
  <c r="L467" i="1"/>
  <c r="L468" i="1"/>
  <c r="L469" i="1"/>
  <c r="M469" i="1" s="1"/>
  <c r="L470" i="1"/>
  <c r="N470" i="1" s="1"/>
  <c r="O470" i="1" s="1"/>
  <c r="L471" i="1"/>
  <c r="N471" i="1" s="1"/>
  <c r="O471" i="1" s="1"/>
  <c r="L472" i="1"/>
  <c r="L473" i="1"/>
  <c r="L474" i="1"/>
  <c r="N474" i="1" s="1"/>
  <c r="O474" i="1" s="1"/>
  <c r="L475" i="1"/>
  <c r="L476" i="1"/>
  <c r="L477" i="1"/>
  <c r="L478" i="1"/>
  <c r="N478" i="1" s="1"/>
  <c r="O478" i="1" s="1"/>
  <c r="L479" i="1"/>
  <c r="N479" i="1" s="1"/>
  <c r="O479" i="1" s="1"/>
  <c r="L480" i="1"/>
  <c r="L481" i="1"/>
  <c r="M481" i="1" s="1"/>
  <c r="L482" i="1"/>
  <c r="N482" i="1" s="1"/>
  <c r="O482" i="1" s="1"/>
  <c r="L483" i="1"/>
  <c r="L484" i="1"/>
  <c r="L485" i="1"/>
  <c r="L486" i="1"/>
  <c r="N486" i="1" s="1"/>
  <c r="O486" i="1" s="1"/>
  <c r="L487" i="1"/>
  <c r="N487" i="1" s="1"/>
  <c r="O487" i="1" s="1"/>
  <c r="L488" i="1"/>
  <c r="L489" i="1"/>
  <c r="L490" i="1"/>
  <c r="N490" i="1" s="1"/>
  <c r="O490" i="1" s="1"/>
  <c r="L491" i="1"/>
  <c r="L492" i="1"/>
  <c r="L493" i="1"/>
  <c r="L494" i="1"/>
  <c r="N494" i="1" s="1"/>
  <c r="O494" i="1" s="1"/>
  <c r="L495" i="1"/>
  <c r="N495" i="1" s="1"/>
  <c r="O495" i="1" s="1"/>
  <c r="L496" i="1"/>
  <c r="L497" i="1"/>
  <c r="L498" i="1"/>
  <c r="N498" i="1" s="1"/>
  <c r="O498" i="1" s="1"/>
  <c r="L499" i="1"/>
  <c r="L500" i="1"/>
  <c r="L501" i="1"/>
  <c r="M501" i="1" s="1"/>
  <c r="L502" i="1"/>
  <c r="N502" i="1" s="1"/>
  <c r="O502" i="1" s="1"/>
  <c r="L503" i="1"/>
  <c r="N503" i="1" s="1"/>
  <c r="O503" i="1" s="1"/>
  <c r="L504" i="1"/>
  <c r="L505" i="1"/>
  <c r="L506" i="1"/>
  <c r="N506" i="1" s="1"/>
  <c r="O506" i="1" s="1"/>
  <c r="L507" i="1"/>
  <c r="L508" i="1"/>
  <c r="L509" i="1"/>
  <c r="L510" i="1"/>
  <c r="N510" i="1" s="1"/>
  <c r="O510" i="1" s="1"/>
  <c r="L511" i="1"/>
  <c r="N511" i="1" s="1"/>
  <c r="O511" i="1" s="1"/>
  <c r="L512" i="1"/>
  <c r="L513" i="1"/>
  <c r="M513" i="1" s="1"/>
  <c r="L514" i="1"/>
  <c r="N514" i="1" s="1"/>
  <c r="O514" i="1" s="1"/>
  <c r="L515" i="1"/>
  <c r="L516" i="1"/>
  <c r="L517" i="1"/>
  <c r="L518" i="1"/>
  <c r="N518" i="1" s="1"/>
  <c r="O518" i="1" s="1"/>
  <c r="L519" i="1"/>
  <c r="N519" i="1" s="1"/>
  <c r="O519" i="1" s="1"/>
  <c r="L520" i="1"/>
  <c r="L521" i="1"/>
  <c r="L522" i="1"/>
  <c r="N522" i="1" s="1"/>
  <c r="O522" i="1" s="1"/>
  <c r="L523" i="1"/>
  <c r="L524" i="1"/>
  <c r="L525" i="1"/>
  <c r="N525" i="1" s="1"/>
  <c r="O525" i="1" s="1"/>
  <c r="L526" i="1"/>
  <c r="N526" i="1" s="1"/>
  <c r="O526" i="1" s="1"/>
  <c r="L527" i="1"/>
  <c r="N527" i="1" s="1"/>
  <c r="O527" i="1" s="1"/>
  <c r="L528" i="1"/>
  <c r="L529" i="1"/>
  <c r="N529" i="1" s="1"/>
  <c r="O529" i="1" s="1"/>
  <c r="L530" i="1"/>
  <c r="N530" i="1" s="1"/>
  <c r="O530" i="1" s="1"/>
  <c r="L531" i="1"/>
  <c r="N531" i="1" s="1"/>
  <c r="O531" i="1" s="1"/>
  <c r="L532" i="1"/>
  <c r="L533" i="1"/>
  <c r="N533" i="1" s="1"/>
  <c r="O533" i="1" s="1"/>
  <c r="L534" i="1"/>
  <c r="N534" i="1" s="1"/>
  <c r="O534" i="1" s="1"/>
  <c r="L535" i="1"/>
  <c r="N535" i="1" s="1"/>
  <c r="O535" i="1" s="1"/>
  <c r="L536" i="1"/>
  <c r="L537" i="1"/>
  <c r="N537" i="1" s="1"/>
  <c r="O537" i="1" s="1"/>
  <c r="L538" i="1"/>
  <c r="N538" i="1" s="1"/>
  <c r="O538" i="1" s="1"/>
  <c r="L539" i="1"/>
  <c r="N539" i="1" s="1"/>
  <c r="O539" i="1" s="1"/>
  <c r="L540" i="1"/>
  <c r="L541" i="1"/>
  <c r="N541" i="1" s="1"/>
  <c r="O541" i="1" s="1"/>
  <c r="L542" i="1"/>
  <c r="N542" i="1" s="1"/>
  <c r="O542" i="1" s="1"/>
  <c r="L543" i="1"/>
  <c r="N543" i="1" s="1"/>
  <c r="O543" i="1" s="1"/>
  <c r="L544" i="1"/>
  <c r="L545" i="1"/>
  <c r="N545" i="1" s="1"/>
  <c r="O545" i="1" s="1"/>
  <c r="L546" i="1"/>
  <c r="N546" i="1" s="1"/>
  <c r="O546" i="1" s="1"/>
  <c r="L547" i="1"/>
  <c r="N547" i="1" s="1"/>
  <c r="O547" i="1" s="1"/>
  <c r="L548" i="1"/>
  <c r="L549" i="1"/>
  <c r="N549" i="1" s="1"/>
  <c r="O549" i="1" s="1"/>
  <c r="L550" i="1"/>
  <c r="N550" i="1" s="1"/>
  <c r="O550" i="1" s="1"/>
  <c r="L551" i="1"/>
  <c r="N551" i="1" s="1"/>
  <c r="O551" i="1" s="1"/>
  <c r="L552" i="1"/>
  <c r="L553" i="1"/>
  <c r="N553" i="1" s="1"/>
  <c r="O553" i="1" s="1"/>
  <c r="L554" i="1"/>
  <c r="N554" i="1" s="1"/>
  <c r="O554" i="1" s="1"/>
  <c r="L555" i="1"/>
  <c r="L556" i="1"/>
  <c r="L557" i="1"/>
  <c r="N557" i="1" s="1"/>
  <c r="O557" i="1" s="1"/>
  <c r="L558" i="1"/>
  <c r="N558" i="1" s="1"/>
  <c r="O558" i="1" s="1"/>
  <c r="L559" i="1"/>
  <c r="N559" i="1" s="1"/>
  <c r="O559" i="1" s="1"/>
  <c r="L560" i="1"/>
  <c r="L561" i="1"/>
  <c r="L562" i="1"/>
  <c r="N562" i="1" s="1"/>
  <c r="O562" i="1" s="1"/>
  <c r="L563" i="1"/>
  <c r="N563" i="1" s="1"/>
  <c r="O563" i="1" s="1"/>
  <c r="L564" i="1"/>
  <c r="L565" i="1"/>
  <c r="M565" i="1" s="1"/>
  <c r="L566" i="1"/>
  <c r="N566" i="1" s="1"/>
  <c r="O566" i="1" s="1"/>
  <c r="L567" i="1"/>
  <c r="N567" i="1" s="1"/>
  <c r="O567" i="1" s="1"/>
  <c r="L568" i="1"/>
  <c r="L569" i="1"/>
  <c r="N569" i="1" s="1"/>
  <c r="O569" i="1" s="1"/>
  <c r="L570" i="1"/>
  <c r="N570" i="1" s="1"/>
  <c r="O570" i="1" s="1"/>
  <c r="L571" i="1"/>
  <c r="N571" i="1" s="1"/>
  <c r="O571" i="1" s="1"/>
  <c r="L572" i="1"/>
  <c r="L573" i="1"/>
  <c r="N573" i="1" s="1"/>
  <c r="O573" i="1" s="1"/>
  <c r="L574" i="1"/>
  <c r="N574" i="1" s="1"/>
  <c r="O574" i="1" s="1"/>
  <c r="L575" i="1"/>
  <c r="N575" i="1" s="1"/>
  <c r="O575" i="1" s="1"/>
  <c r="L576" i="1"/>
  <c r="L577" i="1"/>
  <c r="N577" i="1" s="1"/>
  <c r="O577" i="1" s="1"/>
  <c r="L578" i="1"/>
  <c r="N578" i="1" s="1"/>
  <c r="O578" i="1" s="1"/>
  <c r="L579" i="1"/>
  <c r="N579" i="1" s="1"/>
  <c r="O579" i="1" s="1"/>
  <c r="L580" i="1"/>
  <c r="L581" i="1"/>
  <c r="N581" i="1" s="1"/>
  <c r="O581" i="1" s="1"/>
  <c r="L582" i="1"/>
  <c r="N582" i="1" s="1"/>
  <c r="O582" i="1" s="1"/>
  <c r="L583" i="1"/>
  <c r="N583" i="1" s="1"/>
  <c r="O583" i="1" s="1"/>
  <c r="L584" i="1"/>
  <c r="L585" i="1"/>
  <c r="N585" i="1" s="1"/>
  <c r="O585" i="1" s="1"/>
  <c r="L586" i="1"/>
  <c r="N586" i="1" s="1"/>
  <c r="O586" i="1" s="1"/>
  <c r="L587" i="1"/>
  <c r="M587" i="1" s="1"/>
  <c r="L588" i="1"/>
  <c r="L589" i="1"/>
  <c r="N589" i="1" s="1"/>
  <c r="O589" i="1" s="1"/>
  <c r="L590" i="1"/>
  <c r="N590" i="1" s="1"/>
  <c r="O590" i="1" s="1"/>
  <c r="L591" i="1"/>
  <c r="N591" i="1" s="1"/>
  <c r="O591" i="1" s="1"/>
  <c r="L592" i="1"/>
  <c r="L593" i="1"/>
  <c r="N593" i="1" s="1"/>
  <c r="O593" i="1" s="1"/>
  <c r="L594" i="1"/>
  <c r="N594" i="1" s="1"/>
  <c r="O594" i="1" s="1"/>
  <c r="L595" i="1"/>
  <c r="N595" i="1" s="1"/>
  <c r="O595" i="1" s="1"/>
  <c r="L596" i="1"/>
  <c r="L597" i="1"/>
  <c r="N597" i="1" s="1"/>
  <c r="O597" i="1" s="1"/>
  <c r="L598" i="1"/>
  <c r="N598" i="1" s="1"/>
  <c r="O598" i="1" s="1"/>
  <c r="L599" i="1"/>
  <c r="N599" i="1" s="1"/>
  <c r="O599" i="1" s="1"/>
  <c r="L600" i="1"/>
  <c r="L601" i="1"/>
  <c r="N601" i="1" s="1"/>
  <c r="O601" i="1" s="1"/>
  <c r="L602" i="1"/>
  <c r="N602" i="1" s="1"/>
  <c r="O602" i="1" s="1"/>
  <c r="L603" i="1"/>
  <c r="N603" i="1" s="1"/>
  <c r="O603" i="1" s="1"/>
  <c r="L604" i="1"/>
  <c r="L605" i="1"/>
  <c r="N605" i="1" s="1"/>
  <c r="O605" i="1" s="1"/>
  <c r="L606" i="1"/>
  <c r="N606" i="1" s="1"/>
  <c r="O606" i="1" s="1"/>
  <c r="L607" i="1"/>
  <c r="N607" i="1" s="1"/>
  <c r="O607" i="1" s="1"/>
  <c r="L608" i="1"/>
  <c r="L609" i="1"/>
  <c r="L610" i="1"/>
  <c r="N610" i="1" s="1"/>
  <c r="O610" i="1" s="1"/>
  <c r="L611" i="1"/>
  <c r="N611" i="1" s="1"/>
  <c r="O611" i="1" s="1"/>
  <c r="L612" i="1"/>
  <c r="L613" i="1"/>
  <c r="N613" i="1" s="1"/>
  <c r="O613" i="1" s="1"/>
  <c r="L614" i="1"/>
  <c r="N614" i="1" s="1"/>
  <c r="O614" i="1" s="1"/>
  <c r="L615" i="1"/>
  <c r="N615" i="1" s="1"/>
  <c r="O615" i="1" s="1"/>
  <c r="L616" i="1"/>
  <c r="L617" i="1"/>
  <c r="N617" i="1" s="1"/>
  <c r="O617" i="1" s="1"/>
  <c r="L618" i="1"/>
  <c r="N618" i="1" s="1"/>
  <c r="O618" i="1" s="1"/>
  <c r="L619" i="1"/>
  <c r="N619" i="1" s="1"/>
  <c r="O619" i="1" s="1"/>
  <c r="L620" i="1"/>
  <c r="L621" i="1"/>
  <c r="N621" i="1" s="1"/>
  <c r="O621" i="1" s="1"/>
  <c r="L622" i="1"/>
  <c r="N622" i="1" s="1"/>
  <c r="O622" i="1" s="1"/>
  <c r="L623" i="1"/>
  <c r="N623" i="1" s="1"/>
  <c r="O623" i="1" s="1"/>
  <c r="L624" i="1"/>
  <c r="L625" i="1"/>
  <c r="N625" i="1" s="1"/>
  <c r="O625" i="1" s="1"/>
  <c r="L626" i="1"/>
  <c r="N626" i="1" s="1"/>
  <c r="O626" i="1" s="1"/>
  <c r="L627" i="1"/>
  <c r="N627" i="1" s="1"/>
  <c r="O627" i="1" s="1"/>
  <c r="L628" i="1"/>
  <c r="L629" i="1"/>
  <c r="N629" i="1" s="1"/>
  <c r="O629" i="1" s="1"/>
  <c r="L630" i="1"/>
  <c r="N630" i="1" s="1"/>
  <c r="O630" i="1" s="1"/>
  <c r="L631" i="1"/>
  <c r="N631" i="1" s="1"/>
  <c r="O631" i="1" s="1"/>
  <c r="L632" i="1"/>
  <c r="L633" i="1"/>
  <c r="N633" i="1" s="1"/>
  <c r="O633" i="1" s="1"/>
  <c r="L634" i="1"/>
  <c r="N634" i="1" s="1"/>
  <c r="O634" i="1" s="1"/>
  <c r="L635" i="1"/>
  <c r="N635" i="1" s="1"/>
  <c r="O635" i="1" s="1"/>
  <c r="L636" i="1"/>
  <c r="L637" i="1"/>
  <c r="N637" i="1" s="1"/>
  <c r="O637" i="1" s="1"/>
  <c r="L638" i="1"/>
  <c r="N638" i="1" s="1"/>
  <c r="O638" i="1" s="1"/>
  <c r="L639" i="1"/>
  <c r="N639" i="1" s="1"/>
  <c r="O639" i="1" s="1"/>
  <c r="L640" i="1"/>
  <c r="L641" i="1"/>
  <c r="N641" i="1" s="1"/>
  <c r="O641" i="1" s="1"/>
  <c r="L642" i="1"/>
  <c r="N642" i="1" s="1"/>
  <c r="O642" i="1" s="1"/>
  <c r="L643" i="1"/>
  <c r="N643" i="1" s="1"/>
  <c r="O643" i="1" s="1"/>
  <c r="L644" i="1"/>
  <c r="L645" i="1"/>
  <c r="N645" i="1" s="1"/>
  <c r="O645" i="1" s="1"/>
  <c r="L646" i="1"/>
  <c r="N646" i="1" s="1"/>
  <c r="O646" i="1" s="1"/>
  <c r="L647" i="1"/>
  <c r="N647" i="1" s="1"/>
  <c r="O647" i="1" s="1"/>
  <c r="L648" i="1"/>
  <c r="L649" i="1"/>
  <c r="N649" i="1" s="1"/>
  <c r="O649" i="1" s="1"/>
  <c r="L650" i="1"/>
  <c r="N650" i="1" s="1"/>
  <c r="O650" i="1" s="1"/>
  <c r="L651" i="1"/>
  <c r="L652" i="1"/>
  <c r="L653" i="1"/>
  <c r="N653" i="1" s="1"/>
  <c r="O653" i="1" s="1"/>
  <c r="L654" i="1"/>
  <c r="N654" i="1" s="1"/>
  <c r="O654" i="1" s="1"/>
  <c r="L655" i="1"/>
  <c r="N655" i="1" s="1"/>
  <c r="O655" i="1" s="1"/>
  <c r="L656" i="1"/>
  <c r="L657" i="1"/>
  <c r="N657" i="1" s="1"/>
  <c r="O657" i="1" s="1"/>
  <c r="L658" i="1"/>
  <c r="N658" i="1" s="1"/>
  <c r="O658" i="1" s="1"/>
  <c r="L659" i="1"/>
  <c r="N659" i="1" s="1"/>
  <c r="O659" i="1" s="1"/>
  <c r="L660" i="1"/>
  <c r="L661" i="1"/>
  <c r="N661" i="1" s="1"/>
  <c r="O661" i="1" s="1"/>
  <c r="L662" i="1"/>
  <c r="N662" i="1" s="1"/>
  <c r="O662" i="1" s="1"/>
  <c r="L663" i="1"/>
  <c r="N663" i="1" s="1"/>
  <c r="O663" i="1" s="1"/>
  <c r="L664" i="1"/>
  <c r="L665" i="1"/>
  <c r="N665" i="1" s="1"/>
  <c r="O665" i="1" s="1"/>
  <c r="L666" i="1"/>
  <c r="N666" i="1" s="1"/>
  <c r="O666" i="1" s="1"/>
  <c r="L667" i="1"/>
  <c r="N667" i="1" s="1"/>
  <c r="O667" i="1" s="1"/>
  <c r="L668" i="1"/>
  <c r="L669" i="1"/>
  <c r="N669" i="1" s="1"/>
  <c r="O669" i="1" s="1"/>
  <c r="L670" i="1"/>
  <c r="N670" i="1" s="1"/>
  <c r="O670" i="1" s="1"/>
  <c r="L671" i="1"/>
  <c r="N671" i="1" s="1"/>
  <c r="O671" i="1" s="1"/>
  <c r="L672" i="1"/>
  <c r="L673" i="1"/>
  <c r="N673" i="1" s="1"/>
  <c r="O673" i="1" s="1"/>
  <c r="L674" i="1"/>
  <c r="N674" i="1" s="1"/>
  <c r="O674" i="1" s="1"/>
  <c r="L675" i="1"/>
  <c r="N675" i="1" s="1"/>
  <c r="O675" i="1" s="1"/>
  <c r="L676" i="1"/>
  <c r="L677" i="1"/>
  <c r="N677" i="1" s="1"/>
  <c r="O677" i="1" s="1"/>
  <c r="L678" i="1"/>
  <c r="N678" i="1" s="1"/>
  <c r="O678" i="1" s="1"/>
  <c r="L679" i="1"/>
  <c r="N679" i="1" s="1"/>
  <c r="O679" i="1" s="1"/>
  <c r="L680" i="1"/>
  <c r="L681" i="1"/>
  <c r="N681" i="1" s="1"/>
  <c r="O681" i="1" s="1"/>
  <c r="L682" i="1"/>
  <c r="N682" i="1" s="1"/>
  <c r="O682" i="1" s="1"/>
  <c r="L683" i="1"/>
  <c r="M683" i="1" s="1"/>
  <c r="L684" i="1"/>
  <c r="L685" i="1"/>
  <c r="N685" i="1" s="1"/>
  <c r="O685" i="1" s="1"/>
  <c r="L686" i="1"/>
  <c r="N686" i="1" s="1"/>
  <c r="O686" i="1" s="1"/>
  <c r="L687" i="1"/>
  <c r="N687" i="1" s="1"/>
  <c r="O687" i="1" s="1"/>
  <c r="L688" i="1"/>
  <c r="L689" i="1"/>
  <c r="N689" i="1" s="1"/>
  <c r="O689" i="1" s="1"/>
  <c r="L690" i="1"/>
  <c r="N690" i="1" s="1"/>
  <c r="O690" i="1" s="1"/>
  <c r="L691" i="1"/>
  <c r="N691" i="1" s="1"/>
  <c r="O691" i="1" s="1"/>
  <c r="L692" i="1"/>
  <c r="L693" i="1"/>
  <c r="M693" i="1" s="1"/>
  <c r="L694" i="1"/>
  <c r="N694" i="1" s="1"/>
  <c r="O694" i="1" s="1"/>
  <c r="L695" i="1"/>
  <c r="N695" i="1" s="1"/>
  <c r="O695" i="1" s="1"/>
  <c r="L696" i="1"/>
  <c r="L697" i="1"/>
  <c r="N697" i="1" s="1"/>
  <c r="O697" i="1" s="1"/>
  <c r="L698" i="1"/>
  <c r="N698" i="1" s="1"/>
  <c r="O698" i="1" s="1"/>
  <c r="L699" i="1"/>
  <c r="N699" i="1" s="1"/>
  <c r="O699" i="1" s="1"/>
  <c r="L700" i="1"/>
  <c r="L701" i="1"/>
  <c r="N701" i="1" s="1"/>
  <c r="O701" i="1" s="1"/>
  <c r="L702" i="1"/>
  <c r="N702" i="1" s="1"/>
  <c r="O702" i="1" s="1"/>
  <c r="L703" i="1"/>
  <c r="N703" i="1" s="1"/>
  <c r="O703" i="1" s="1"/>
  <c r="L704" i="1"/>
  <c r="L705" i="1"/>
  <c r="N705" i="1" s="1"/>
  <c r="O705" i="1" s="1"/>
  <c r="L706" i="1"/>
  <c r="N706" i="1" s="1"/>
  <c r="O706" i="1" s="1"/>
  <c r="L707" i="1"/>
  <c r="N707" i="1" s="1"/>
  <c r="O707" i="1" s="1"/>
  <c r="L708" i="1"/>
  <c r="L709" i="1"/>
  <c r="N709" i="1" s="1"/>
  <c r="O709" i="1" s="1"/>
  <c r="L710" i="1"/>
  <c r="N710" i="1" s="1"/>
  <c r="O710" i="1" s="1"/>
  <c r="L711" i="1"/>
  <c r="N711" i="1" s="1"/>
  <c r="O711" i="1" s="1"/>
  <c r="L712" i="1"/>
  <c r="L713" i="1"/>
  <c r="N713" i="1" s="1"/>
  <c r="O713" i="1" s="1"/>
  <c r="L714" i="1"/>
  <c r="N714" i="1" s="1"/>
  <c r="O714" i="1" s="1"/>
  <c r="L715" i="1"/>
  <c r="M715" i="1" s="1"/>
  <c r="L716" i="1"/>
  <c r="L717" i="1"/>
  <c r="N717" i="1" s="1"/>
  <c r="O717" i="1" s="1"/>
  <c r="L718" i="1"/>
  <c r="N718" i="1" s="1"/>
  <c r="O718" i="1" s="1"/>
  <c r="L719" i="1"/>
  <c r="N719" i="1" s="1"/>
  <c r="O719" i="1" s="1"/>
  <c r="L720" i="1"/>
  <c r="L721" i="1"/>
  <c r="N721" i="1" s="1"/>
  <c r="O721" i="1" s="1"/>
  <c r="L722" i="1"/>
  <c r="N722" i="1" s="1"/>
  <c r="O722" i="1" s="1"/>
  <c r="L723" i="1"/>
  <c r="N723" i="1" s="1"/>
  <c r="O723" i="1" s="1"/>
  <c r="L724" i="1"/>
  <c r="L725" i="1"/>
  <c r="N725" i="1" s="1"/>
  <c r="O725" i="1" s="1"/>
  <c r="L726" i="1"/>
  <c r="N726" i="1" s="1"/>
  <c r="O726" i="1" s="1"/>
  <c r="L727" i="1"/>
  <c r="N727" i="1" s="1"/>
  <c r="O727" i="1" s="1"/>
  <c r="L728" i="1"/>
  <c r="L729" i="1"/>
  <c r="N729" i="1" s="1"/>
  <c r="O729" i="1" s="1"/>
  <c r="L730" i="1"/>
  <c r="N730" i="1" s="1"/>
  <c r="O730" i="1" s="1"/>
  <c r="L731" i="1"/>
  <c r="N731" i="1" s="1"/>
  <c r="O731" i="1" s="1"/>
  <c r="L732" i="1"/>
  <c r="L733" i="1"/>
  <c r="N733" i="1" s="1"/>
  <c r="O733" i="1" s="1"/>
  <c r="L734" i="1"/>
  <c r="N734" i="1" s="1"/>
  <c r="O734" i="1" s="1"/>
  <c r="L735" i="1"/>
  <c r="N735" i="1" s="1"/>
  <c r="O735" i="1" s="1"/>
  <c r="L736" i="1"/>
  <c r="L737" i="1"/>
  <c r="M737" i="1" s="1"/>
  <c r="L738" i="1"/>
  <c r="N738" i="1" s="1"/>
  <c r="O738" i="1" s="1"/>
  <c r="L739" i="1"/>
  <c r="N739" i="1" s="1"/>
  <c r="O739" i="1" s="1"/>
  <c r="L740" i="1"/>
  <c r="L741" i="1"/>
  <c r="N741" i="1" s="1"/>
  <c r="O741" i="1" s="1"/>
  <c r="L742" i="1"/>
  <c r="N742" i="1" s="1"/>
  <c r="O742" i="1" s="1"/>
  <c r="L743" i="1"/>
  <c r="N743" i="1" s="1"/>
  <c r="O743" i="1" s="1"/>
  <c r="L744" i="1"/>
  <c r="L745" i="1"/>
  <c r="N745" i="1" s="1"/>
  <c r="O745" i="1" s="1"/>
  <c r="L746" i="1"/>
  <c r="N746" i="1" s="1"/>
  <c r="O746" i="1" s="1"/>
  <c r="L747" i="1"/>
  <c r="N747" i="1" s="1"/>
  <c r="O747" i="1" s="1"/>
  <c r="L748" i="1"/>
  <c r="L749" i="1"/>
  <c r="N749" i="1" s="1"/>
  <c r="O749" i="1" s="1"/>
  <c r="L750" i="1"/>
  <c r="N750" i="1" s="1"/>
  <c r="O750" i="1" s="1"/>
  <c r="L751" i="1"/>
  <c r="N751" i="1" s="1"/>
  <c r="O751" i="1" s="1"/>
  <c r="L752" i="1"/>
  <c r="L753" i="1"/>
  <c r="N753" i="1" s="1"/>
  <c r="O753" i="1" s="1"/>
  <c r="L754" i="1"/>
  <c r="N754" i="1" s="1"/>
  <c r="O754" i="1" s="1"/>
  <c r="L755" i="1"/>
  <c r="N755" i="1" s="1"/>
  <c r="O755" i="1" s="1"/>
  <c r="L756" i="1"/>
  <c r="L757" i="1"/>
  <c r="N757" i="1" s="1"/>
  <c r="O757" i="1" s="1"/>
  <c r="L758" i="1"/>
  <c r="N758" i="1" s="1"/>
  <c r="O758" i="1" s="1"/>
  <c r="L759" i="1"/>
  <c r="N759" i="1" s="1"/>
  <c r="O759" i="1" s="1"/>
  <c r="L760" i="1"/>
  <c r="L761" i="1"/>
  <c r="N761" i="1" s="1"/>
  <c r="O761" i="1" s="1"/>
  <c r="L762" i="1"/>
  <c r="N762" i="1" s="1"/>
  <c r="O762" i="1" s="1"/>
  <c r="L763" i="1"/>
  <c r="L764" i="1"/>
  <c r="L765" i="1"/>
  <c r="N765" i="1" s="1"/>
  <c r="O765" i="1" s="1"/>
  <c r="L766" i="1"/>
  <c r="N766" i="1" s="1"/>
  <c r="O766" i="1" s="1"/>
  <c r="L767" i="1"/>
  <c r="L768" i="1"/>
  <c r="L769" i="1"/>
  <c r="N769" i="1" s="1"/>
  <c r="O769" i="1" s="1"/>
  <c r="L770" i="1"/>
  <c r="N770" i="1" s="1"/>
  <c r="O770" i="1" s="1"/>
  <c r="L771" i="1"/>
  <c r="L772" i="1"/>
  <c r="L773" i="1"/>
  <c r="N773" i="1" s="1"/>
  <c r="O773" i="1" s="1"/>
  <c r="L774" i="1"/>
  <c r="N774" i="1" s="1"/>
  <c r="O774" i="1" s="1"/>
  <c r="L775" i="1"/>
  <c r="L776" i="1"/>
  <c r="L777" i="1"/>
  <c r="N777" i="1" s="1"/>
  <c r="O777" i="1" s="1"/>
  <c r="L778" i="1"/>
  <c r="N778" i="1" s="1"/>
  <c r="O778" i="1" s="1"/>
  <c r="L779" i="1"/>
  <c r="M779" i="1" s="1"/>
  <c r="L780" i="1"/>
  <c r="L781" i="1"/>
  <c r="N781" i="1" s="1"/>
  <c r="O781" i="1" s="1"/>
  <c r="L782" i="1"/>
  <c r="N782" i="1" s="1"/>
  <c r="O782" i="1" s="1"/>
  <c r="L783" i="1"/>
  <c r="L784" i="1"/>
  <c r="L785" i="1"/>
  <c r="N785" i="1" s="1"/>
  <c r="O785" i="1" s="1"/>
  <c r="L786" i="1"/>
  <c r="N786" i="1" s="1"/>
  <c r="O786" i="1" s="1"/>
  <c r="L787" i="1"/>
  <c r="L788" i="1"/>
  <c r="L789" i="1"/>
  <c r="N789" i="1" s="1"/>
  <c r="O789" i="1" s="1"/>
  <c r="L790" i="1"/>
  <c r="N790" i="1" s="1"/>
  <c r="O790" i="1" s="1"/>
  <c r="L791" i="1"/>
  <c r="L792" i="1"/>
  <c r="L793" i="1"/>
  <c r="N793" i="1" s="1"/>
  <c r="O793" i="1" s="1"/>
  <c r="L794" i="1"/>
  <c r="N794" i="1" s="1"/>
  <c r="O794" i="1" s="1"/>
  <c r="L795" i="1"/>
  <c r="L796" i="1"/>
  <c r="L797" i="1"/>
  <c r="N797" i="1" s="1"/>
  <c r="O797" i="1" s="1"/>
  <c r="L798" i="1"/>
  <c r="N798" i="1" s="1"/>
  <c r="O798" i="1" s="1"/>
  <c r="L799" i="1"/>
  <c r="L800" i="1"/>
  <c r="L801" i="1"/>
  <c r="N801" i="1" s="1"/>
  <c r="O801" i="1" s="1"/>
  <c r="L802" i="1"/>
  <c r="N802" i="1" s="1"/>
  <c r="O802" i="1" s="1"/>
  <c r="L803" i="1"/>
  <c r="L804" i="1"/>
  <c r="L805" i="1"/>
  <c r="N805" i="1" s="1"/>
  <c r="O805" i="1" s="1"/>
  <c r="L806" i="1"/>
  <c r="N806" i="1" s="1"/>
  <c r="O806" i="1" s="1"/>
  <c r="L807" i="1"/>
  <c r="L808" i="1"/>
  <c r="L809" i="1"/>
  <c r="N809" i="1" s="1"/>
  <c r="O809" i="1" s="1"/>
  <c r="L810" i="1"/>
  <c r="N810" i="1" s="1"/>
  <c r="O810" i="1" s="1"/>
  <c r="L811" i="1"/>
  <c r="L812" i="1"/>
  <c r="L813" i="1"/>
  <c r="N813" i="1" s="1"/>
  <c r="O813" i="1" s="1"/>
  <c r="L814" i="1"/>
  <c r="N814" i="1" s="1"/>
  <c r="O814" i="1" s="1"/>
  <c r="L815" i="1"/>
  <c r="L816" i="1"/>
  <c r="L817" i="1"/>
  <c r="N817" i="1" s="1"/>
  <c r="O817" i="1" s="1"/>
  <c r="L818" i="1"/>
  <c r="N818" i="1" s="1"/>
  <c r="O818" i="1" s="1"/>
  <c r="L819" i="1"/>
  <c r="L820" i="1"/>
  <c r="L821" i="1"/>
  <c r="L822" i="1"/>
  <c r="N822" i="1" s="1"/>
  <c r="O822" i="1" s="1"/>
  <c r="L823" i="1"/>
  <c r="L824" i="1"/>
  <c r="L825" i="1"/>
  <c r="N825" i="1" s="1"/>
  <c r="O825" i="1" s="1"/>
  <c r="L826" i="1"/>
  <c r="N826" i="1" s="1"/>
  <c r="O826" i="1" s="1"/>
  <c r="L827" i="1"/>
  <c r="L828" i="1"/>
  <c r="L829" i="1"/>
  <c r="N829" i="1" s="1"/>
  <c r="O829" i="1" s="1"/>
  <c r="L830" i="1"/>
  <c r="N830" i="1" s="1"/>
  <c r="O830" i="1" s="1"/>
  <c r="L831" i="1"/>
  <c r="L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2" i="1"/>
  <c r="H3" i="1"/>
  <c r="J3" i="1" s="1"/>
  <c r="K3" i="1" s="1"/>
  <c r="H4" i="1"/>
  <c r="J4" i="1" s="1"/>
  <c r="K4" i="1" s="1"/>
  <c r="H5" i="1"/>
  <c r="J5" i="1" s="1"/>
  <c r="K5" i="1" s="1"/>
  <c r="H6" i="1"/>
  <c r="J6" i="1" s="1"/>
  <c r="K6" i="1" s="1"/>
  <c r="H7" i="1"/>
  <c r="J7" i="1" s="1"/>
  <c r="K7" i="1" s="1"/>
  <c r="H8" i="1"/>
  <c r="J8" i="1" s="1"/>
  <c r="K8" i="1" s="1"/>
  <c r="H9" i="1"/>
  <c r="J9" i="1" s="1"/>
  <c r="K9" i="1" s="1"/>
  <c r="H10" i="1"/>
  <c r="J10" i="1" s="1"/>
  <c r="K10" i="1" s="1"/>
  <c r="H11" i="1"/>
  <c r="J11" i="1" s="1"/>
  <c r="K11" i="1" s="1"/>
  <c r="H12" i="1"/>
  <c r="J12" i="1" s="1"/>
  <c r="K12" i="1" s="1"/>
  <c r="H13" i="1"/>
  <c r="J13" i="1" s="1"/>
  <c r="K13" i="1" s="1"/>
  <c r="H14" i="1"/>
  <c r="J14" i="1" s="1"/>
  <c r="K14" i="1" s="1"/>
  <c r="H15" i="1"/>
  <c r="J15" i="1" s="1"/>
  <c r="K15" i="1" s="1"/>
  <c r="H16" i="1"/>
  <c r="J16" i="1" s="1"/>
  <c r="K16" i="1" s="1"/>
  <c r="H17" i="1"/>
  <c r="J17" i="1" s="1"/>
  <c r="K17" i="1" s="1"/>
  <c r="H18" i="1"/>
  <c r="J18" i="1" s="1"/>
  <c r="K18" i="1" s="1"/>
  <c r="H19" i="1"/>
  <c r="J19" i="1" s="1"/>
  <c r="K19" i="1" s="1"/>
  <c r="H20" i="1"/>
  <c r="J20" i="1" s="1"/>
  <c r="K20" i="1" s="1"/>
  <c r="H21" i="1"/>
  <c r="J21" i="1" s="1"/>
  <c r="K21" i="1" s="1"/>
  <c r="H22" i="1"/>
  <c r="J22" i="1" s="1"/>
  <c r="K22" i="1" s="1"/>
  <c r="H23" i="1"/>
  <c r="J23" i="1" s="1"/>
  <c r="K23" i="1" s="1"/>
  <c r="H24" i="1"/>
  <c r="J24" i="1" s="1"/>
  <c r="K24" i="1" s="1"/>
  <c r="H25" i="1"/>
  <c r="J25" i="1" s="1"/>
  <c r="K25" i="1" s="1"/>
  <c r="H26" i="1"/>
  <c r="J26" i="1" s="1"/>
  <c r="K26" i="1" s="1"/>
  <c r="H27" i="1"/>
  <c r="J27" i="1" s="1"/>
  <c r="K27" i="1" s="1"/>
  <c r="H28" i="1"/>
  <c r="J28" i="1" s="1"/>
  <c r="K28" i="1" s="1"/>
  <c r="H29" i="1"/>
  <c r="J29" i="1" s="1"/>
  <c r="K29" i="1" s="1"/>
  <c r="H30" i="1"/>
  <c r="J30" i="1" s="1"/>
  <c r="K30" i="1" s="1"/>
  <c r="H31" i="1"/>
  <c r="J31" i="1" s="1"/>
  <c r="K31" i="1" s="1"/>
  <c r="H32" i="1"/>
  <c r="J32" i="1" s="1"/>
  <c r="K32" i="1" s="1"/>
  <c r="H33" i="1"/>
  <c r="J33" i="1" s="1"/>
  <c r="K33" i="1" s="1"/>
  <c r="H34" i="1"/>
  <c r="J34" i="1" s="1"/>
  <c r="K34" i="1" s="1"/>
  <c r="H35" i="1"/>
  <c r="J35" i="1" s="1"/>
  <c r="K35" i="1" s="1"/>
  <c r="H36" i="1"/>
  <c r="J36" i="1" s="1"/>
  <c r="K36" i="1" s="1"/>
  <c r="H37" i="1"/>
  <c r="J37" i="1" s="1"/>
  <c r="K37" i="1" s="1"/>
  <c r="H38" i="1"/>
  <c r="J38" i="1" s="1"/>
  <c r="K38" i="1" s="1"/>
  <c r="H39" i="1"/>
  <c r="J39" i="1" s="1"/>
  <c r="K39" i="1" s="1"/>
  <c r="H40" i="1"/>
  <c r="J40" i="1" s="1"/>
  <c r="K40" i="1" s="1"/>
  <c r="H41" i="1"/>
  <c r="J41" i="1" s="1"/>
  <c r="K41" i="1" s="1"/>
  <c r="H42" i="1"/>
  <c r="J42" i="1" s="1"/>
  <c r="K42" i="1" s="1"/>
  <c r="H43" i="1"/>
  <c r="J43" i="1" s="1"/>
  <c r="K43" i="1" s="1"/>
  <c r="H44" i="1"/>
  <c r="J44" i="1" s="1"/>
  <c r="K44" i="1" s="1"/>
  <c r="H45" i="1"/>
  <c r="J45" i="1" s="1"/>
  <c r="K45" i="1" s="1"/>
  <c r="H46" i="1"/>
  <c r="J46" i="1" s="1"/>
  <c r="K46" i="1" s="1"/>
  <c r="H47" i="1"/>
  <c r="J47" i="1" s="1"/>
  <c r="K47" i="1" s="1"/>
  <c r="H48" i="1"/>
  <c r="J48" i="1" s="1"/>
  <c r="K48" i="1" s="1"/>
  <c r="H49" i="1"/>
  <c r="J49" i="1" s="1"/>
  <c r="K49" i="1" s="1"/>
  <c r="H50" i="1"/>
  <c r="J50" i="1" s="1"/>
  <c r="K50" i="1" s="1"/>
  <c r="H51" i="1"/>
  <c r="J51" i="1" s="1"/>
  <c r="K51" i="1" s="1"/>
  <c r="H52" i="1"/>
  <c r="J52" i="1" s="1"/>
  <c r="K52" i="1" s="1"/>
  <c r="H53" i="1"/>
  <c r="J53" i="1" s="1"/>
  <c r="K53" i="1" s="1"/>
  <c r="H54" i="1"/>
  <c r="J54" i="1" s="1"/>
  <c r="K54" i="1" s="1"/>
  <c r="H55" i="1"/>
  <c r="J55" i="1" s="1"/>
  <c r="K55" i="1" s="1"/>
  <c r="H56" i="1"/>
  <c r="J56" i="1" s="1"/>
  <c r="K56" i="1" s="1"/>
  <c r="H57" i="1"/>
  <c r="J57" i="1" s="1"/>
  <c r="K57" i="1" s="1"/>
  <c r="H58" i="1"/>
  <c r="J58" i="1" s="1"/>
  <c r="K58" i="1" s="1"/>
  <c r="H59" i="1"/>
  <c r="J59" i="1" s="1"/>
  <c r="K59" i="1" s="1"/>
  <c r="H60" i="1"/>
  <c r="J60" i="1" s="1"/>
  <c r="K60" i="1" s="1"/>
  <c r="H61" i="1"/>
  <c r="J61" i="1" s="1"/>
  <c r="K61" i="1" s="1"/>
  <c r="H62" i="1"/>
  <c r="J62" i="1" s="1"/>
  <c r="K62" i="1" s="1"/>
  <c r="H63" i="1"/>
  <c r="J63" i="1" s="1"/>
  <c r="K63" i="1" s="1"/>
  <c r="H64" i="1"/>
  <c r="J64" i="1" s="1"/>
  <c r="K64" i="1" s="1"/>
  <c r="H65" i="1"/>
  <c r="J65" i="1" s="1"/>
  <c r="K65" i="1" s="1"/>
  <c r="H66" i="1"/>
  <c r="J66" i="1" s="1"/>
  <c r="K66" i="1" s="1"/>
  <c r="H67" i="1"/>
  <c r="J67" i="1" s="1"/>
  <c r="K67" i="1" s="1"/>
  <c r="H68" i="1"/>
  <c r="J68" i="1" s="1"/>
  <c r="K68" i="1" s="1"/>
  <c r="H69" i="1"/>
  <c r="J69" i="1" s="1"/>
  <c r="K69" i="1" s="1"/>
  <c r="H70" i="1"/>
  <c r="J70" i="1" s="1"/>
  <c r="K70" i="1" s="1"/>
  <c r="H71" i="1"/>
  <c r="J71" i="1" s="1"/>
  <c r="K71" i="1" s="1"/>
  <c r="H72" i="1"/>
  <c r="J72" i="1" s="1"/>
  <c r="K72" i="1" s="1"/>
  <c r="H73" i="1"/>
  <c r="J73" i="1" s="1"/>
  <c r="K73" i="1" s="1"/>
  <c r="H74" i="1"/>
  <c r="J74" i="1" s="1"/>
  <c r="K74" i="1" s="1"/>
  <c r="H75" i="1"/>
  <c r="J75" i="1" s="1"/>
  <c r="K75" i="1" s="1"/>
  <c r="H76" i="1"/>
  <c r="J76" i="1" s="1"/>
  <c r="K76" i="1" s="1"/>
  <c r="H77" i="1"/>
  <c r="J77" i="1" s="1"/>
  <c r="K77" i="1" s="1"/>
  <c r="H78" i="1"/>
  <c r="J78" i="1" s="1"/>
  <c r="K78" i="1" s="1"/>
  <c r="H79" i="1"/>
  <c r="J79" i="1" s="1"/>
  <c r="K79" i="1" s="1"/>
  <c r="H80" i="1"/>
  <c r="J80" i="1" s="1"/>
  <c r="K80" i="1" s="1"/>
  <c r="H81" i="1"/>
  <c r="J81" i="1" s="1"/>
  <c r="K81" i="1" s="1"/>
  <c r="H82" i="1"/>
  <c r="J82" i="1" s="1"/>
  <c r="K82" i="1" s="1"/>
  <c r="H83" i="1"/>
  <c r="J83" i="1" s="1"/>
  <c r="K83" i="1" s="1"/>
  <c r="H84" i="1"/>
  <c r="J84" i="1" s="1"/>
  <c r="K84" i="1" s="1"/>
  <c r="H85" i="1"/>
  <c r="J85" i="1" s="1"/>
  <c r="K85" i="1" s="1"/>
  <c r="H86" i="1"/>
  <c r="J86" i="1" s="1"/>
  <c r="K86" i="1" s="1"/>
  <c r="H87" i="1"/>
  <c r="J87" i="1" s="1"/>
  <c r="K87" i="1" s="1"/>
  <c r="H88" i="1"/>
  <c r="J88" i="1" s="1"/>
  <c r="K88" i="1" s="1"/>
  <c r="H89" i="1"/>
  <c r="J89" i="1" s="1"/>
  <c r="K89" i="1" s="1"/>
  <c r="H90" i="1"/>
  <c r="J90" i="1" s="1"/>
  <c r="K90" i="1" s="1"/>
  <c r="H91" i="1"/>
  <c r="J91" i="1" s="1"/>
  <c r="K91" i="1" s="1"/>
  <c r="H92" i="1"/>
  <c r="J92" i="1" s="1"/>
  <c r="K92" i="1" s="1"/>
  <c r="H93" i="1"/>
  <c r="J93" i="1" s="1"/>
  <c r="K93" i="1" s="1"/>
  <c r="H94" i="1"/>
  <c r="J94" i="1" s="1"/>
  <c r="K94" i="1" s="1"/>
  <c r="H95" i="1"/>
  <c r="J95" i="1" s="1"/>
  <c r="K95" i="1" s="1"/>
  <c r="H96" i="1"/>
  <c r="J96" i="1" s="1"/>
  <c r="K96" i="1" s="1"/>
  <c r="H97" i="1"/>
  <c r="J97" i="1" s="1"/>
  <c r="K97" i="1" s="1"/>
  <c r="H98" i="1"/>
  <c r="J98" i="1" s="1"/>
  <c r="K98" i="1" s="1"/>
  <c r="H99" i="1"/>
  <c r="J99" i="1" s="1"/>
  <c r="K99" i="1" s="1"/>
  <c r="H100" i="1"/>
  <c r="J100" i="1" s="1"/>
  <c r="K100" i="1" s="1"/>
  <c r="H101" i="1"/>
  <c r="J101" i="1" s="1"/>
  <c r="K101" i="1" s="1"/>
  <c r="H102" i="1"/>
  <c r="J102" i="1" s="1"/>
  <c r="K102" i="1" s="1"/>
  <c r="H103" i="1"/>
  <c r="J103" i="1" s="1"/>
  <c r="K103" i="1" s="1"/>
  <c r="H104" i="1"/>
  <c r="J104" i="1" s="1"/>
  <c r="K104" i="1" s="1"/>
  <c r="H105" i="1"/>
  <c r="J105" i="1" s="1"/>
  <c r="K105" i="1" s="1"/>
  <c r="H106" i="1"/>
  <c r="J106" i="1" s="1"/>
  <c r="K106" i="1" s="1"/>
  <c r="H107" i="1"/>
  <c r="J107" i="1" s="1"/>
  <c r="K107" i="1" s="1"/>
  <c r="H108" i="1"/>
  <c r="J108" i="1" s="1"/>
  <c r="K108" i="1" s="1"/>
  <c r="H109" i="1"/>
  <c r="J109" i="1" s="1"/>
  <c r="K109" i="1" s="1"/>
  <c r="H110" i="1"/>
  <c r="J110" i="1" s="1"/>
  <c r="K110" i="1" s="1"/>
  <c r="H111" i="1"/>
  <c r="J111" i="1" s="1"/>
  <c r="K111" i="1" s="1"/>
  <c r="H112" i="1"/>
  <c r="J112" i="1" s="1"/>
  <c r="K112" i="1" s="1"/>
  <c r="H113" i="1"/>
  <c r="J113" i="1" s="1"/>
  <c r="K113" i="1" s="1"/>
  <c r="H114" i="1"/>
  <c r="J114" i="1" s="1"/>
  <c r="K114" i="1" s="1"/>
  <c r="H115" i="1"/>
  <c r="J115" i="1" s="1"/>
  <c r="K115" i="1" s="1"/>
  <c r="H116" i="1"/>
  <c r="J116" i="1" s="1"/>
  <c r="K116" i="1" s="1"/>
  <c r="H117" i="1"/>
  <c r="J117" i="1" s="1"/>
  <c r="K117" i="1" s="1"/>
  <c r="H118" i="1"/>
  <c r="J118" i="1" s="1"/>
  <c r="K118" i="1" s="1"/>
  <c r="H119" i="1"/>
  <c r="J119" i="1" s="1"/>
  <c r="K119" i="1" s="1"/>
  <c r="H120" i="1"/>
  <c r="J120" i="1" s="1"/>
  <c r="K120" i="1" s="1"/>
  <c r="H121" i="1"/>
  <c r="J121" i="1" s="1"/>
  <c r="K121" i="1" s="1"/>
  <c r="H122" i="1"/>
  <c r="J122" i="1" s="1"/>
  <c r="K122" i="1" s="1"/>
  <c r="H123" i="1"/>
  <c r="J123" i="1" s="1"/>
  <c r="K123" i="1" s="1"/>
  <c r="H124" i="1"/>
  <c r="J124" i="1" s="1"/>
  <c r="K124" i="1" s="1"/>
  <c r="H125" i="1"/>
  <c r="J125" i="1" s="1"/>
  <c r="K125" i="1" s="1"/>
  <c r="H126" i="1"/>
  <c r="J126" i="1" s="1"/>
  <c r="K126" i="1" s="1"/>
  <c r="H127" i="1"/>
  <c r="J127" i="1" s="1"/>
  <c r="K127" i="1" s="1"/>
  <c r="H128" i="1"/>
  <c r="J128" i="1" s="1"/>
  <c r="K128" i="1" s="1"/>
  <c r="H129" i="1"/>
  <c r="J129" i="1" s="1"/>
  <c r="K129" i="1" s="1"/>
  <c r="H130" i="1"/>
  <c r="J130" i="1" s="1"/>
  <c r="K130" i="1" s="1"/>
  <c r="H131" i="1"/>
  <c r="J131" i="1" s="1"/>
  <c r="K131" i="1" s="1"/>
  <c r="H132" i="1"/>
  <c r="J132" i="1" s="1"/>
  <c r="K132" i="1" s="1"/>
  <c r="H133" i="1"/>
  <c r="J133" i="1" s="1"/>
  <c r="K133" i="1" s="1"/>
  <c r="H134" i="1"/>
  <c r="J134" i="1" s="1"/>
  <c r="K134" i="1" s="1"/>
  <c r="H135" i="1"/>
  <c r="J135" i="1" s="1"/>
  <c r="K135" i="1" s="1"/>
  <c r="H136" i="1"/>
  <c r="J136" i="1" s="1"/>
  <c r="K136" i="1" s="1"/>
  <c r="H137" i="1"/>
  <c r="J137" i="1" s="1"/>
  <c r="K137" i="1" s="1"/>
  <c r="H138" i="1"/>
  <c r="J138" i="1" s="1"/>
  <c r="K138" i="1" s="1"/>
  <c r="H139" i="1"/>
  <c r="J139" i="1" s="1"/>
  <c r="K139" i="1" s="1"/>
  <c r="H140" i="1"/>
  <c r="J140" i="1" s="1"/>
  <c r="K140" i="1" s="1"/>
  <c r="H141" i="1"/>
  <c r="J141" i="1" s="1"/>
  <c r="K141" i="1" s="1"/>
  <c r="H142" i="1"/>
  <c r="J142" i="1" s="1"/>
  <c r="K142" i="1" s="1"/>
  <c r="H143" i="1"/>
  <c r="J143" i="1" s="1"/>
  <c r="K143" i="1" s="1"/>
  <c r="H144" i="1"/>
  <c r="J144" i="1" s="1"/>
  <c r="K144" i="1" s="1"/>
  <c r="H145" i="1"/>
  <c r="J145" i="1" s="1"/>
  <c r="K145" i="1" s="1"/>
  <c r="H146" i="1"/>
  <c r="J146" i="1" s="1"/>
  <c r="K146" i="1" s="1"/>
  <c r="H147" i="1"/>
  <c r="J147" i="1" s="1"/>
  <c r="K147" i="1" s="1"/>
  <c r="H148" i="1"/>
  <c r="J148" i="1" s="1"/>
  <c r="K148" i="1" s="1"/>
  <c r="H149" i="1"/>
  <c r="J149" i="1" s="1"/>
  <c r="K149" i="1" s="1"/>
  <c r="H150" i="1"/>
  <c r="J150" i="1" s="1"/>
  <c r="K150" i="1" s="1"/>
  <c r="H151" i="1"/>
  <c r="J151" i="1" s="1"/>
  <c r="K151" i="1" s="1"/>
  <c r="H152" i="1"/>
  <c r="J152" i="1" s="1"/>
  <c r="K152" i="1" s="1"/>
  <c r="H153" i="1"/>
  <c r="J153" i="1" s="1"/>
  <c r="K153" i="1" s="1"/>
  <c r="H154" i="1"/>
  <c r="J154" i="1" s="1"/>
  <c r="K154" i="1" s="1"/>
  <c r="H155" i="1"/>
  <c r="J155" i="1" s="1"/>
  <c r="K155" i="1" s="1"/>
  <c r="H156" i="1"/>
  <c r="J156" i="1" s="1"/>
  <c r="K156" i="1" s="1"/>
  <c r="H157" i="1"/>
  <c r="J157" i="1" s="1"/>
  <c r="K157" i="1" s="1"/>
  <c r="H158" i="1"/>
  <c r="J158" i="1" s="1"/>
  <c r="K158" i="1" s="1"/>
  <c r="H159" i="1"/>
  <c r="J159" i="1" s="1"/>
  <c r="K159" i="1" s="1"/>
  <c r="H160" i="1"/>
  <c r="J160" i="1" s="1"/>
  <c r="K160" i="1" s="1"/>
  <c r="H161" i="1"/>
  <c r="J161" i="1" s="1"/>
  <c r="K161" i="1" s="1"/>
  <c r="H162" i="1"/>
  <c r="J162" i="1" s="1"/>
  <c r="K162" i="1" s="1"/>
  <c r="H163" i="1"/>
  <c r="J163" i="1" s="1"/>
  <c r="K163" i="1" s="1"/>
  <c r="H164" i="1"/>
  <c r="J164" i="1" s="1"/>
  <c r="K164" i="1" s="1"/>
  <c r="H165" i="1"/>
  <c r="J165" i="1" s="1"/>
  <c r="K165" i="1" s="1"/>
  <c r="H166" i="1"/>
  <c r="J166" i="1" s="1"/>
  <c r="K166" i="1" s="1"/>
  <c r="H167" i="1"/>
  <c r="J167" i="1" s="1"/>
  <c r="K167" i="1" s="1"/>
  <c r="H168" i="1"/>
  <c r="J168" i="1" s="1"/>
  <c r="K168" i="1" s="1"/>
  <c r="H169" i="1"/>
  <c r="J169" i="1" s="1"/>
  <c r="K169" i="1" s="1"/>
  <c r="H170" i="1"/>
  <c r="J170" i="1" s="1"/>
  <c r="K170" i="1" s="1"/>
  <c r="H171" i="1"/>
  <c r="J171" i="1" s="1"/>
  <c r="K171" i="1" s="1"/>
  <c r="H172" i="1"/>
  <c r="J172" i="1" s="1"/>
  <c r="K172" i="1" s="1"/>
  <c r="H173" i="1"/>
  <c r="J173" i="1" s="1"/>
  <c r="K173" i="1" s="1"/>
  <c r="H174" i="1"/>
  <c r="J174" i="1" s="1"/>
  <c r="K174" i="1" s="1"/>
  <c r="H175" i="1"/>
  <c r="J175" i="1" s="1"/>
  <c r="K175" i="1" s="1"/>
  <c r="H176" i="1"/>
  <c r="J176" i="1" s="1"/>
  <c r="K176" i="1" s="1"/>
  <c r="H177" i="1"/>
  <c r="J177" i="1" s="1"/>
  <c r="K177" i="1" s="1"/>
  <c r="H178" i="1"/>
  <c r="J178" i="1" s="1"/>
  <c r="K178" i="1" s="1"/>
  <c r="H179" i="1"/>
  <c r="J179" i="1" s="1"/>
  <c r="K179" i="1" s="1"/>
  <c r="H180" i="1"/>
  <c r="J180" i="1" s="1"/>
  <c r="K180" i="1" s="1"/>
  <c r="H181" i="1"/>
  <c r="J181" i="1" s="1"/>
  <c r="K181" i="1" s="1"/>
  <c r="H182" i="1"/>
  <c r="J182" i="1" s="1"/>
  <c r="K182" i="1" s="1"/>
  <c r="H183" i="1"/>
  <c r="J183" i="1" s="1"/>
  <c r="K183" i="1" s="1"/>
  <c r="H184" i="1"/>
  <c r="J184" i="1" s="1"/>
  <c r="K184" i="1" s="1"/>
  <c r="H185" i="1"/>
  <c r="J185" i="1" s="1"/>
  <c r="K185" i="1" s="1"/>
  <c r="H186" i="1"/>
  <c r="J186" i="1" s="1"/>
  <c r="K186" i="1" s="1"/>
  <c r="H187" i="1"/>
  <c r="J187" i="1" s="1"/>
  <c r="K187" i="1" s="1"/>
  <c r="H188" i="1"/>
  <c r="J188" i="1" s="1"/>
  <c r="K188" i="1" s="1"/>
  <c r="H189" i="1"/>
  <c r="J189" i="1" s="1"/>
  <c r="K189" i="1" s="1"/>
  <c r="H190" i="1"/>
  <c r="J190" i="1" s="1"/>
  <c r="K190" i="1" s="1"/>
  <c r="H191" i="1"/>
  <c r="J191" i="1" s="1"/>
  <c r="K191" i="1" s="1"/>
  <c r="H192" i="1"/>
  <c r="J192" i="1" s="1"/>
  <c r="K192" i="1" s="1"/>
  <c r="H193" i="1"/>
  <c r="J193" i="1" s="1"/>
  <c r="K193" i="1" s="1"/>
  <c r="H194" i="1"/>
  <c r="J194" i="1" s="1"/>
  <c r="K194" i="1" s="1"/>
  <c r="H195" i="1"/>
  <c r="J195" i="1" s="1"/>
  <c r="K195" i="1" s="1"/>
  <c r="H196" i="1"/>
  <c r="J196" i="1" s="1"/>
  <c r="K196" i="1" s="1"/>
  <c r="H197" i="1"/>
  <c r="J197" i="1" s="1"/>
  <c r="K197" i="1" s="1"/>
  <c r="H198" i="1"/>
  <c r="J198" i="1" s="1"/>
  <c r="K198" i="1" s="1"/>
  <c r="H199" i="1"/>
  <c r="J199" i="1" s="1"/>
  <c r="K199" i="1" s="1"/>
  <c r="H200" i="1"/>
  <c r="J200" i="1" s="1"/>
  <c r="K200" i="1" s="1"/>
  <c r="H201" i="1"/>
  <c r="J201" i="1" s="1"/>
  <c r="K201" i="1" s="1"/>
  <c r="H202" i="1"/>
  <c r="J202" i="1" s="1"/>
  <c r="K202" i="1" s="1"/>
  <c r="H203" i="1"/>
  <c r="J203" i="1" s="1"/>
  <c r="K203" i="1" s="1"/>
  <c r="H204" i="1"/>
  <c r="J204" i="1" s="1"/>
  <c r="K204" i="1" s="1"/>
  <c r="H205" i="1"/>
  <c r="J205" i="1" s="1"/>
  <c r="K205" i="1" s="1"/>
  <c r="H206" i="1"/>
  <c r="J206" i="1" s="1"/>
  <c r="K206" i="1" s="1"/>
  <c r="H207" i="1"/>
  <c r="J207" i="1" s="1"/>
  <c r="K207" i="1" s="1"/>
  <c r="H208" i="1"/>
  <c r="J208" i="1" s="1"/>
  <c r="K208" i="1" s="1"/>
  <c r="H209" i="1"/>
  <c r="J209" i="1" s="1"/>
  <c r="K209" i="1" s="1"/>
  <c r="H210" i="1"/>
  <c r="J210" i="1" s="1"/>
  <c r="K210" i="1" s="1"/>
  <c r="H211" i="1"/>
  <c r="J211" i="1" s="1"/>
  <c r="K211" i="1" s="1"/>
  <c r="H212" i="1"/>
  <c r="J212" i="1" s="1"/>
  <c r="K212" i="1" s="1"/>
  <c r="H213" i="1"/>
  <c r="J213" i="1" s="1"/>
  <c r="K213" i="1" s="1"/>
  <c r="H214" i="1"/>
  <c r="J214" i="1" s="1"/>
  <c r="K214" i="1" s="1"/>
  <c r="H215" i="1"/>
  <c r="J215" i="1" s="1"/>
  <c r="K215" i="1" s="1"/>
  <c r="H216" i="1"/>
  <c r="J216" i="1" s="1"/>
  <c r="K216" i="1" s="1"/>
  <c r="H217" i="1"/>
  <c r="J217" i="1" s="1"/>
  <c r="K217" i="1" s="1"/>
  <c r="H218" i="1"/>
  <c r="J218" i="1" s="1"/>
  <c r="K218" i="1" s="1"/>
  <c r="H219" i="1"/>
  <c r="J219" i="1" s="1"/>
  <c r="K219" i="1" s="1"/>
  <c r="H220" i="1"/>
  <c r="J220" i="1" s="1"/>
  <c r="K220" i="1" s="1"/>
  <c r="H221" i="1"/>
  <c r="J221" i="1" s="1"/>
  <c r="K221" i="1" s="1"/>
  <c r="H222" i="1"/>
  <c r="J222" i="1" s="1"/>
  <c r="K222" i="1" s="1"/>
  <c r="H223" i="1"/>
  <c r="J223" i="1" s="1"/>
  <c r="K223" i="1" s="1"/>
  <c r="H224" i="1"/>
  <c r="J224" i="1" s="1"/>
  <c r="K224" i="1" s="1"/>
  <c r="H225" i="1"/>
  <c r="J225" i="1" s="1"/>
  <c r="K225" i="1" s="1"/>
  <c r="H226" i="1"/>
  <c r="J226" i="1" s="1"/>
  <c r="K226" i="1" s="1"/>
  <c r="H227" i="1"/>
  <c r="J227" i="1" s="1"/>
  <c r="K227" i="1" s="1"/>
  <c r="H228" i="1"/>
  <c r="J228" i="1" s="1"/>
  <c r="K228" i="1" s="1"/>
  <c r="H229" i="1"/>
  <c r="J229" i="1" s="1"/>
  <c r="K229" i="1" s="1"/>
  <c r="H230" i="1"/>
  <c r="J230" i="1" s="1"/>
  <c r="K230" i="1" s="1"/>
  <c r="H231" i="1"/>
  <c r="J231" i="1" s="1"/>
  <c r="K231" i="1" s="1"/>
  <c r="H232" i="1"/>
  <c r="J232" i="1" s="1"/>
  <c r="K232" i="1" s="1"/>
  <c r="H233" i="1"/>
  <c r="J233" i="1" s="1"/>
  <c r="K233" i="1" s="1"/>
  <c r="H234" i="1"/>
  <c r="J234" i="1" s="1"/>
  <c r="K234" i="1" s="1"/>
  <c r="H235" i="1"/>
  <c r="J235" i="1" s="1"/>
  <c r="K235" i="1" s="1"/>
  <c r="H236" i="1"/>
  <c r="J236" i="1" s="1"/>
  <c r="K236" i="1" s="1"/>
  <c r="H237" i="1"/>
  <c r="J237" i="1" s="1"/>
  <c r="K237" i="1" s="1"/>
  <c r="H238" i="1"/>
  <c r="J238" i="1" s="1"/>
  <c r="K238" i="1" s="1"/>
  <c r="H239" i="1"/>
  <c r="J239" i="1" s="1"/>
  <c r="K239" i="1" s="1"/>
  <c r="H240" i="1"/>
  <c r="J240" i="1" s="1"/>
  <c r="K240" i="1" s="1"/>
  <c r="H241" i="1"/>
  <c r="J241" i="1" s="1"/>
  <c r="K241" i="1" s="1"/>
  <c r="H242" i="1"/>
  <c r="J242" i="1" s="1"/>
  <c r="K242" i="1" s="1"/>
  <c r="H243" i="1"/>
  <c r="J243" i="1" s="1"/>
  <c r="K243" i="1" s="1"/>
  <c r="H244" i="1"/>
  <c r="J244" i="1" s="1"/>
  <c r="K244" i="1" s="1"/>
  <c r="H245" i="1"/>
  <c r="J245" i="1" s="1"/>
  <c r="K245" i="1" s="1"/>
  <c r="H246" i="1"/>
  <c r="J246" i="1" s="1"/>
  <c r="K246" i="1" s="1"/>
  <c r="H247" i="1"/>
  <c r="J247" i="1" s="1"/>
  <c r="K247" i="1" s="1"/>
  <c r="H248" i="1"/>
  <c r="J248" i="1" s="1"/>
  <c r="K248" i="1" s="1"/>
  <c r="H249" i="1"/>
  <c r="J249" i="1" s="1"/>
  <c r="K249" i="1" s="1"/>
  <c r="H250" i="1"/>
  <c r="J250" i="1" s="1"/>
  <c r="K250" i="1" s="1"/>
  <c r="H251" i="1"/>
  <c r="J251" i="1" s="1"/>
  <c r="K251" i="1" s="1"/>
  <c r="H252" i="1"/>
  <c r="J252" i="1" s="1"/>
  <c r="K252" i="1" s="1"/>
  <c r="H253" i="1"/>
  <c r="J253" i="1" s="1"/>
  <c r="K253" i="1" s="1"/>
  <c r="H254" i="1"/>
  <c r="J254" i="1" s="1"/>
  <c r="K254" i="1" s="1"/>
  <c r="H255" i="1"/>
  <c r="J255" i="1" s="1"/>
  <c r="K255" i="1" s="1"/>
  <c r="H256" i="1"/>
  <c r="J256" i="1" s="1"/>
  <c r="K256" i="1" s="1"/>
  <c r="H257" i="1"/>
  <c r="J257" i="1" s="1"/>
  <c r="K257" i="1" s="1"/>
  <c r="H258" i="1"/>
  <c r="J258" i="1" s="1"/>
  <c r="K258" i="1" s="1"/>
  <c r="H259" i="1"/>
  <c r="J259" i="1" s="1"/>
  <c r="K259" i="1" s="1"/>
  <c r="H260" i="1"/>
  <c r="J260" i="1" s="1"/>
  <c r="K260" i="1" s="1"/>
  <c r="H261" i="1"/>
  <c r="J261" i="1" s="1"/>
  <c r="K261" i="1" s="1"/>
  <c r="H262" i="1"/>
  <c r="J262" i="1" s="1"/>
  <c r="K262" i="1" s="1"/>
  <c r="H263" i="1"/>
  <c r="J263" i="1" s="1"/>
  <c r="K263" i="1" s="1"/>
  <c r="H264" i="1"/>
  <c r="J264" i="1" s="1"/>
  <c r="K264" i="1" s="1"/>
  <c r="H265" i="1"/>
  <c r="J265" i="1" s="1"/>
  <c r="K265" i="1" s="1"/>
  <c r="H266" i="1"/>
  <c r="J266" i="1" s="1"/>
  <c r="K266" i="1" s="1"/>
  <c r="H267" i="1"/>
  <c r="J267" i="1" s="1"/>
  <c r="K267" i="1" s="1"/>
  <c r="H268" i="1"/>
  <c r="J268" i="1" s="1"/>
  <c r="K268" i="1" s="1"/>
  <c r="H269" i="1"/>
  <c r="J269" i="1" s="1"/>
  <c r="K269" i="1" s="1"/>
  <c r="H270" i="1"/>
  <c r="J270" i="1" s="1"/>
  <c r="K270" i="1" s="1"/>
  <c r="H271" i="1"/>
  <c r="J271" i="1" s="1"/>
  <c r="K271" i="1" s="1"/>
  <c r="H272" i="1"/>
  <c r="J272" i="1" s="1"/>
  <c r="K272" i="1" s="1"/>
  <c r="H273" i="1"/>
  <c r="J273" i="1" s="1"/>
  <c r="K273" i="1" s="1"/>
  <c r="H274" i="1"/>
  <c r="J274" i="1" s="1"/>
  <c r="K274" i="1" s="1"/>
  <c r="H275" i="1"/>
  <c r="J275" i="1" s="1"/>
  <c r="K275" i="1" s="1"/>
  <c r="H276" i="1"/>
  <c r="J276" i="1" s="1"/>
  <c r="K276" i="1" s="1"/>
  <c r="H277" i="1"/>
  <c r="J277" i="1" s="1"/>
  <c r="K277" i="1" s="1"/>
  <c r="H278" i="1"/>
  <c r="J278" i="1" s="1"/>
  <c r="K278" i="1" s="1"/>
  <c r="H279" i="1"/>
  <c r="J279" i="1" s="1"/>
  <c r="K279" i="1" s="1"/>
  <c r="H280" i="1"/>
  <c r="J280" i="1" s="1"/>
  <c r="K280" i="1" s="1"/>
  <c r="H281" i="1"/>
  <c r="J281" i="1" s="1"/>
  <c r="K281" i="1" s="1"/>
  <c r="H282" i="1"/>
  <c r="J282" i="1" s="1"/>
  <c r="K282" i="1" s="1"/>
  <c r="H283" i="1"/>
  <c r="J283" i="1" s="1"/>
  <c r="K283" i="1" s="1"/>
  <c r="H284" i="1"/>
  <c r="J284" i="1" s="1"/>
  <c r="K284" i="1" s="1"/>
  <c r="H285" i="1"/>
  <c r="J285" i="1" s="1"/>
  <c r="K285" i="1" s="1"/>
  <c r="H286" i="1"/>
  <c r="J286" i="1" s="1"/>
  <c r="K286" i="1" s="1"/>
  <c r="H287" i="1"/>
  <c r="J287" i="1" s="1"/>
  <c r="K287" i="1" s="1"/>
  <c r="H288" i="1"/>
  <c r="J288" i="1" s="1"/>
  <c r="K288" i="1" s="1"/>
  <c r="H289" i="1"/>
  <c r="J289" i="1" s="1"/>
  <c r="K289" i="1" s="1"/>
  <c r="H290" i="1"/>
  <c r="J290" i="1" s="1"/>
  <c r="K290" i="1" s="1"/>
  <c r="H291" i="1"/>
  <c r="J291" i="1" s="1"/>
  <c r="K291" i="1" s="1"/>
  <c r="H292" i="1"/>
  <c r="J292" i="1" s="1"/>
  <c r="K292" i="1" s="1"/>
  <c r="H293" i="1"/>
  <c r="J293" i="1" s="1"/>
  <c r="K293" i="1" s="1"/>
  <c r="H294" i="1"/>
  <c r="J294" i="1" s="1"/>
  <c r="K294" i="1" s="1"/>
  <c r="H295" i="1"/>
  <c r="J295" i="1" s="1"/>
  <c r="K295" i="1" s="1"/>
  <c r="H296" i="1"/>
  <c r="J296" i="1" s="1"/>
  <c r="K296" i="1" s="1"/>
  <c r="H297" i="1"/>
  <c r="J297" i="1" s="1"/>
  <c r="K297" i="1" s="1"/>
  <c r="H298" i="1"/>
  <c r="J298" i="1" s="1"/>
  <c r="K298" i="1" s="1"/>
  <c r="H299" i="1"/>
  <c r="J299" i="1" s="1"/>
  <c r="K299" i="1" s="1"/>
  <c r="H300" i="1"/>
  <c r="J300" i="1" s="1"/>
  <c r="K300" i="1" s="1"/>
  <c r="H301" i="1"/>
  <c r="J301" i="1" s="1"/>
  <c r="K301" i="1" s="1"/>
  <c r="H302" i="1"/>
  <c r="J302" i="1" s="1"/>
  <c r="K302" i="1" s="1"/>
  <c r="H303" i="1"/>
  <c r="J303" i="1" s="1"/>
  <c r="K303" i="1" s="1"/>
  <c r="H304" i="1"/>
  <c r="J304" i="1" s="1"/>
  <c r="K304" i="1" s="1"/>
  <c r="H305" i="1"/>
  <c r="J305" i="1" s="1"/>
  <c r="K305" i="1" s="1"/>
  <c r="H306" i="1"/>
  <c r="J306" i="1" s="1"/>
  <c r="K306" i="1" s="1"/>
  <c r="H307" i="1"/>
  <c r="J307" i="1" s="1"/>
  <c r="K307" i="1" s="1"/>
  <c r="H308" i="1"/>
  <c r="J308" i="1" s="1"/>
  <c r="K308" i="1" s="1"/>
  <c r="H309" i="1"/>
  <c r="J309" i="1" s="1"/>
  <c r="K309" i="1" s="1"/>
  <c r="H310" i="1"/>
  <c r="J310" i="1" s="1"/>
  <c r="K310" i="1" s="1"/>
  <c r="H311" i="1"/>
  <c r="J311" i="1" s="1"/>
  <c r="K311" i="1" s="1"/>
  <c r="H312" i="1"/>
  <c r="J312" i="1" s="1"/>
  <c r="K312" i="1" s="1"/>
  <c r="H313" i="1"/>
  <c r="J313" i="1" s="1"/>
  <c r="K313" i="1" s="1"/>
  <c r="H314" i="1"/>
  <c r="J314" i="1" s="1"/>
  <c r="K314" i="1" s="1"/>
  <c r="H315" i="1"/>
  <c r="J315" i="1" s="1"/>
  <c r="K315" i="1" s="1"/>
  <c r="H316" i="1"/>
  <c r="J316" i="1" s="1"/>
  <c r="K316" i="1" s="1"/>
  <c r="H317" i="1"/>
  <c r="J317" i="1" s="1"/>
  <c r="K317" i="1" s="1"/>
  <c r="H318" i="1"/>
  <c r="J318" i="1" s="1"/>
  <c r="K318" i="1" s="1"/>
  <c r="H319" i="1"/>
  <c r="J319" i="1" s="1"/>
  <c r="K319" i="1" s="1"/>
  <c r="H320" i="1"/>
  <c r="J320" i="1" s="1"/>
  <c r="K320" i="1" s="1"/>
  <c r="H321" i="1"/>
  <c r="J321" i="1" s="1"/>
  <c r="K321" i="1" s="1"/>
  <c r="H322" i="1"/>
  <c r="J322" i="1" s="1"/>
  <c r="K322" i="1" s="1"/>
  <c r="H323" i="1"/>
  <c r="J323" i="1" s="1"/>
  <c r="K323" i="1" s="1"/>
  <c r="H324" i="1"/>
  <c r="J324" i="1" s="1"/>
  <c r="K324" i="1" s="1"/>
  <c r="H325" i="1"/>
  <c r="J325" i="1" s="1"/>
  <c r="K325" i="1" s="1"/>
  <c r="H326" i="1"/>
  <c r="J326" i="1" s="1"/>
  <c r="K326" i="1" s="1"/>
  <c r="H327" i="1"/>
  <c r="J327" i="1" s="1"/>
  <c r="K327" i="1" s="1"/>
  <c r="H328" i="1"/>
  <c r="J328" i="1" s="1"/>
  <c r="K328" i="1" s="1"/>
  <c r="H329" i="1"/>
  <c r="J329" i="1" s="1"/>
  <c r="K329" i="1" s="1"/>
  <c r="H330" i="1"/>
  <c r="J330" i="1" s="1"/>
  <c r="K330" i="1" s="1"/>
  <c r="H331" i="1"/>
  <c r="J331" i="1" s="1"/>
  <c r="K331" i="1" s="1"/>
  <c r="H332" i="1"/>
  <c r="J332" i="1" s="1"/>
  <c r="K332" i="1" s="1"/>
  <c r="H333" i="1"/>
  <c r="J333" i="1" s="1"/>
  <c r="K333" i="1" s="1"/>
  <c r="H334" i="1"/>
  <c r="J334" i="1" s="1"/>
  <c r="K334" i="1" s="1"/>
  <c r="H335" i="1"/>
  <c r="J335" i="1" s="1"/>
  <c r="K335" i="1" s="1"/>
  <c r="H336" i="1"/>
  <c r="J336" i="1" s="1"/>
  <c r="K336" i="1" s="1"/>
  <c r="H337" i="1"/>
  <c r="J337" i="1" s="1"/>
  <c r="K337" i="1" s="1"/>
  <c r="H338" i="1"/>
  <c r="J338" i="1" s="1"/>
  <c r="K338" i="1" s="1"/>
  <c r="H339" i="1"/>
  <c r="J339" i="1" s="1"/>
  <c r="K339" i="1" s="1"/>
  <c r="H340" i="1"/>
  <c r="J340" i="1" s="1"/>
  <c r="K340" i="1" s="1"/>
  <c r="H341" i="1"/>
  <c r="J341" i="1" s="1"/>
  <c r="K341" i="1" s="1"/>
  <c r="H342" i="1"/>
  <c r="J342" i="1" s="1"/>
  <c r="K342" i="1" s="1"/>
  <c r="H343" i="1"/>
  <c r="J343" i="1" s="1"/>
  <c r="K343" i="1" s="1"/>
  <c r="H344" i="1"/>
  <c r="J344" i="1" s="1"/>
  <c r="K344" i="1" s="1"/>
  <c r="H345" i="1"/>
  <c r="J345" i="1" s="1"/>
  <c r="K345" i="1" s="1"/>
  <c r="H346" i="1"/>
  <c r="J346" i="1" s="1"/>
  <c r="K346" i="1" s="1"/>
  <c r="H347" i="1"/>
  <c r="J347" i="1" s="1"/>
  <c r="K347" i="1" s="1"/>
  <c r="H348" i="1"/>
  <c r="J348" i="1" s="1"/>
  <c r="K348" i="1" s="1"/>
  <c r="H349" i="1"/>
  <c r="J349" i="1" s="1"/>
  <c r="K349" i="1" s="1"/>
  <c r="H350" i="1"/>
  <c r="J350" i="1" s="1"/>
  <c r="K350" i="1" s="1"/>
  <c r="H351" i="1"/>
  <c r="J351" i="1" s="1"/>
  <c r="K351" i="1" s="1"/>
  <c r="H352" i="1"/>
  <c r="J352" i="1" s="1"/>
  <c r="K352" i="1" s="1"/>
  <c r="H353" i="1"/>
  <c r="J353" i="1" s="1"/>
  <c r="K353" i="1" s="1"/>
  <c r="H354" i="1"/>
  <c r="J354" i="1" s="1"/>
  <c r="K354" i="1" s="1"/>
  <c r="H355" i="1"/>
  <c r="J355" i="1" s="1"/>
  <c r="K355" i="1" s="1"/>
  <c r="H356" i="1"/>
  <c r="J356" i="1" s="1"/>
  <c r="K356" i="1" s="1"/>
  <c r="H357" i="1"/>
  <c r="J357" i="1" s="1"/>
  <c r="K357" i="1" s="1"/>
  <c r="H358" i="1"/>
  <c r="J358" i="1" s="1"/>
  <c r="K358" i="1" s="1"/>
  <c r="H359" i="1"/>
  <c r="J359" i="1" s="1"/>
  <c r="K359" i="1" s="1"/>
  <c r="H360" i="1"/>
  <c r="J360" i="1" s="1"/>
  <c r="K360" i="1" s="1"/>
  <c r="H361" i="1"/>
  <c r="J361" i="1" s="1"/>
  <c r="K361" i="1" s="1"/>
  <c r="H362" i="1"/>
  <c r="J362" i="1" s="1"/>
  <c r="K362" i="1" s="1"/>
  <c r="H363" i="1"/>
  <c r="J363" i="1" s="1"/>
  <c r="K363" i="1" s="1"/>
  <c r="H364" i="1"/>
  <c r="J364" i="1" s="1"/>
  <c r="K364" i="1" s="1"/>
  <c r="H365" i="1"/>
  <c r="J365" i="1" s="1"/>
  <c r="K365" i="1" s="1"/>
  <c r="H366" i="1"/>
  <c r="J366" i="1" s="1"/>
  <c r="K366" i="1" s="1"/>
  <c r="H367" i="1"/>
  <c r="J367" i="1" s="1"/>
  <c r="K367" i="1" s="1"/>
  <c r="H368" i="1"/>
  <c r="J368" i="1" s="1"/>
  <c r="K368" i="1" s="1"/>
  <c r="H369" i="1"/>
  <c r="J369" i="1" s="1"/>
  <c r="K369" i="1" s="1"/>
  <c r="H370" i="1"/>
  <c r="J370" i="1" s="1"/>
  <c r="K370" i="1" s="1"/>
  <c r="H371" i="1"/>
  <c r="J371" i="1" s="1"/>
  <c r="K371" i="1" s="1"/>
  <c r="H372" i="1"/>
  <c r="J372" i="1" s="1"/>
  <c r="K372" i="1" s="1"/>
  <c r="H373" i="1"/>
  <c r="J373" i="1" s="1"/>
  <c r="K373" i="1" s="1"/>
  <c r="H374" i="1"/>
  <c r="J374" i="1" s="1"/>
  <c r="K374" i="1" s="1"/>
  <c r="H375" i="1"/>
  <c r="J375" i="1" s="1"/>
  <c r="K375" i="1" s="1"/>
  <c r="H376" i="1"/>
  <c r="J376" i="1" s="1"/>
  <c r="K376" i="1" s="1"/>
  <c r="H377" i="1"/>
  <c r="J377" i="1" s="1"/>
  <c r="K377" i="1" s="1"/>
  <c r="H378" i="1"/>
  <c r="J378" i="1" s="1"/>
  <c r="K378" i="1" s="1"/>
  <c r="H379" i="1"/>
  <c r="J379" i="1" s="1"/>
  <c r="K379" i="1" s="1"/>
  <c r="H380" i="1"/>
  <c r="J380" i="1" s="1"/>
  <c r="K380" i="1" s="1"/>
  <c r="H381" i="1"/>
  <c r="J381" i="1" s="1"/>
  <c r="K381" i="1" s="1"/>
  <c r="H382" i="1"/>
  <c r="J382" i="1" s="1"/>
  <c r="K382" i="1" s="1"/>
  <c r="H383" i="1"/>
  <c r="J383" i="1" s="1"/>
  <c r="K383" i="1" s="1"/>
  <c r="H384" i="1"/>
  <c r="J384" i="1" s="1"/>
  <c r="K384" i="1" s="1"/>
  <c r="H385" i="1"/>
  <c r="J385" i="1" s="1"/>
  <c r="K385" i="1" s="1"/>
  <c r="H386" i="1"/>
  <c r="J386" i="1" s="1"/>
  <c r="K386" i="1" s="1"/>
  <c r="H387" i="1"/>
  <c r="J387" i="1" s="1"/>
  <c r="K387" i="1" s="1"/>
  <c r="H388" i="1"/>
  <c r="J388" i="1" s="1"/>
  <c r="K388" i="1" s="1"/>
  <c r="H389" i="1"/>
  <c r="J389" i="1" s="1"/>
  <c r="K389" i="1" s="1"/>
  <c r="H390" i="1"/>
  <c r="J390" i="1" s="1"/>
  <c r="K390" i="1" s="1"/>
  <c r="H391" i="1"/>
  <c r="J391" i="1" s="1"/>
  <c r="K391" i="1" s="1"/>
  <c r="H392" i="1"/>
  <c r="J392" i="1" s="1"/>
  <c r="K392" i="1" s="1"/>
  <c r="H393" i="1"/>
  <c r="J393" i="1" s="1"/>
  <c r="K393" i="1" s="1"/>
  <c r="H394" i="1"/>
  <c r="J394" i="1" s="1"/>
  <c r="K394" i="1" s="1"/>
  <c r="H395" i="1"/>
  <c r="J395" i="1" s="1"/>
  <c r="K395" i="1" s="1"/>
  <c r="H396" i="1"/>
  <c r="J396" i="1" s="1"/>
  <c r="K396" i="1" s="1"/>
  <c r="H397" i="1"/>
  <c r="J397" i="1" s="1"/>
  <c r="K397" i="1" s="1"/>
  <c r="H398" i="1"/>
  <c r="J398" i="1" s="1"/>
  <c r="K398" i="1" s="1"/>
  <c r="H399" i="1"/>
  <c r="J399" i="1" s="1"/>
  <c r="K399" i="1" s="1"/>
  <c r="H400" i="1"/>
  <c r="J400" i="1" s="1"/>
  <c r="K400" i="1" s="1"/>
  <c r="H401" i="1"/>
  <c r="J401" i="1" s="1"/>
  <c r="K401" i="1" s="1"/>
  <c r="H402" i="1"/>
  <c r="J402" i="1" s="1"/>
  <c r="K402" i="1" s="1"/>
  <c r="H403" i="1"/>
  <c r="J403" i="1" s="1"/>
  <c r="K403" i="1" s="1"/>
  <c r="H404" i="1"/>
  <c r="J404" i="1" s="1"/>
  <c r="K404" i="1" s="1"/>
  <c r="H405" i="1"/>
  <c r="J405" i="1" s="1"/>
  <c r="K405" i="1" s="1"/>
  <c r="H406" i="1"/>
  <c r="J406" i="1" s="1"/>
  <c r="K406" i="1" s="1"/>
  <c r="H407" i="1"/>
  <c r="J407" i="1" s="1"/>
  <c r="K407" i="1" s="1"/>
  <c r="H408" i="1"/>
  <c r="J408" i="1" s="1"/>
  <c r="K408" i="1" s="1"/>
  <c r="H409" i="1"/>
  <c r="J409" i="1" s="1"/>
  <c r="K409" i="1" s="1"/>
  <c r="H410" i="1"/>
  <c r="J410" i="1" s="1"/>
  <c r="K410" i="1" s="1"/>
  <c r="H411" i="1"/>
  <c r="J411" i="1" s="1"/>
  <c r="K411" i="1" s="1"/>
  <c r="H412" i="1"/>
  <c r="J412" i="1" s="1"/>
  <c r="K412" i="1" s="1"/>
  <c r="H413" i="1"/>
  <c r="J413" i="1" s="1"/>
  <c r="K413" i="1" s="1"/>
  <c r="H414" i="1"/>
  <c r="J414" i="1" s="1"/>
  <c r="K414" i="1" s="1"/>
  <c r="H415" i="1"/>
  <c r="J415" i="1" s="1"/>
  <c r="K415" i="1" s="1"/>
  <c r="H416" i="1"/>
  <c r="J416" i="1" s="1"/>
  <c r="K416" i="1" s="1"/>
  <c r="H417" i="1"/>
  <c r="J417" i="1" s="1"/>
  <c r="K417" i="1" s="1"/>
  <c r="H418" i="1"/>
  <c r="J418" i="1" s="1"/>
  <c r="K418" i="1" s="1"/>
  <c r="H419" i="1"/>
  <c r="J419" i="1" s="1"/>
  <c r="K419" i="1" s="1"/>
  <c r="H420" i="1"/>
  <c r="J420" i="1" s="1"/>
  <c r="K420" i="1" s="1"/>
  <c r="H421" i="1"/>
  <c r="J421" i="1" s="1"/>
  <c r="K421" i="1" s="1"/>
  <c r="H422" i="1"/>
  <c r="J422" i="1" s="1"/>
  <c r="K422" i="1" s="1"/>
  <c r="H423" i="1"/>
  <c r="J423" i="1" s="1"/>
  <c r="K423" i="1" s="1"/>
  <c r="H424" i="1"/>
  <c r="J424" i="1" s="1"/>
  <c r="K424" i="1" s="1"/>
  <c r="H425" i="1"/>
  <c r="J425" i="1" s="1"/>
  <c r="K425" i="1" s="1"/>
  <c r="H426" i="1"/>
  <c r="J426" i="1" s="1"/>
  <c r="K426" i="1" s="1"/>
  <c r="H427" i="1"/>
  <c r="J427" i="1" s="1"/>
  <c r="K427" i="1" s="1"/>
  <c r="H428" i="1"/>
  <c r="J428" i="1" s="1"/>
  <c r="K428" i="1" s="1"/>
  <c r="H429" i="1"/>
  <c r="J429" i="1" s="1"/>
  <c r="K429" i="1" s="1"/>
  <c r="H430" i="1"/>
  <c r="J430" i="1" s="1"/>
  <c r="K430" i="1" s="1"/>
  <c r="H431" i="1"/>
  <c r="J431" i="1" s="1"/>
  <c r="K431" i="1" s="1"/>
  <c r="H432" i="1"/>
  <c r="J432" i="1" s="1"/>
  <c r="K432" i="1" s="1"/>
  <c r="H433" i="1"/>
  <c r="J433" i="1" s="1"/>
  <c r="K433" i="1" s="1"/>
  <c r="H434" i="1"/>
  <c r="J434" i="1" s="1"/>
  <c r="K434" i="1" s="1"/>
  <c r="H435" i="1"/>
  <c r="J435" i="1" s="1"/>
  <c r="K435" i="1" s="1"/>
  <c r="H436" i="1"/>
  <c r="J436" i="1" s="1"/>
  <c r="K436" i="1" s="1"/>
  <c r="H437" i="1"/>
  <c r="J437" i="1" s="1"/>
  <c r="K437" i="1" s="1"/>
  <c r="H438" i="1"/>
  <c r="J438" i="1" s="1"/>
  <c r="K438" i="1" s="1"/>
  <c r="H439" i="1"/>
  <c r="J439" i="1" s="1"/>
  <c r="K439" i="1" s="1"/>
  <c r="H440" i="1"/>
  <c r="J440" i="1" s="1"/>
  <c r="K440" i="1" s="1"/>
  <c r="H441" i="1"/>
  <c r="J441" i="1" s="1"/>
  <c r="K441" i="1" s="1"/>
  <c r="H442" i="1"/>
  <c r="J442" i="1" s="1"/>
  <c r="K442" i="1" s="1"/>
  <c r="H443" i="1"/>
  <c r="J443" i="1" s="1"/>
  <c r="K443" i="1" s="1"/>
  <c r="H444" i="1"/>
  <c r="J444" i="1" s="1"/>
  <c r="K444" i="1" s="1"/>
  <c r="H445" i="1"/>
  <c r="J445" i="1" s="1"/>
  <c r="K445" i="1" s="1"/>
  <c r="H446" i="1"/>
  <c r="J446" i="1" s="1"/>
  <c r="K446" i="1" s="1"/>
  <c r="H447" i="1"/>
  <c r="J447" i="1" s="1"/>
  <c r="K447" i="1" s="1"/>
  <c r="H448" i="1"/>
  <c r="J448" i="1" s="1"/>
  <c r="K448" i="1" s="1"/>
  <c r="H449" i="1"/>
  <c r="J449" i="1" s="1"/>
  <c r="K449" i="1" s="1"/>
  <c r="H450" i="1"/>
  <c r="J450" i="1" s="1"/>
  <c r="K450" i="1" s="1"/>
  <c r="H451" i="1"/>
  <c r="J451" i="1" s="1"/>
  <c r="K451" i="1" s="1"/>
  <c r="H452" i="1"/>
  <c r="J452" i="1" s="1"/>
  <c r="K452" i="1" s="1"/>
  <c r="H453" i="1"/>
  <c r="J453" i="1" s="1"/>
  <c r="K453" i="1" s="1"/>
  <c r="H454" i="1"/>
  <c r="J454" i="1" s="1"/>
  <c r="K454" i="1" s="1"/>
  <c r="H455" i="1"/>
  <c r="J455" i="1" s="1"/>
  <c r="K455" i="1" s="1"/>
  <c r="H456" i="1"/>
  <c r="J456" i="1" s="1"/>
  <c r="K456" i="1" s="1"/>
  <c r="H457" i="1"/>
  <c r="J457" i="1" s="1"/>
  <c r="K457" i="1" s="1"/>
  <c r="H458" i="1"/>
  <c r="J458" i="1" s="1"/>
  <c r="K458" i="1" s="1"/>
  <c r="H459" i="1"/>
  <c r="J459" i="1" s="1"/>
  <c r="K459" i="1" s="1"/>
  <c r="H460" i="1"/>
  <c r="J460" i="1" s="1"/>
  <c r="K460" i="1" s="1"/>
  <c r="H461" i="1"/>
  <c r="J461" i="1" s="1"/>
  <c r="K461" i="1" s="1"/>
  <c r="H462" i="1"/>
  <c r="J462" i="1" s="1"/>
  <c r="K462" i="1" s="1"/>
  <c r="H463" i="1"/>
  <c r="J463" i="1" s="1"/>
  <c r="K463" i="1" s="1"/>
  <c r="H464" i="1"/>
  <c r="J464" i="1" s="1"/>
  <c r="K464" i="1" s="1"/>
  <c r="H465" i="1"/>
  <c r="J465" i="1" s="1"/>
  <c r="K465" i="1" s="1"/>
  <c r="H466" i="1"/>
  <c r="J466" i="1" s="1"/>
  <c r="K466" i="1" s="1"/>
  <c r="H467" i="1"/>
  <c r="J467" i="1" s="1"/>
  <c r="K467" i="1" s="1"/>
  <c r="H468" i="1"/>
  <c r="J468" i="1" s="1"/>
  <c r="K468" i="1" s="1"/>
  <c r="H469" i="1"/>
  <c r="J469" i="1" s="1"/>
  <c r="K469" i="1" s="1"/>
  <c r="H470" i="1"/>
  <c r="J470" i="1" s="1"/>
  <c r="K470" i="1" s="1"/>
  <c r="H471" i="1"/>
  <c r="J471" i="1" s="1"/>
  <c r="K471" i="1" s="1"/>
  <c r="H472" i="1"/>
  <c r="J472" i="1" s="1"/>
  <c r="K472" i="1" s="1"/>
  <c r="H473" i="1"/>
  <c r="J473" i="1" s="1"/>
  <c r="K473" i="1" s="1"/>
  <c r="H474" i="1"/>
  <c r="J474" i="1" s="1"/>
  <c r="K474" i="1" s="1"/>
  <c r="H475" i="1"/>
  <c r="J475" i="1" s="1"/>
  <c r="K475" i="1" s="1"/>
  <c r="H476" i="1"/>
  <c r="J476" i="1" s="1"/>
  <c r="K476" i="1" s="1"/>
  <c r="H477" i="1"/>
  <c r="J477" i="1" s="1"/>
  <c r="K477" i="1" s="1"/>
  <c r="H478" i="1"/>
  <c r="J478" i="1" s="1"/>
  <c r="K478" i="1" s="1"/>
  <c r="H479" i="1"/>
  <c r="J479" i="1" s="1"/>
  <c r="K479" i="1" s="1"/>
  <c r="H480" i="1"/>
  <c r="J480" i="1" s="1"/>
  <c r="K480" i="1" s="1"/>
  <c r="H481" i="1"/>
  <c r="J481" i="1" s="1"/>
  <c r="K481" i="1" s="1"/>
  <c r="H482" i="1"/>
  <c r="J482" i="1" s="1"/>
  <c r="K482" i="1" s="1"/>
  <c r="H483" i="1"/>
  <c r="J483" i="1" s="1"/>
  <c r="K483" i="1" s="1"/>
  <c r="H484" i="1"/>
  <c r="J484" i="1" s="1"/>
  <c r="K484" i="1" s="1"/>
  <c r="H485" i="1"/>
  <c r="J485" i="1" s="1"/>
  <c r="K485" i="1" s="1"/>
  <c r="H486" i="1"/>
  <c r="J486" i="1" s="1"/>
  <c r="K486" i="1" s="1"/>
  <c r="H487" i="1"/>
  <c r="J487" i="1" s="1"/>
  <c r="K487" i="1" s="1"/>
  <c r="H488" i="1"/>
  <c r="J488" i="1" s="1"/>
  <c r="K488" i="1" s="1"/>
  <c r="H489" i="1"/>
  <c r="J489" i="1" s="1"/>
  <c r="K489" i="1" s="1"/>
  <c r="H490" i="1"/>
  <c r="J490" i="1" s="1"/>
  <c r="K490" i="1" s="1"/>
  <c r="H491" i="1"/>
  <c r="J491" i="1" s="1"/>
  <c r="K491" i="1" s="1"/>
  <c r="H492" i="1"/>
  <c r="J492" i="1" s="1"/>
  <c r="K492" i="1" s="1"/>
  <c r="H493" i="1"/>
  <c r="J493" i="1" s="1"/>
  <c r="K493" i="1" s="1"/>
  <c r="H494" i="1"/>
  <c r="J494" i="1" s="1"/>
  <c r="K494" i="1" s="1"/>
  <c r="H495" i="1"/>
  <c r="J495" i="1" s="1"/>
  <c r="K495" i="1" s="1"/>
  <c r="H496" i="1"/>
  <c r="J496" i="1" s="1"/>
  <c r="K496" i="1" s="1"/>
  <c r="H497" i="1"/>
  <c r="J497" i="1" s="1"/>
  <c r="K497" i="1" s="1"/>
  <c r="H498" i="1"/>
  <c r="J498" i="1" s="1"/>
  <c r="K498" i="1" s="1"/>
  <c r="H499" i="1"/>
  <c r="J499" i="1" s="1"/>
  <c r="K499" i="1" s="1"/>
  <c r="H500" i="1"/>
  <c r="J500" i="1" s="1"/>
  <c r="K500" i="1" s="1"/>
  <c r="H501" i="1"/>
  <c r="J501" i="1" s="1"/>
  <c r="K501" i="1" s="1"/>
  <c r="H502" i="1"/>
  <c r="J502" i="1" s="1"/>
  <c r="K502" i="1" s="1"/>
  <c r="H503" i="1"/>
  <c r="J503" i="1" s="1"/>
  <c r="K503" i="1" s="1"/>
  <c r="H504" i="1"/>
  <c r="J504" i="1" s="1"/>
  <c r="K504" i="1" s="1"/>
  <c r="H505" i="1"/>
  <c r="J505" i="1" s="1"/>
  <c r="K505" i="1" s="1"/>
  <c r="H506" i="1"/>
  <c r="J506" i="1" s="1"/>
  <c r="K506" i="1" s="1"/>
  <c r="H507" i="1"/>
  <c r="J507" i="1" s="1"/>
  <c r="K507" i="1" s="1"/>
  <c r="H508" i="1"/>
  <c r="J508" i="1" s="1"/>
  <c r="K508" i="1" s="1"/>
  <c r="H509" i="1"/>
  <c r="J509" i="1" s="1"/>
  <c r="K509" i="1" s="1"/>
  <c r="H510" i="1"/>
  <c r="J510" i="1" s="1"/>
  <c r="K510" i="1" s="1"/>
  <c r="H511" i="1"/>
  <c r="J511" i="1" s="1"/>
  <c r="K511" i="1" s="1"/>
  <c r="H512" i="1"/>
  <c r="J512" i="1" s="1"/>
  <c r="K512" i="1" s="1"/>
  <c r="H513" i="1"/>
  <c r="J513" i="1" s="1"/>
  <c r="K513" i="1" s="1"/>
  <c r="H514" i="1"/>
  <c r="J514" i="1" s="1"/>
  <c r="K514" i="1" s="1"/>
  <c r="H515" i="1"/>
  <c r="J515" i="1" s="1"/>
  <c r="K515" i="1" s="1"/>
  <c r="H516" i="1"/>
  <c r="J516" i="1" s="1"/>
  <c r="K516" i="1" s="1"/>
  <c r="H517" i="1"/>
  <c r="J517" i="1" s="1"/>
  <c r="K517" i="1" s="1"/>
  <c r="H518" i="1"/>
  <c r="J518" i="1" s="1"/>
  <c r="K518" i="1" s="1"/>
  <c r="H519" i="1"/>
  <c r="J519" i="1" s="1"/>
  <c r="K519" i="1" s="1"/>
  <c r="H520" i="1"/>
  <c r="J520" i="1" s="1"/>
  <c r="K520" i="1" s="1"/>
  <c r="H521" i="1"/>
  <c r="J521" i="1" s="1"/>
  <c r="K521" i="1" s="1"/>
  <c r="H522" i="1"/>
  <c r="J522" i="1" s="1"/>
  <c r="K522" i="1" s="1"/>
  <c r="H523" i="1"/>
  <c r="J523" i="1" s="1"/>
  <c r="K523" i="1" s="1"/>
  <c r="H524" i="1"/>
  <c r="J524" i="1" s="1"/>
  <c r="K524" i="1" s="1"/>
  <c r="H525" i="1"/>
  <c r="J525" i="1" s="1"/>
  <c r="K525" i="1" s="1"/>
  <c r="H526" i="1"/>
  <c r="J526" i="1" s="1"/>
  <c r="K526" i="1" s="1"/>
  <c r="H527" i="1"/>
  <c r="J527" i="1" s="1"/>
  <c r="K527" i="1" s="1"/>
  <c r="H528" i="1"/>
  <c r="J528" i="1" s="1"/>
  <c r="K528" i="1" s="1"/>
  <c r="H529" i="1"/>
  <c r="J529" i="1" s="1"/>
  <c r="K529" i="1" s="1"/>
  <c r="H530" i="1"/>
  <c r="J530" i="1" s="1"/>
  <c r="K530" i="1" s="1"/>
  <c r="H531" i="1"/>
  <c r="J531" i="1" s="1"/>
  <c r="K531" i="1" s="1"/>
  <c r="H532" i="1"/>
  <c r="J532" i="1" s="1"/>
  <c r="K532" i="1" s="1"/>
  <c r="H533" i="1"/>
  <c r="J533" i="1" s="1"/>
  <c r="K533" i="1" s="1"/>
  <c r="H534" i="1"/>
  <c r="J534" i="1" s="1"/>
  <c r="K534" i="1" s="1"/>
  <c r="H535" i="1"/>
  <c r="J535" i="1" s="1"/>
  <c r="K535" i="1" s="1"/>
  <c r="H536" i="1"/>
  <c r="J536" i="1" s="1"/>
  <c r="K536" i="1" s="1"/>
  <c r="H537" i="1"/>
  <c r="J537" i="1" s="1"/>
  <c r="K537" i="1" s="1"/>
  <c r="H538" i="1"/>
  <c r="J538" i="1" s="1"/>
  <c r="K538" i="1" s="1"/>
  <c r="H539" i="1"/>
  <c r="J539" i="1" s="1"/>
  <c r="K539" i="1" s="1"/>
  <c r="H540" i="1"/>
  <c r="J540" i="1" s="1"/>
  <c r="K540" i="1" s="1"/>
  <c r="H541" i="1"/>
  <c r="J541" i="1" s="1"/>
  <c r="K541" i="1" s="1"/>
  <c r="H542" i="1"/>
  <c r="J542" i="1" s="1"/>
  <c r="K542" i="1" s="1"/>
  <c r="H543" i="1"/>
  <c r="J543" i="1" s="1"/>
  <c r="K543" i="1" s="1"/>
  <c r="H544" i="1"/>
  <c r="J544" i="1" s="1"/>
  <c r="K544" i="1" s="1"/>
  <c r="H545" i="1"/>
  <c r="J545" i="1" s="1"/>
  <c r="K545" i="1" s="1"/>
  <c r="H546" i="1"/>
  <c r="J546" i="1" s="1"/>
  <c r="K546" i="1" s="1"/>
  <c r="H547" i="1"/>
  <c r="J547" i="1" s="1"/>
  <c r="K547" i="1" s="1"/>
  <c r="H548" i="1"/>
  <c r="J548" i="1" s="1"/>
  <c r="K548" i="1" s="1"/>
  <c r="H549" i="1"/>
  <c r="J549" i="1" s="1"/>
  <c r="K549" i="1" s="1"/>
  <c r="H550" i="1"/>
  <c r="J550" i="1" s="1"/>
  <c r="K550" i="1" s="1"/>
  <c r="H551" i="1"/>
  <c r="J551" i="1" s="1"/>
  <c r="K551" i="1" s="1"/>
  <c r="H552" i="1"/>
  <c r="J552" i="1" s="1"/>
  <c r="K552" i="1" s="1"/>
  <c r="H553" i="1"/>
  <c r="J553" i="1" s="1"/>
  <c r="K553" i="1" s="1"/>
  <c r="H554" i="1"/>
  <c r="J554" i="1" s="1"/>
  <c r="K554" i="1" s="1"/>
  <c r="H555" i="1"/>
  <c r="J555" i="1" s="1"/>
  <c r="K555" i="1" s="1"/>
  <c r="H556" i="1"/>
  <c r="J556" i="1" s="1"/>
  <c r="K556" i="1" s="1"/>
  <c r="H557" i="1"/>
  <c r="J557" i="1" s="1"/>
  <c r="K557" i="1" s="1"/>
  <c r="H558" i="1"/>
  <c r="J558" i="1" s="1"/>
  <c r="K558" i="1" s="1"/>
  <c r="H559" i="1"/>
  <c r="J559" i="1" s="1"/>
  <c r="K559" i="1" s="1"/>
  <c r="H560" i="1"/>
  <c r="J560" i="1" s="1"/>
  <c r="K560" i="1" s="1"/>
  <c r="H561" i="1"/>
  <c r="J561" i="1" s="1"/>
  <c r="K561" i="1" s="1"/>
  <c r="H562" i="1"/>
  <c r="J562" i="1" s="1"/>
  <c r="K562" i="1" s="1"/>
  <c r="H563" i="1"/>
  <c r="J563" i="1" s="1"/>
  <c r="K563" i="1" s="1"/>
  <c r="H564" i="1"/>
  <c r="J564" i="1" s="1"/>
  <c r="K564" i="1" s="1"/>
  <c r="H565" i="1"/>
  <c r="J565" i="1" s="1"/>
  <c r="K565" i="1" s="1"/>
  <c r="H566" i="1"/>
  <c r="J566" i="1" s="1"/>
  <c r="K566" i="1" s="1"/>
  <c r="H567" i="1"/>
  <c r="J567" i="1" s="1"/>
  <c r="K567" i="1" s="1"/>
  <c r="H568" i="1"/>
  <c r="J568" i="1" s="1"/>
  <c r="K568" i="1" s="1"/>
  <c r="H569" i="1"/>
  <c r="J569" i="1" s="1"/>
  <c r="K569" i="1" s="1"/>
  <c r="H570" i="1"/>
  <c r="J570" i="1" s="1"/>
  <c r="K570" i="1" s="1"/>
  <c r="H571" i="1"/>
  <c r="J571" i="1" s="1"/>
  <c r="K571" i="1" s="1"/>
  <c r="H572" i="1"/>
  <c r="J572" i="1" s="1"/>
  <c r="K572" i="1" s="1"/>
  <c r="H573" i="1"/>
  <c r="J573" i="1" s="1"/>
  <c r="K573" i="1" s="1"/>
  <c r="H574" i="1"/>
  <c r="J574" i="1" s="1"/>
  <c r="K574" i="1" s="1"/>
  <c r="H575" i="1"/>
  <c r="J575" i="1" s="1"/>
  <c r="K575" i="1" s="1"/>
  <c r="H576" i="1"/>
  <c r="J576" i="1" s="1"/>
  <c r="K576" i="1" s="1"/>
  <c r="H577" i="1"/>
  <c r="J577" i="1" s="1"/>
  <c r="K577" i="1" s="1"/>
  <c r="H578" i="1"/>
  <c r="J578" i="1" s="1"/>
  <c r="K578" i="1" s="1"/>
  <c r="H579" i="1"/>
  <c r="J579" i="1" s="1"/>
  <c r="K579" i="1" s="1"/>
  <c r="H580" i="1"/>
  <c r="J580" i="1" s="1"/>
  <c r="K580" i="1" s="1"/>
  <c r="H581" i="1"/>
  <c r="J581" i="1" s="1"/>
  <c r="K581" i="1" s="1"/>
  <c r="H582" i="1"/>
  <c r="J582" i="1" s="1"/>
  <c r="K582" i="1" s="1"/>
  <c r="H583" i="1"/>
  <c r="J583" i="1" s="1"/>
  <c r="K583" i="1" s="1"/>
  <c r="H584" i="1"/>
  <c r="J584" i="1" s="1"/>
  <c r="K584" i="1" s="1"/>
  <c r="H585" i="1"/>
  <c r="J585" i="1" s="1"/>
  <c r="K585" i="1" s="1"/>
  <c r="H586" i="1"/>
  <c r="J586" i="1" s="1"/>
  <c r="K586" i="1" s="1"/>
  <c r="H587" i="1"/>
  <c r="J587" i="1" s="1"/>
  <c r="K587" i="1" s="1"/>
  <c r="H588" i="1"/>
  <c r="J588" i="1" s="1"/>
  <c r="K588" i="1" s="1"/>
  <c r="H589" i="1"/>
  <c r="J589" i="1" s="1"/>
  <c r="K589" i="1" s="1"/>
  <c r="H590" i="1"/>
  <c r="J590" i="1" s="1"/>
  <c r="K590" i="1" s="1"/>
  <c r="H591" i="1"/>
  <c r="J591" i="1" s="1"/>
  <c r="K591" i="1" s="1"/>
  <c r="H592" i="1"/>
  <c r="J592" i="1" s="1"/>
  <c r="K592" i="1" s="1"/>
  <c r="H593" i="1"/>
  <c r="J593" i="1" s="1"/>
  <c r="K593" i="1" s="1"/>
  <c r="H594" i="1"/>
  <c r="J594" i="1" s="1"/>
  <c r="K594" i="1" s="1"/>
  <c r="H595" i="1"/>
  <c r="J595" i="1" s="1"/>
  <c r="K595" i="1" s="1"/>
  <c r="H596" i="1"/>
  <c r="J596" i="1" s="1"/>
  <c r="K596" i="1" s="1"/>
  <c r="H597" i="1"/>
  <c r="J597" i="1" s="1"/>
  <c r="K597" i="1" s="1"/>
  <c r="H598" i="1"/>
  <c r="J598" i="1" s="1"/>
  <c r="K598" i="1" s="1"/>
  <c r="H599" i="1"/>
  <c r="J599" i="1" s="1"/>
  <c r="K599" i="1" s="1"/>
  <c r="H600" i="1"/>
  <c r="J600" i="1" s="1"/>
  <c r="K600" i="1" s="1"/>
  <c r="H601" i="1"/>
  <c r="J601" i="1" s="1"/>
  <c r="K601" i="1" s="1"/>
  <c r="H602" i="1"/>
  <c r="J602" i="1" s="1"/>
  <c r="K602" i="1" s="1"/>
  <c r="H603" i="1"/>
  <c r="J603" i="1" s="1"/>
  <c r="K603" i="1" s="1"/>
  <c r="H604" i="1"/>
  <c r="J604" i="1" s="1"/>
  <c r="K604" i="1" s="1"/>
  <c r="H605" i="1"/>
  <c r="J605" i="1" s="1"/>
  <c r="K605" i="1" s="1"/>
  <c r="H606" i="1"/>
  <c r="J606" i="1" s="1"/>
  <c r="K606" i="1" s="1"/>
  <c r="H607" i="1"/>
  <c r="J607" i="1" s="1"/>
  <c r="K607" i="1" s="1"/>
  <c r="H608" i="1"/>
  <c r="J608" i="1" s="1"/>
  <c r="K608" i="1" s="1"/>
  <c r="H609" i="1"/>
  <c r="J609" i="1" s="1"/>
  <c r="K609" i="1" s="1"/>
  <c r="H610" i="1"/>
  <c r="J610" i="1" s="1"/>
  <c r="K610" i="1" s="1"/>
  <c r="H611" i="1"/>
  <c r="J611" i="1" s="1"/>
  <c r="K611" i="1" s="1"/>
  <c r="H612" i="1"/>
  <c r="J612" i="1" s="1"/>
  <c r="K612" i="1" s="1"/>
  <c r="H613" i="1"/>
  <c r="J613" i="1" s="1"/>
  <c r="K613" i="1" s="1"/>
  <c r="H614" i="1"/>
  <c r="J614" i="1" s="1"/>
  <c r="K614" i="1" s="1"/>
  <c r="H615" i="1"/>
  <c r="J615" i="1" s="1"/>
  <c r="K615" i="1" s="1"/>
  <c r="H616" i="1"/>
  <c r="J616" i="1" s="1"/>
  <c r="K616" i="1" s="1"/>
  <c r="H617" i="1"/>
  <c r="J617" i="1" s="1"/>
  <c r="K617" i="1" s="1"/>
  <c r="H618" i="1"/>
  <c r="J618" i="1" s="1"/>
  <c r="K618" i="1" s="1"/>
  <c r="H619" i="1"/>
  <c r="J619" i="1" s="1"/>
  <c r="K619" i="1" s="1"/>
  <c r="H620" i="1"/>
  <c r="J620" i="1" s="1"/>
  <c r="K620" i="1" s="1"/>
  <c r="H621" i="1"/>
  <c r="J621" i="1" s="1"/>
  <c r="K621" i="1" s="1"/>
  <c r="H622" i="1"/>
  <c r="J622" i="1" s="1"/>
  <c r="K622" i="1" s="1"/>
  <c r="H623" i="1"/>
  <c r="J623" i="1" s="1"/>
  <c r="K623" i="1" s="1"/>
  <c r="H624" i="1"/>
  <c r="J624" i="1" s="1"/>
  <c r="K624" i="1" s="1"/>
  <c r="H625" i="1"/>
  <c r="J625" i="1" s="1"/>
  <c r="K625" i="1" s="1"/>
  <c r="H626" i="1"/>
  <c r="J626" i="1" s="1"/>
  <c r="K626" i="1" s="1"/>
  <c r="H627" i="1"/>
  <c r="J627" i="1" s="1"/>
  <c r="K627" i="1" s="1"/>
  <c r="H628" i="1"/>
  <c r="J628" i="1" s="1"/>
  <c r="K628" i="1" s="1"/>
  <c r="H629" i="1"/>
  <c r="J629" i="1" s="1"/>
  <c r="K629" i="1" s="1"/>
  <c r="H630" i="1"/>
  <c r="J630" i="1" s="1"/>
  <c r="K630" i="1" s="1"/>
  <c r="H631" i="1"/>
  <c r="J631" i="1" s="1"/>
  <c r="K631" i="1" s="1"/>
  <c r="H632" i="1"/>
  <c r="J632" i="1" s="1"/>
  <c r="K632" i="1" s="1"/>
  <c r="H633" i="1"/>
  <c r="J633" i="1" s="1"/>
  <c r="K633" i="1" s="1"/>
  <c r="H634" i="1"/>
  <c r="J634" i="1" s="1"/>
  <c r="K634" i="1" s="1"/>
  <c r="H635" i="1"/>
  <c r="J635" i="1" s="1"/>
  <c r="K635" i="1" s="1"/>
  <c r="H636" i="1"/>
  <c r="J636" i="1" s="1"/>
  <c r="K636" i="1" s="1"/>
  <c r="H637" i="1"/>
  <c r="J637" i="1" s="1"/>
  <c r="K637" i="1" s="1"/>
  <c r="H638" i="1"/>
  <c r="J638" i="1" s="1"/>
  <c r="K638" i="1" s="1"/>
  <c r="H639" i="1"/>
  <c r="J639" i="1" s="1"/>
  <c r="K639" i="1" s="1"/>
  <c r="H640" i="1"/>
  <c r="J640" i="1" s="1"/>
  <c r="K640" i="1" s="1"/>
  <c r="H641" i="1"/>
  <c r="J641" i="1" s="1"/>
  <c r="K641" i="1" s="1"/>
  <c r="H642" i="1"/>
  <c r="J642" i="1" s="1"/>
  <c r="K642" i="1" s="1"/>
  <c r="H643" i="1"/>
  <c r="J643" i="1" s="1"/>
  <c r="K643" i="1" s="1"/>
  <c r="H644" i="1"/>
  <c r="J644" i="1" s="1"/>
  <c r="K644" i="1" s="1"/>
  <c r="H645" i="1"/>
  <c r="J645" i="1" s="1"/>
  <c r="K645" i="1" s="1"/>
  <c r="H646" i="1"/>
  <c r="J646" i="1" s="1"/>
  <c r="K646" i="1" s="1"/>
  <c r="H647" i="1"/>
  <c r="J647" i="1" s="1"/>
  <c r="K647" i="1" s="1"/>
  <c r="H648" i="1"/>
  <c r="J648" i="1" s="1"/>
  <c r="K648" i="1" s="1"/>
  <c r="H649" i="1"/>
  <c r="J649" i="1" s="1"/>
  <c r="K649" i="1" s="1"/>
  <c r="H650" i="1"/>
  <c r="J650" i="1" s="1"/>
  <c r="K650" i="1" s="1"/>
  <c r="H651" i="1"/>
  <c r="J651" i="1" s="1"/>
  <c r="K651" i="1" s="1"/>
  <c r="H652" i="1"/>
  <c r="J652" i="1" s="1"/>
  <c r="K652" i="1" s="1"/>
  <c r="H653" i="1"/>
  <c r="J653" i="1" s="1"/>
  <c r="K653" i="1" s="1"/>
  <c r="H654" i="1"/>
  <c r="J654" i="1" s="1"/>
  <c r="K654" i="1" s="1"/>
  <c r="H655" i="1"/>
  <c r="J655" i="1" s="1"/>
  <c r="K655" i="1" s="1"/>
  <c r="H656" i="1"/>
  <c r="J656" i="1" s="1"/>
  <c r="K656" i="1" s="1"/>
  <c r="H657" i="1"/>
  <c r="J657" i="1" s="1"/>
  <c r="K657" i="1" s="1"/>
  <c r="H658" i="1"/>
  <c r="J658" i="1" s="1"/>
  <c r="K658" i="1" s="1"/>
  <c r="H659" i="1"/>
  <c r="J659" i="1" s="1"/>
  <c r="K659" i="1" s="1"/>
  <c r="H660" i="1"/>
  <c r="J660" i="1" s="1"/>
  <c r="K660" i="1" s="1"/>
  <c r="H661" i="1"/>
  <c r="J661" i="1" s="1"/>
  <c r="K661" i="1" s="1"/>
  <c r="H662" i="1"/>
  <c r="J662" i="1" s="1"/>
  <c r="K662" i="1" s="1"/>
  <c r="H663" i="1"/>
  <c r="J663" i="1" s="1"/>
  <c r="K663" i="1" s="1"/>
  <c r="H664" i="1"/>
  <c r="J664" i="1" s="1"/>
  <c r="K664" i="1" s="1"/>
  <c r="H665" i="1"/>
  <c r="J665" i="1" s="1"/>
  <c r="K665" i="1" s="1"/>
  <c r="H666" i="1"/>
  <c r="J666" i="1" s="1"/>
  <c r="K666" i="1" s="1"/>
  <c r="H667" i="1"/>
  <c r="J667" i="1" s="1"/>
  <c r="K667" i="1" s="1"/>
  <c r="H668" i="1"/>
  <c r="J668" i="1" s="1"/>
  <c r="K668" i="1" s="1"/>
  <c r="H669" i="1"/>
  <c r="J669" i="1" s="1"/>
  <c r="K669" i="1" s="1"/>
  <c r="H670" i="1"/>
  <c r="J670" i="1" s="1"/>
  <c r="K670" i="1" s="1"/>
  <c r="H671" i="1"/>
  <c r="J671" i="1" s="1"/>
  <c r="K671" i="1" s="1"/>
  <c r="H672" i="1"/>
  <c r="J672" i="1" s="1"/>
  <c r="K672" i="1" s="1"/>
  <c r="H673" i="1"/>
  <c r="J673" i="1" s="1"/>
  <c r="K673" i="1" s="1"/>
  <c r="H674" i="1"/>
  <c r="J674" i="1" s="1"/>
  <c r="K674" i="1" s="1"/>
  <c r="H675" i="1"/>
  <c r="J675" i="1" s="1"/>
  <c r="K675" i="1" s="1"/>
  <c r="H676" i="1"/>
  <c r="J676" i="1" s="1"/>
  <c r="K676" i="1" s="1"/>
  <c r="H677" i="1"/>
  <c r="J677" i="1" s="1"/>
  <c r="K677" i="1" s="1"/>
  <c r="H678" i="1"/>
  <c r="J678" i="1" s="1"/>
  <c r="K678" i="1" s="1"/>
  <c r="H679" i="1"/>
  <c r="J679" i="1" s="1"/>
  <c r="K679" i="1" s="1"/>
  <c r="H680" i="1"/>
  <c r="J680" i="1" s="1"/>
  <c r="K680" i="1" s="1"/>
  <c r="H681" i="1"/>
  <c r="J681" i="1" s="1"/>
  <c r="K681" i="1" s="1"/>
  <c r="H682" i="1"/>
  <c r="J682" i="1" s="1"/>
  <c r="K682" i="1" s="1"/>
  <c r="H683" i="1"/>
  <c r="J683" i="1" s="1"/>
  <c r="K683" i="1" s="1"/>
  <c r="H684" i="1"/>
  <c r="J684" i="1" s="1"/>
  <c r="K684" i="1" s="1"/>
  <c r="H685" i="1"/>
  <c r="J685" i="1" s="1"/>
  <c r="K685" i="1" s="1"/>
  <c r="H686" i="1"/>
  <c r="J686" i="1" s="1"/>
  <c r="K686" i="1" s="1"/>
  <c r="H687" i="1"/>
  <c r="J687" i="1" s="1"/>
  <c r="K687" i="1" s="1"/>
  <c r="H688" i="1"/>
  <c r="J688" i="1" s="1"/>
  <c r="K688" i="1" s="1"/>
  <c r="H689" i="1"/>
  <c r="J689" i="1" s="1"/>
  <c r="K689" i="1" s="1"/>
  <c r="H690" i="1"/>
  <c r="J690" i="1" s="1"/>
  <c r="K690" i="1" s="1"/>
  <c r="H691" i="1"/>
  <c r="J691" i="1" s="1"/>
  <c r="K691" i="1" s="1"/>
  <c r="H692" i="1"/>
  <c r="J692" i="1" s="1"/>
  <c r="K692" i="1" s="1"/>
  <c r="H693" i="1"/>
  <c r="J693" i="1" s="1"/>
  <c r="K693" i="1" s="1"/>
  <c r="H694" i="1"/>
  <c r="J694" i="1" s="1"/>
  <c r="K694" i="1" s="1"/>
  <c r="H695" i="1"/>
  <c r="J695" i="1" s="1"/>
  <c r="K695" i="1" s="1"/>
  <c r="H696" i="1"/>
  <c r="J696" i="1" s="1"/>
  <c r="K696" i="1" s="1"/>
  <c r="H697" i="1"/>
  <c r="J697" i="1" s="1"/>
  <c r="K697" i="1" s="1"/>
  <c r="H698" i="1"/>
  <c r="J698" i="1" s="1"/>
  <c r="K698" i="1" s="1"/>
  <c r="H699" i="1"/>
  <c r="J699" i="1" s="1"/>
  <c r="K699" i="1" s="1"/>
  <c r="H700" i="1"/>
  <c r="J700" i="1" s="1"/>
  <c r="K700" i="1" s="1"/>
  <c r="H701" i="1"/>
  <c r="J701" i="1" s="1"/>
  <c r="K701" i="1" s="1"/>
  <c r="H702" i="1"/>
  <c r="J702" i="1" s="1"/>
  <c r="K702" i="1" s="1"/>
  <c r="H703" i="1"/>
  <c r="J703" i="1" s="1"/>
  <c r="K703" i="1" s="1"/>
  <c r="H704" i="1"/>
  <c r="J704" i="1" s="1"/>
  <c r="K704" i="1" s="1"/>
  <c r="H705" i="1"/>
  <c r="J705" i="1" s="1"/>
  <c r="K705" i="1" s="1"/>
  <c r="H706" i="1"/>
  <c r="J706" i="1" s="1"/>
  <c r="K706" i="1" s="1"/>
  <c r="H707" i="1"/>
  <c r="J707" i="1" s="1"/>
  <c r="K707" i="1" s="1"/>
  <c r="H708" i="1"/>
  <c r="J708" i="1" s="1"/>
  <c r="K708" i="1" s="1"/>
  <c r="H709" i="1"/>
  <c r="J709" i="1" s="1"/>
  <c r="K709" i="1" s="1"/>
  <c r="H710" i="1"/>
  <c r="J710" i="1" s="1"/>
  <c r="K710" i="1" s="1"/>
  <c r="H711" i="1"/>
  <c r="J711" i="1" s="1"/>
  <c r="K711" i="1" s="1"/>
  <c r="H712" i="1"/>
  <c r="J712" i="1" s="1"/>
  <c r="K712" i="1" s="1"/>
  <c r="H713" i="1"/>
  <c r="J713" i="1" s="1"/>
  <c r="K713" i="1" s="1"/>
  <c r="H714" i="1"/>
  <c r="J714" i="1" s="1"/>
  <c r="K714" i="1" s="1"/>
  <c r="H715" i="1"/>
  <c r="J715" i="1" s="1"/>
  <c r="K715" i="1" s="1"/>
  <c r="H716" i="1"/>
  <c r="J716" i="1" s="1"/>
  <c r="K716" i="1" s="1"/>
  <c r="H717" i="1"/>
  <c r="J717" i="1" s="1"/>
  <c r="K717" i="1" s="1"/>
  <c r="H718" i="1"/>
  <c r="J718" i="1" s="1"/>
  <c r="K718" i="1" s="1"/>
  <c r="H719" i="1"/>
  <c r="J719" i="1" s="1"/>
  <c r="K719" i="1" s="1"/>
  <c r="H720" i="1"/>
  <c r="J720" i="1" s="1"/>
  <c r="K720" i="1" s="1"/>
  <c r="H721" i="1"/>
  <c r="J721" i="1" s="1"/>
  <c r="K721" i="1" s="1"/>
  <c r="H722" i="1"/>
  <c r="J722" i="1" s="1"/>
  <c r="K722" i="1" s="1"/>
  <c r="H723" i="1"/>
  <c r="J723" i="1" s="1"/>
  <c r="K723" i="1" s="1"/>
  <c r="H724" i="1"/>
  <c r="J724" i="1" s="1"/>
  <c r="K724" i="1" s="1"/>
  <c r="H725" i="1"/>
  <c r="J725" i="1" s="1"/>
  <c r="K725" i="1" s="1"/>
  <c r="H726" i="1"/>
  <c r="J726" i="1" s="1"/>
  <c r="K726" i="1" s="1"/>
  <c r="H727" i="1"/>
  <c r="J727" i="1" s="1"/>
  <c r="K727" i="1" s="1"/>
  <c r="H728" i="1"/>
  <c r="J728" i="1" s="1"/>
  <c r="K728" i="1" s="1"/>
  <c r="H729" i="1"/>
  <c r="J729" i="1" s="1"/>
  <c r="K729" i="1" s="1"/>
  <c r="H730" i="1"/>
  <c r="J730" i="1" s="1"/>
  <c r="K730" i="1" s="1"/>
  <c r="H731" i="1"/>
  <c r="J731" i="1" s="1"/>
  <c r="K731" i="1" s="1"/>
  <c r="H732" i="1"/>
  <c r="J732" i="1" s="1"/>
  <c r="K732" i="1" s="1"/>
  <c r="H733" i="1"/>
  <c r="J733" i="1" s="1"/>
  <c r="K733" i="1" s="1"/>
  <c r="H734" i="1"/>
  <c r="J734" i="1" s="1"/>
  <c r="K734" i="1" s="1"/>
  <c r="H735" i="1"/>
  <c r="J735" i="1" s="1"/>
  <c r="K735" i="1" s="1"/>
  <c r="H736" i="1"/>
  <c r="J736" i="1" s="1"/>
  <c r="K736" i="1" s="1"/>
  <c r="H737" i="1"/>
  <c r="J737" i="1" s="1"/>
  <c r="K737" i="1" s="1"/>
  <c r="H738" i="1"/>
  <c r="J738" i="1" s="1"/>
  <c r="K738" i="1" s="1"/>
  <c r="H739" i="1"/>
  <c r="J739" i="1" s="1"/>
  <c r="K739" i="1" s="1"/>
  <c r="H740" i="1"/>
  <c r="J740" i="1" s="1"/>
  <c r="K740" i="1" s="1"/>
  <c r="H741" i="1"/>
  <c r="J741" i="1" s="1"/>
  <c r="K741" i="1" s="1"/>
  <c r="H742" i="1"/>
  <c r="J742" i="1" s="1"/>
  <c r="K742" i="1" s="1"/>
  <c r="H743" i="1"/>
  <c r="J743" i="1" s="1"/>
  <c r="K743" i="1" s="1"/>
  <c r="H744" i="1"/>
  <c r="J744" i="1" s="1"/>
  <c r="K744" i="1" s="1"/>
  <c r="H745" i="1"/>
  <c r="J745" i="1" s="1"/>
  <c r="K745" i="1" s="1"/>
  <c r="H746" i="1"/>
  <c r="J746" i="1" s="1"/>
  <c r="K746" i="1" s="1"/>
  <c r="H747" i="1"/>
  <c r="J747" i="1" s="1"/>
  <c r="K747" i="1" s="1"/>
  <c r="H748" i="1"/>
  <c r="J748" i="1" s="1"/>
  <c r="K748" i="1" s="1"/>
  <c r="H749" i="1"/>
  <c r="J749" i="1" s="1"/>
  <c r="K749" i="1" s="1"/>
  <c r="H750" i="1"/>
  <c r="J750" i="1" s="1"/>
  <c r="K750" i="1" s="1"/>
  <c r="H751" i="1"/>
  <c r="J751" i="1" s="1"/>
  <c r="K751" i="1" s="1"/>
  <c r="H752" i="1"/>
  <c r="J752" i="1" s="1"/>
  <c r="K752" i="1" s="1"/>
  <c r="H753" i="1"/>
  <c r="J753" i="1" s="1"/>
  <c r="K753" i="1" s="1"/>
  <c r="H754" i="1"/>
  <c r="J754" i="1" s="1"/>
  <c r="K754" i="1" s="1"/>
  <c r="H755" i="1"/>
  <c r="J755" i="1" s="1"/>
  <c r="K755" i="1" s="1"/>
  <c r="H756" i="1"/>
  <c r="J756" i="1" s="1"/>
  <c r="K756" i="1" s="1"/>
  <c r="H757" i="1"/>
  <c r="J757" i="1" s="1"/>
  <c r="K757" i="1" s="1"/>
  <c r="H758" i="1"/>
  <c r="J758" i="1" s="1"/>
  <c r="K758" i="1" s="1"/>
  <c r="H759" i="1"/>
  <c r="J759" i="1" s="1"/>
  <c r="K759" i="1" s="1"/>
  <c r="H760" i="1"/>
  <c r="J760" i="1" s="1"/>
  <c r="K760" i="1" s="1"/>
  <c r="H761" i="1"/>
  <c r="J761" i="1" s="1"/>
  <c r="K761" i="1" s="1"/>
  <c r="H762" i="1"/>
  <c r="J762" i="1" s="1"/>
  <c r="K762" i="1" s="1"/>
  <c r="H763" i="1"/>
  <c r="J763" i="1" s="1"/>
  <c r="K763" i="1" s="1"/>
  <c r="H764" i="1"/>
  <c r="J764" i="1" s="1"/>
  <c r="K764" i="1" s="1"/>
  <c r="H765" i="1"/>
  <c r="J765" i="1" s="1"/>
  <c r="K765" i="1" s="1"/>
  <c r="H766" i="1"/>
  <c r="J766" i="1" s="1"/>
  <c r="K766" i="1" s="1"/>
  <c r="H767" i="1"/>
  <c r="J767" i="1" s="1"/>
  <c r="K767" i="1" s="1"/>
  <c r="H768" i="1"/>
  <c r="J768" i="1" s="1"/>
  <c r="K768" i="1" s="1"/>
  <c r="H769" i="1"/>
  <c r="J769" i="1" s="1"/>
  <c r="K769" i="1" s="1"/>
  <c r="H770" i="1"/>
  <c r="J770" i="1" s="1"/>
  <c r="K770" i="1" s="1"/>
  <c r="H771" i="1"/>
  <c r="J771" i="1" s="1"/>
  <c r="K771" i="1" s="1"/>
  <c r="H772" i="1"/>
  <c r="J772" i="1" s="1"/>
  <c r="K772" i="1" s="1"/>
  <c r="H773" i="1"/>
  <c r="J773" i="1" s="1"/>
  <c r="K773" i="1" s="1"/>
  <c r="H774" i="1"/>
  <c r="J774" i="1" s="1"/>
  <c r="K774" i="1" s="1"/>
  <c r="H775" i="1"/>
  <c r="J775" i="1" s="1"/>
  <c r="K775" i="1" s="1"/>
  <c r="H776" i="1"/>
  <c r="J776" i="1" s="1"/>
  <c r="K776" i="1" s="1"/>
  <c r="H777" i="1"/>
  <c r="J777" i="1" s="1"/>
  <c r="K777" i="1" s="1"/>
  <c r="H778" i="1"/>
  <c r="J778" i="1" s="1"/>
  <c r="K778" i="1" s="1"/>
  <c r="H779" i="1"/>
  <c r="J779" i="1" s="1"/>
  <c r="K779" i="1" s="1"/>
  <c r="H780" i="1"/>
  <c r="J780" i="1" s="1"/>
  <c r="K780" i="1" s="1"/>
  <c r="H781" i="1"/>
  <c r="J781" i="1" s="1"/>
  <c r="K781" i="1" s="1"/>
  <c r="H782" i="1"/>
  <c r="J782" i="1" s="1"/>
  <c r="K782" i="1" s="1"/>
  <c r="H783" i="1"/>
  <c r="J783" i="1" s="1"/>
  <c r="K783" i="1" s="1"/>
  <c r="H784" i="1"/>
  <c r="J784" i="1" s="1"/>
  <c r="K784" i="1" s="1"/>
  <c r="H785" i="1"/>
  <c r="J785" i="1" s="1"/>
  <c r="K785" i="1" s="1"/>
  <c r="H786" i="1"/>
  <c r="J786" i="1" s="1"/>
  <c r="K786" i="1" s="1"/>
  <c r="H787" i="1"/>
  <c r="J787" i="1" s="1"/>
  <c r="K787" i="1" s="1"/>
  <c r="H788" i="1"/>
  <c r="J788" i="1" s="1"/>
  <c r="K788" i="1" s="1"/>
  <c r="H789" i="1"/>
  <c r="J789" i="1" s="1"/>
  <c r="K789" i="1" s="1"/>
  <c r="H790" i="1"/>
  <c r="J790" i="1" s="1"/>
  <c r="K790" i="1" s="1"/>
  <c r="H791" i="1"/>
  <c r="J791" i="1" s="1"/>
  <c r="K791" i="1" s="1"/>
  <c r="H792" i="1"/>
  <c r="J792" i="1" s="1"/>
  <c r="K792" i="1" s="1"/>
  <c r="H793" i="1"/>
  <c r="J793" i="1" s="1"/>
  <c r="K793" i="1" s="1"/>
  <c r="H794" i="1"/>
  <c r="J794" i="1" s="1"/>
  <c r="K794" i="1" s="1"/>
  <c r="H795" i="1"/>
  <c r="J795" i="1" s="1"/>
  <c r="K795" i="1" s="1"/>
  <c r="H796" i="1"/>
  <c r="J796" i="1" s="1"/>
  <c r="K796" i="1" s="1"/>
  <c r="H797" i="1"/>
  <c r="J797" i="1" s="1"/>
  <c r="K797" i="1" s="1"/>
  <c r="H798" i="1"/>
  <c r="J798" i="1" s="1"/>
  <c r="K798" i="1" s="1"/>
  <c r="H799" i="1"/>
  <c r="J799" i="1" s="1"/>
  <c r="K799" i="1" s="1"/>
  <c r="H800" i="1"/>
  <c r="J800" i="1" s="1"/>
  <c r="K800" i="1" s="1"/>
  <c r="H801" i="1"/>
  <c r="J801" i="1" s="1"/>
  <c r="K801" i="1" s="1"/>
  <c r="H802" i="1"/>
  <c r="J802" i="1" s="1"/>
  <c r="K802" i="1" s="1"/>
  <c r="H803" i="1"/>
  <c r="J803" i="1" s="1"/>
  <c r="K803" i="1" s="1"/>
  <c r="H804" i="1"/>
  <c r="J804" i="1" s="1"/>
  <c r="K804" i="1" s="1"/>
  <c r="H805" i="1"/>
  <c r="J805" i="1" s="1"/>
  <c r="K805" i="1" s="1"/>
  <c r="H806" i="1"/>
  <c r="J806" i="1" s="1"/>
  <c r="K806" i="1" s="1"/>
  <c r="H807" i="1"/>
  <c r="J807" i="1" s="1"/>
  <c r="K807" i="1" s="1"/>
  <c r="H808" i="1"/>
  <c r="J808" i="1" s="1"/>
  <c r="K808" i="1" s="1"/>
  <c r="H809" i="1"/>
  <c r="J809" i="1" s="1"/>
  <c r="K809" i="1" s="1"/>
  <c r="H810" i="1"/>
  <c r="J810" i="1" s="1"/>
  <c r="K810" i="1" s="1"/>
  <c r="H811" i="1"/>
  <c r="J811" i="1" s="1"/>
  <c r="K811" i="1" s="1"/>
  <c r="H812" i="1"/>
  <c r="J812" i="1" s="1"/>
  <c r="K812" i="1" s="1"/>
  <c r="H813" i="1"/>
  <c r="J813" i="1" s="1"/>
  <c r="K813" i="1" s="1"/>
  <c r="H814" i="1"/>
  <c r="J814" i="1" s="1"/>
  <c r="K814" i="1" s="1"/>
  <c r="H815" i="1"/>
  <c r="J815" i="1" s="1"/>
  <c r="K815" i="1" s="1"/>
  <c r="H816" i="1"/>
  <c r="J816" i="1" s="1"/>
  <c r="K816" i="1" s="1"/>
  <c r="H817" i="1"/>
  <c r="J817" i="1" s="1"/>
  <c r="K817" i="1" s="1"/>
  <c r="H818" i="1"/>
  <c r="J818" i="1" s="1"/>
  <c r="K818" i="1" s="1"/>
  <c r="H819" i="1"/>
  <c r="J819" i="1" s="1"/>
  <c r="K819" i="1" s="1"/>
  <c r="H820" i="1"/>
  <c r="J820" i="1" s="1"/>
  <c r="K820" i="1" s="1"/>
  <c r="H821" i="1"/>
  <c r="J821" i="1" s="1"/>
  <c r="K821" i="1" s="1"/>
  <c r="H822" i="1"/>
  <c r="J822" i="1" s="1"/>
  <c r="K822" i="1" s="1"/>
  <c r="H823" i="1"/>
  <c r="J823" i="1" s="1"/>
  <c r="K823" i="1" s="1"/>
  <c r="H824" i="1"/>
  <c r="J824" i="1" s="1"/>
  <c r="K824" i="1" s="1"/>
  <c r="H825" i="1"/>
  <c r="J825" i="1" s="1"/>
  <c r="K825" i="1" s="1"/>
  <c r="H826" i="1"/>
  <c r="J826" i="1" s="1"/>
  <c r="K826" i="1" s="1"/>
  <c r="H827" i="1"/>
  <c r="J827" i="1" s="1"/>
  <c r="K827" i="1" s="1"/>
  <c r="H828" i="1"/>
  <c r="J828" i="1" s="1"/>
  <c r="K828" i="1" s="1"/>
  <c r="H829" i="1"/>
  <c r="J829" i="1" s="1"/>
  <c r="K829" i="1" s="1"/>
  <c r="H830" i="1"/>
  <c r="J830" i="1" s="1"/>
  <c r="K830" i="1" s="1"/>
  <c r="H831" i="1"/>
  <c r="J831" i="1" s="1"/>
  <c r="K831" i="1" s="1"/>
  <c r="H2" i="1"/>
  <c r="J2" i="1" s="1"/>
  <c r="K2" i="1" s="1"/>
  <c r="G471" i="1"/>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0" i="1"/>
  <c r="G50" i="1" s="1"/>
  <c r="F51" i="1"/>
  <c r="G51" i="1" s="1"/>
  <c r="F52" i="1"/>
  <c r="G52" i="1" s="1"/>
  <c r="F53" i="1"/>
  <c r="G53" i="1" s="1"/>
  <c r="F54" i="1"/>
  <c r="G54" i="1" s="1"/>
  <c r="F55" i="1"/>
  <c r="G55" i="1" s="1"/>
  <c r="F56" i="1"/>
  <c r="G56" i="1" s="1"/>
  <c r="F57" i="1"/>
  <c r="G57" i="1" s="1"/>
  <c r="F58" i="1"/>
  <c r="G58" i="1" s="1"/>
  <c r="F59" i="1"/>
  <c r="G59" i="1" s="1"/>
  <c r="F60" i="1"/>
  <c r="G60" i="1" s="1"/>
  <c r="F61" i="1"/>
  <c r="G61" i="1" s="1"/>
  <c r="F62" i="1"/>
  <c r="G62" i="1" s="1"/>
  <c r="F63" i="1"/>
  <c r="G63" i="1" s="1"/>
  <c r="F64" i="1"/>
  <c r="G64" i="1" s="1"/>
  <c r="F65" i="1"/>
  <c r="G65" i="1" s="1"/>
  <c r="F66" i="1"/>
  <c r="G66" i="1" s="1"/>
  <c r="F67" i="1"/>
  <c r="G67" i="1" s="1"/>
  <c r="F68" i="1"/>
  <c r="G68" i="1" s="1"/>
  <c r="F69" i="1"/>
  <c r="G69" i="1" s="1"/>
  <c r="F70" i="1"/>
  <c r="G70" i="1" s="1"/>
  <c r="F71" i="1"/>
  <c r="G71" i="1" s="1"/>
  <c r="F72" i="1"/>
  <c r="G72" i="1" s="1"/>
  <c r="F73" i="1"/>
  <c r="G73" i="1" s="1"/>
  <c r="F74" i="1"/>
  <c r="G74" i="1" s="1"/>
  <c r="F75" i="1"/>
  <c r="G75" i="1" s="1"/>
  <c r="F76" i="1"/>
  <c r="G76" i="1" s="1"/>
  <c r="F77" i="1"/>
  <c r="G77" i="1" s="1"/>
  <c r="F78" i="1"/>
  <c r="G78" i="1" s="1"/>
  <c r="F79" i="1"/>
  <c r="G79" i="1" s="1"/>
  <c r="F80" i="1"/>
  <c r="G80" i="1" s="1"/>
  <c r="F81" i="1"/>
  <c r="G81" i="1" s="1"/>
  <c r="F82" i="1"/>
  <c r="G82" i="1" s="1"/>
  <c r="F83" i="1"/>
  <c r="G83" i="1" s="1"/>
  <c r="F84" i="1"/>
  <c r="G84" i="1" s="1"/>
  <c r="F85" i="1"/>
  <c r="G85" i="1" s="1"/>
  <c r="F86" i="1"/>
  <c r="G86" i="1" s="1"/>
  <c r="F87" i="1"/>
  <c r="G87" i="1" s="1"/>
  <c r="F88" i="1"/>
  <c r="G88" i="1" s="1"/>
  <c r="F89" i="1"/>
  <c r="G89" i="1" s="1"/>
  <c r="F90" i="1"/>
  <c r="G90" i="1" s="1"/>
  <c r="F91" i="1"/>
  <c r="G91" i="1" s="1"/>
  <c r="F92" i="1"/>
  <c r="G92" i="1" s="1"/>
  <c r="F93" i="1"/>
  <c r="G93" i="1" s="1"/>
  <c r="F94" i="1"/>
  <c r="G94" i="1" s="1"/>
  <c r="F95" i="1"/>
  <c r="G95" i="1" s="1"/>
  <c r="F96" i="1"/>
  <c r="G96" i="1" s="1"/>
  <c r="F97" i="1"/>
  <c r="G97" i="1" s="1"/>
  <c r="F98" i="1"/>
  <c r="G98" i="1" s="1"/>
  <c r="F99" i="1"/>
  <c r="G99" i="1" s="1"/>
  <c r="F100" i="1"/>
  <c r="G100" i="1" s="1"/>
  <c r="F101" i="1"/>
  <c r="G101" i="1" s="1"/>
  <c r="F102" i="1"/>
  <c r="G102" i="1" s="1"/>
  <c r="F103" i="1"/>
  <c r="G103" i="1" s="1"/>
  <c r="F104" i="1"/>
  <c r="G104" i="1" s="1"/>
  <c r="F105" i="1"/>
  <c r="G105" i="1" s="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F117" i="1"/>
  <c r="G117" i="1" s="1"/>
  <c r="F118" i="1"/>
  <c r="G118" i="1" s="1"/>
  <c r="F119" i="1"/>
  <c r="G119" i="1" s="1"/>
  <c r="F120" i="1"/>
  <c r="G120" i="1" s="1"/>
  <c r="F121" i="1"/>
  <c r="G121" i="1" s="1"/>
  <c r="F122" i="1"/>
  <c r="G122" i="1" s="1"/>
  <c r="F123" i="1"/>
  <c r="G123" i="1" s="1"/>
  <c r="F124" i="1"/>
  <c r="G124" i="1" s="1"/>
  <c r="F125" i="1"/>
  <c r="G125" i="1" s="1"/>
  <c r="F126" i="1"/>
  <c r="G126" i="1" s="1"/>
  <c r="F127" i="1"/>
  <c r="G127" i="1" s="1"/>
  <c r="F128" i="1"/>
  <c r="G128" i="1" s="1"/>
  <c r="F129" i="1"/>
  <c r="G129" i="1" s="1"/>
  <c r="F130" i="1"/>
  <c r="G130" i="1" s="1"/>
  <c r="F131" i="1"/>
  <c r="G131" i="1" s="1"/>
  <c r="F132" i="1"/>
  <c r="G132" i="1" s="1"/>
  <c r="F133" i="1"/>
  <c r="G133" i="1" s="1"/>
  <c r="F134" i="1"/>
  <c r="G134" i="1" s="1"/>
  <c r="F135" i="1"/>
  <c r="G135" i="1" s="1"/>
  <c r="F136" i="1"/>
  <c r="G136" i="1" s="1"/>
  <c r="F137" i="1"/>
  <c r="G137" i="1" s="1"/>
  <c r="F138" i="1"/>
  <c r="G138" i="1" s="1"/>
  <c r="F139" i="1"/>
  <c r="G139" i="1" s="1"/>
  <c r="F140" i="1"/>
  <c r="G140" i="1" s="1"/>
  <c r="F141" i="1"/>
  <c r="G141" i="1" s="1"/>
  <c r="F142" i="1"/>
  <c r="G142" i="1" s="1"/>
  <c r="F143" i="1"/>
  <c r="G143" i="1" s="1"/>
  <c r="F144" i="1"/>
  <c r="G144" i="1" s="1"/>
  <c r="F145" i="1"/>
  <c r="G145" i="1" s="1"/>
  <c r="F146" i="1"/>
  <c r="G146" i="1" s="1"/>
  <c r="F147" i="1"/>
  <c r="G147" i="1" s="1"/>
  <c r="F148" i="1"/>
  <c r="G148" i="1" s="1"/>
  <c r="F149" i="1"/>
  <c r="G149" i="1" s="1"/>
  <c r="F150" i="1"/>
  <c r="G150" i="1" s="1"/>
  <c r="F151" i="1"/>
  <c r="G151" i="1" s="1"/>
  <c r="F152" i="1"/>
  <c r="G152" i="1" s="1"/>
  <c r="F153" i="1"/>
  <c r="G153" i="1" s="1"/>
  <c r="F154" i="1"/>
  <c r="G154" i="1" s="1"/>
  <c r="F155" i="1"/>
  <c r="G155" i="1" s="1"/>
  <c r="F156" i="1"/>
  <c r="G156" i="1" s="1"/>
  <c r="F157" i="1"/>
  <c r="G157" i="1" s="1"/>
  <c r="F158" i="1"/>
  <c r="G158" i="1" s="1"/>
  <c r="F159" i="1"/>
  <c r="G159" i="1" s="1"/>
  <c r="F160" i="1"/>
  <c r="G160" i="1" s="1"/>
  <c r="F161" i="1"/>
  <c r="G161" i="1" s="1"/>
  <c r="F162" i="1"/>
  <c r="G162" i="1" s="1"/>
  <c r="F163" i="1"/>
  <c r="G163" i="1" s="1"/>
  <c r="F164" i="1"/>
  <c r="G164" i="1" s="1"/>
  <c r="F165" i="1"/>
  <c r="G165" i="1" s="1"/>
  <c r="F166" i="1"/>
  <c r="G166" i="1" s="1"/>
  <c r="F167" i="1"/>
  <c r="G167" i="1" s="1"/>
  <c r="F168" i="1"/>
  <c r="G168" i="1" s="1"/>
  <c r="F169" i="1"/>
  <c r="G169" i="1" s="1"/>
  <c r="F170" i="1"/>
  <c r="G170" i="1" s="1"/>
  <c r="F171" i="1"/>
  <c r="G171" i="1" s="1"/>
  <c r="F172" i="1"/>
  <c r="G172" i="1" s="1"/>
  <c r="F173" i="1"/>
  <c r="G173" i="1" s="1"/>
  <c r="F174" i="1"/>
  <c r="G174" i="1" s="1"/>
  <c r="F175" i="1"/>
  <c r="G175" i="1" s="1"/>
  <c r="F176" i="1"/>
  <c r="G176" i="1" s="1"/>
  <c r="F177" i="1"/>
  <c r="G177" i="1" s="1"/>
  <c r="F178" i="1"/>
  <c r="G178" i="1" s="1"/>
  <c r="F179" i="1"/>
  <c r="G179" i="1" s="1"/>
  <c r="F180" i="1"/>
  <c r="G180" i="1" s="1"/>
  <c r="F181" i="1"/>
  <c r="G181" i="1" s="1"/>
  <c r="F182" i="1"/>
  <c r="G182" i="1" s="1"/>
  <c r="F183" i="1"/>
  <c r="G183" i="1" s="1"/>
  <c r="F184" i="1"/>
  <c r="G184" i="1" s="1"/>
  <c r="F185" i="1"/>
  <c r="G185" i="1" s="1"/>
  <c r="F186" i="1"/>
  <c r="G186" i="1" s="1"/>
  <c r="F187" i="1"/>
  <c r="G187" i="1" s="1"/>
  <c r="F188" i="1"/>
  <c r="G188" i="1" s="1"/>
  <c r="F189" i="1"/>
  <c r="G189" i="1" s="1"/>
  <c r="F190" i="1"/>
  <c r="G190" i="1" s="1"/>
  <c r="F191" i="1"/>
  <c r="G191" i="1" s="1"/>
  <c r="F192" i="1"/>
  <c r="G192" i="1" s="1"/>
  <c r="F193" i="1"/>
  <c r="G193" i="1" s="1"/>
  <c r="F194" i="1"/>
  <c r="G194" i="1" s="1"/>
  <c r="F195" i="1"/>
  <c r="G195" i="1" s="1"/>
  <c r="F196" i="1"/>
  <c r="G196" i="1" s="1"/>
  <c r="F197" i="1"/>
  <c r="G197" i="1" s="1"/>
  <c r="F198" i="1"/>
  <c r="G198" i="1" s="1"/>
  <c r="F199" i="1"/>
  <c r="G199" i="1" s="1"/>
  <c r="F200" i="1"/>
  <c r="G200" i="1" s="1"/>
  <c r="F201" i="1"/>
  <c r="G201" i="1" s="1"/>
  <c r="F202" i="1"/>
  <c r="G202" i="1" s="1"/>
  <c r="F203" i="1"/>
  <c r="G203" i="1" s="1"/>
  <c r="F204" i="1"/>
  <c r="G204" i="1" s="1"/>
  <c r="F205" i="1"/>
  <c r="G205" i="1" s="1"/>
  <c r="F206" i="1"/>
  <c r="G206" i="1" s="1"/>
  <c r="F207" i="1"/>
  <c r="G207" i="1" s="1"/>
  <c r="F208" i="1"/>
  <c r="G208" i="1" s="1"/>
  <c r="F209" i="1"/>
  <c r="G209" i="1" s="1"/>
  <c r="F210" i="1"/>
  <c r="G210" i="1" s="1"/>
  <c r="F211" i="1"/>
  <c r="G211" i="1" s="1"/>
  <c r="F212" i="1"/>
  <c r="G212" i="1" s="1"/>
  <c r="F213" i="1"/>
  <c r="G213" i="1" s="1"/>
  <c r="F214" i="1"/>
  <c r="G214" i="1" s="1"/>
  <c r="F215" i="1"/>
  <c r="G215" i="1" s="1"/>
  <c r="F216" i="1"/>
  <c r="G216" i="1" s="1"/>
  <c r="F217" i="1"/>
  <c r="G217" i="1" s="1"/>
  <c r="F218" i="1"/>
  <c r="G218" i="1" s="1"/>
  <c r="F219" i="1"/>
  <c r="G219" i="1" s="1"/>
  <c r="F220" i="1"/>
  <c r="G220" i="1" s="1"/>
  <c r="F221" i="1"/>
  <c r="G221" i="1" s="1"/>
  <c r="F222" i="1"/>
  <c r="G222" i="1" s="1"/>
  <c r="F223" i="1"/>
  <c r="G223" i="1" s="1"/>
  <c r="F224" i="1"/>
  <c r="G224" i="1" s="1"/>
  <c r="F225" i="1"/>
  <c r="G225" i="1" s="1"/>
  <c r="F226" i="1"/>
  <c r="G226" i="1" s="1"/>
  <c r="F227" i="1"/>
  <c r="G227" i="1" s="1"/>
  <c r="F228" i="1"/>
  <c r="G228" i="1" s="1"/>
  <c r="F229" i="1"/>
  <c r="G229" i="1" s="1"/>
  <c r="F230" i="1"/>
  <c r="G230" i="1" s="1"/>
  <c r="F231" i="1"/>
  <c r="G231" i="1" s="1"/>
  <c r="F232" i="1"/>
  <c r="G232" i="1" s="1"/>
  <c r="F233" i="1"/>
  <c r="G233" i="1" s="1"/>
  <c r="F234" i="1"/>
  <c r="G234" i="1" s="1"/>
  <c r="F235" i="1"/>
  <c r="G235" i="1" s="1"/>
  <c r="F236" i="1"/>
  <c r="G236" i="1" s="1"/>
  <c r="F237" i="1"/>
  <c r="G237" i="1" s="1"/>
  <c r="F238" i="1"/>
  <c r="G238" i="1" s="1"/>
  <c r="F239" i="1"/>
  <c r="G239" i="1" s="1"/>
  <c r="F240" i="1"/>
  <c r="G240" i="1" s="1"/>
  <c r="F241" i="1"/>
  <c r="G241" i="1" s="1"/>
  <c r="F242" i="1"/>
  <c r="G242" i="1" s="1"/>
  <c r="F243" i="1"/>
  <c r="G243" i="1" s="1"/>
  <c r="F244" i="1"/>
  <c r="G244" i="1" s="1"/>
  <c r="F245" i="1"/>
  <c r="G245" i="1" s="1"/>
  <c r="F246" i="1"/>
  <c r="G246" i="1" s="1"/>
  <c r="F247" i="1"/>
  <c r="G247" i="1" s="1"/>
  <c r="F248" i="1"/>
  <c r="G248" i="1" s="1"/>
  <c r="F249" i="1"/>
  <c r="G249" i="1" s="1"/>
  <c r="F250" i="1"/>
  <c r="G250" i="1" s="1"/>
  <c r="F251" i="1"/>
  <c r="G251" i="1" s="1"/>
  <c r="F252" i="1"/>
  <c r="G252" i="1" s="1"/>
  <c r="F253" i="1"/>
  <c r="G253" i="1" s="1"/>
  <c r="F254" i="1"/>
  <c r="G254" i="1" s="1"/>
  <c r="F255" i="1"/>
  <c r="G255" i="1" s="1"/>
  <c r="F256" i="1"/>
  <c r="G256" i="1" s="1"/>
  <c r="F257" i="1"/>
  <c r="G257" i="1" s="1"/>
  <c r="F258" i="1"/>
  <c r="G258" i="1" s="1"/>
  <c r="F259" i="1"/>
  <c r="G259" i="1" s="1"/>
  <c r="F260" i="1"/>
  <c r="G260" i="1" s="1"/>
  <c r="F261" i="1"/>
  <c r="G261" i="1" s="1"/>
  <c r="F262" i="1"/>
  <c r="G262" i="1" s="1"/>
  <c r="F263" i="1"/>
  <c r="G263" i="1" s="1"/>
  <c r="F264" i="1"/>
  <c r="G264" i="1" s="1"/>
  <c r="F265" i="1"/>
  <c r="G265" i="1" s="1"/>
  <c r="F266" i="1"/>
  <c r="G266" i="1" s="1"/>
  <c r="F267" i="1"/>
  <c r="G267" i="1" s="1"/>
  <c r="F268" i="1"/>
  <c r="G268" i="1" s="1"/>
  <c r="F269" i="1"/>
  <c r="G269" i="1" s="1"/>
  <c r="F270" i="1"/>
  <c r="G270" i="1" s="1"/>
  <c r="F271" i="1"/>
  <c r="G271" i="1" s="1"/>
  <c r="F272" i="1"/>
  <c r="G272" i="1" s="1"/>
  <c r="F273" i="1"/>
  <c r="G273" i="1" s="1"/>
  <c r="F274" i="1"/>
  <c r="G274" i="1" s="1"/>
  <c r="F275" i="1"/>
  <c r="G275" i="1" s="1"/>
  <c r="F276" i="1"/>
  <c r="G276" i="1" s="1"/>
  <c r="F277" i="1"/>
  <c r="G277" i="1" s="1"/>
  <c r="F278" i="1"/>
  <c r="G278" i="1" s="1"/>
  <c r="F279" i="1"/>
  <c r="G279" i="1" s="1"/>
  <c r="F280" i="1"/>
  <c r="G280" i="1" s="1"/>
  <c r="F281" i="1"/>
  <c r="G281" i="1" s="1"/>
  <c r="F282" i="1"/>
  <c r="G282" i="1" s="1"/>
  <c r="F283" i="1"/>
  <c r="G283" i="1" s="1"/>
  <c r="F284" i="1"/>
  <c r="G284" i="1" s="1"/>
  <c r="F285" i="1"/>
  <c r="G285" i="1" s="1"/>
  <c r="F286" i="1"/>
  <c r="G286" i="1" s="1"/>
  <c r="F287" i="1"/>
  <c r="G287" i="1" s="1"/>
  <c r="F288" i="1"/>
  <c r="G288" i="1" s="1"/>
  <c r="F289" i="1"/>
  <c r="G289" i="1" s="1"/>
  <c r="F290" i="1"/>
  <c r="G290" i="1" s="1"/>
  <c r="F291" i="1"/>
  <c r="G291" i="1" s="1"/>
  <c r="F292" i="1"/>
  <c r="G292" i="1" s="1"/>
  <c r="F293" i="1"/>
  <c r="G293" i="1" s="1"/>
  <c r="F294" i="1"/>
  <c r="G294" i="1" s="1"/>
  <c r="F295" i="1"/>
  <c r="G295" i="1" s="1"/>
  <c r="F296" i="1"/>
  <c r="G296" i="1" s="1"/>
  <c r="F297" i="1"/>
  <c r="G297" i="1" s="1"/>
  <c r="F298" i="1"/>
  <c r="G298" i="1" s="1"/>
  <c r="F299" i="1"/>
  <c r="G299" i="1" s="1"/>
  <c r="F300" i="1"/>
  <c r="G300" i="1" s="1"/>
  <c r="F301" i="1"/>
  <c r="G301" i="1" s="1"/>
  <c r="F302" i="1"/>
  <c r="G302" i="1" s="1"/>
  <c r="F303" i="1"/>
  <c r="G303" i="1" s="1"/>
  <c r="F304" i="1"/>
  <c r="G304" i="1" s="1"/>
  <c r="F305" i="1"/>
  <c r="G305" i="1" s="1"/>
  <c r="F306" i="1"/>
  <c r="G306" i="1" s="1"/>
  <c r="F307" i="1"/>
  <c r="G307" i="1" s="1"/>
  <c r="F308" i="1"/>
  <c r="G308" i="1" s="1"/>
  <c r="F309" i="1"/>
  <c r="G309" i="1" s="1"/>
  <c r="F310" i="1"/>
  <c r="G310" i="1" s="1"/>
  <c r="F311" i="1"/>
  <c r="G311" i="1" s="1"/>
  <c r="F312" i="1"/>
  <c r="G312" i="1" s="1"/>
  <c r="F313" i="1"/>
  <c r="G313" i="1" s="1"/>
  <c r="F314" i="1"/>
  <c r="G314" i="1" s="1"/>
  <c r="F315" i="1"/>
  <c r="G315" i="1" s="1"/>
  <c r="F316" i="1"/>
  <c r="G316" i="1" s="1"/>
  <c r="F317" i="1"/>
  <c r="G317" i="1" s="1"/>
  <c r="F318" i="1"/>
  <c r="G318" i="1" s="1"/>
  <c r="F319" i="1"/>
  <c r="G319" i="1" s="1"/>
  <c r="F320" i="1"/>
  <c r="G320" i="1" s="1"/>
  <c r="F321" i="1"/>
  <c r="G321" i="1" s="1"/>
  <c r="F322" i="1"/>
  <c r="G322" i="1" s="1"/>
  <c r="F323" i="1"/>
  <c r="G323" i="1" s="1"/>
  <c r="F324" i="1"/>
  <c r="G324" i="1" s="1"/>
  <c r="F325" i="1"/>
  <c r="G325" i="1" s="1"/>
  <c r="F326" i="1"/>
  <c r="G326" i="1" s="1"/>
  <c r="F327" i="1"/>
  <c r="G327" i="1" s="1"/>
  <c r="F328" i="1"/>
  <c r="G328" i="1" s="1"/>
  <c r="F329" i="1"/>
  <c r="G329" i="1" s="1"/>
  <c r="F330" i="1"/>
  <c r="G330" i="1" s="1"/>
  <c r="F331" i="1"/>
  <c r="G331" i="1" s="1"/>
  <c r="F332" i="1"/>
  <c r="G332" i="1" s="1"/>
  <c r="F333" i="1"/>
  <c r="G333" i="1" s="1"/>
  <c r="F334" i="1"/>
  <c r="G334" i="1" s="1"/>
  <c r="F335" i="1"/>
  <c r="G335" i="1" s="1"/>
  <c r="F336" i="1"/>
  <c r="G336" i="1" s="1"/>
  <c r="F337" i="1"/>
  <c r="G337" i="1" s="1"/>
  <c r="F338" i="1"/>
  <c r="G338" i="1" s="1"/>
  <c r="F339" i="1"/>
  <c r="G339" i="1" s="1"/>
  <c r="F340" i="1"/>
  <c r="G340" i="1" s="1"/>
  <c r="F341" i="1"/>
  <c r="G341" i="1" s="1"/>
  <c r="F342" i="1"/>
  <c r="G342" i="1" s="1"/>
  <c r="F343" i="1"/>
  <c r="G343" i="1" s="1"/>
  <c r="F344" i="1"/>
  <c r="G344" i="1" s="1"/>
  <c r="F345" i="1"/>
  <c r="G345" i="1" s="1"/>
  <c r="F346" i="1"/>
  <c r="G346" i="1" s="1"/>
  <c r="F347" i="1"/>
  <c r="G347" i="1" s="1"/>
  <c r="F348" i="1"/>
  <c r="G348" i="1" s="1"/>
  <c r="F349" i="1"/>
  <c r="G349" i="1" s="1"/>
  <c r="F350" i="1"/>
  <c r="G350" i="1" s="1"/>
  <c r="F351" i="1"/>
  <c r="G351" i="1" s="1"/>
  <c r="F352" i="1"/>
  <c r="G352" i="1" s="1"/>
  <c r="F353" i="1"/>
  <c r="G353" i="1" s="1"/>
  <c r="F354" i="1"/>
  <c r="G354" i="1" s="1"/>
  <c r="F355" i="1"/>
  <c r="G355" i="1" s="1"/>
  <c r="F356" i="1"/>
  <c r="G356" i="1" s="1"/>
  <c r="F357" i="1"/>
  <c r="G357" i="1" s="1"/>
  <c r="F358" i="1"/>
  <c r="G358" i="1" s="1"/>
  <c r="F359" i="1"/>
  <c r="G359" i="1" s="1"/>
  <c r="F360" i="1"/>
  <c r="G360" i="1" s="1"/>
  <c r="F361" i="1"/>
  <c r="G361" i="1" s="1"/>
  <c r="F362" i="1"/>
  <c r="G362" i="1" s="1"/>
  <c r="F363" i="1"/>
  <c r="G363" i="1" s="1"/>
  <c r="F364" i="1"/>
  <c r="G364" i="1" s="1"/>
  <c r="F365" i="1"/>
  <c r="G365" i="1" s="1"/>
  <c r="F366" i="1"/>
  <c r="G366" i="1" s="1"/>
  <c r="F367" i="1"/>
  <c r="G367" i="1" s="1"/>
  <c r="F368" i="1"/>
  <c r="G368" i="1" s="1"/>
  <c r="F369" i="1"/>
  <c r="G369" i="1" s="1"/>
  <c r="F370" i="1"/>
  <c r="G370" i="1" s="1"/>
  <c r="F371" i="1"/>
  <c r="G371" i="1" s="1"/>
  <c r="F372" i="1"/>
  <c r="G372" i="1" s="1"/>
  <c r="F373" i="1"/>
  <c r="G373" i="1" s="1"/>
  <c r="F374" i="1"/>
  <c r="G374" i="1" s="1"/>
  <c r="F375" i="1"/>
  <c r="G375" i="1" s="1"/>
  <c r="F376" i="1"/>
  <c r="G376" i="1" s="1"/>
  <c r="F377" i="1"/>
  <c r="G377" i="1" s="1"/>
  <c r="F378" i="1"/>
  <c r="G378" i="1" s="1"/>
  <c r="F379" i="1"/>
  <c r="G379" i="1" s="1"/>
  <c r="F380" i="1"/>
  <c r="G380" i="1" s="1"/>
  <c r="F381" i="1"/>
  <c r="G381" i="1" s="1"/>
  <c r="F382" i="1"/>
  <c r="G382" i="1" s="1"/>
  <c r="F383" i="1"/>
  <c r="G383" i="1" s="1"/>
  <c r="F384" i="1"/>
  <c r="G384" i="1" s="1"/>
  <c r="F385" i="1"/>
  <c r="G385" i="1" s="1"/>
  <c r="F386" i="1"/>
  <c r="G386" i="1" s="1"/>
  <c r="F387" i="1"/>
  <c r="G387" i="1" s="1"/>
  <c r="F388" i="1"/>
  <c r="G388" i="1" s="1"/>
  <c r="F389" i="1"/>
  <c r="G389" i="1" s="1"/>
  <c r="F390" i="1"/>
  <c r="G390" i="1" s="1"/>
  <c r="F391" i="1"/>
  <c r="G391" i="1" s="1"/>
  <c r="F392" i="1"/>
  <c r="G392" i="1" s="1"/>
  <c r="F393" i="1"/>
  <c r="G393" i="1" s="1"/>
  <c r="F394" i="1"/>
  <c r="G394" i="1" s="1"/>
  <c r="F395" i="1"/>
  <c r="G395" i="1" s="1"/>
  <c r="F396" i="1"/>
  <c r="G396" i="1" s="1"/>
  <c r="F397" i="1"/>
  <c r="G397" i="1" s="1"/>
  <c r="F398" i="1"/>
  <c r="G398" i="1" s="1"/>
  <c r="F399" i="1"/>
  <c r="G399" i="1" s="1"/>
  <c r="F400" i="1"/>
  <c r="G400" i="1" s="1"/>
  <c r="F401" i="1"/>
  <c r="G401" i="1" s="1"/>
  <c r="F402" i="1"/>
  <c r="G402" i="1" s="1"/>
  <c r="F403" i="1"/>
  <c r="G403" i="1" s="1"/>
  <c r="F404" i="1"/>
  <c r="G404" i="1" s="1"/>
  <c r="F405" i="1"/>
  <c r="G405" i="1" s="1"/>
  <c r="F406" i="1"/>
  <c r="G406" i="1" s="1"/>
  <c r="F407" i="1"/>
  <c r="G407" i="1" s="1"/>
  <c r="F408" i="1"/>
  <c r="G408" i="1" s="1"/>
  <c r="F409" i="1"/>
  <c r="G409" i="1" s="1"/>
  <c r="F410" i="1"/>
  <c r="G410" i="1" s="1"/>
  <c r="F411" i="1"/>
  <c r="G411" i="1" s="1"/>
  <c r="F412" i="1"/>
  <c r="G412" i="1" s="1"/>
  <c r="F413" i="1"/>
  <c r="G413" i="1" s="1"/>
  <c r="F414" i="1"/>
  <c r="G414" i="1" s="1"/>
  <c r="F415" i="1"/>
  <c r="G415" i="1" s="1"/>
  <c r="F416" i="1"/>
  <c r="G416" i="1" s="1"/>
  <c r="F417" i="1"/>
  <c r="G417" i="1" s="1"/>
  <c r="F418" i="1"/>
  <c r="G418" i="1" s="1"/>
  <c r="F419" i="1"/>
  <c r="G419" i="1" s="1"/>
  <c r="F420" i="1"/>
  <c r="G420" i="1" s="1"/>
  <c r="F421" i="1"/>
  <c r="G421" i="1" s="1"/>
  <c r="F422" i="1"/>
  <c r="G422" i="1" s="1"/>
  <c r="F423" i="1"/>
  <c r="G423" i="1" s="1"/>
  <c r="F424" i="1"/>
  <c r="G424" i="1" s="1"/>
  <c r="F425" i="1"/>
  <c r="G425" i="1" s="1"/>
  <c r="F426" i="1"/>
  <c r="G426" i="1" s="1"/>
  <c r="F427" i="1"/>
  <c r="G427" i="1" s="1"/>
  <c r="F428" i="1"/>
  <c r="G428" i="1" s="1"/>
  <c r="F429" i="1"/>
  <c r="G429" i="1" s="1"/>
  <c r="F430" i="1"/>
  <c r="G430" i="1" s="1"/>
  <c r="F431" i="1"/>
  <c r="G431" i="1" s="1"/>
  <c r="F432" i="1"/>
  <c r="G432" i="1" s="1"/>
  <c r="F433" i="1"/>
  <c r="G433" i="1" s="1"/>
  <c r="F434" i="1"/>
  <c r="G434" i="1" s="1"/>
  <c r="F435" i="1"/>
  <c r="G435" i="1" s="1"/>
  <c r="F436" i="1"/>
  <c r="G436" i="1" s="1"/>
  <c r="F437" i="1"/>
  <c r="G437" i="1" s="1"/>
  <c r="F438" i="1"/>
  <c r="G438" i="1" s="1"/>
  <c r="F439" i="1"/>
  <c r="G439" i="1" s="1"/>
  <c r="F440" i="1"/>
  <c r="G440" i="1" s="1"/>
  <c r="F441" i="1"/>
  <c r="G441" i="1" s="1"/>
  <c r="F442" i="1"/>
  <c r="G442" i="1" s="1"/>
  <c r="F443" i="1"/>
  <c r="G443" i="1" s="1"/>
  <c r="F444" i="1"/>
  <c r="G444" i="1" s="1"/>
  <c r="F445" i="1"/>
  <c r="G445" i="1" s="1"/>
  <c r="F446" i="1"/>
  <c r="G446" i="1" s="1"/>
  <c r="F447" i="1"/>
  <c r="G447" i="1" s="1"/>
  <c r="F448" i="1"/>
  <c r="G448" i="1" s="1"/>
  <c r="F449" i="1"/>
  <c r="G449" i="1" s="1"/>
  <c r="F450" i="1"/>
  <c r="G450" i="1" s="1"/>
  <c r="F451" i="1"/>
  <c r="G451" i="1" s="1"/>
  <c r="F452" i="1"/>
  <c r="G452" i="1" s="1"/>
  <c r="F453" i="1"/>
  <c r="G453" i="1" s="1"/>
  <c r="F454" i="1"/>
  <c r="G454" i="1" s="1"/>
  <c r="F455" i="1"/>
  <c r="G455" i="1" s="1"/>
  <c r="F456" i="1"/>
  <c r="G456" i="1" s="1"/>
  <c r="F457" i="1"/>
  <c r="G457" i="1" s="1"/>
  <c r="F458" i="1"/>
  <c r="G458" i="1" s="1"/>
  <c r="F459" i="1"/>
  <c r="G459" i="1" s="1"/>
  <c r="F460" i="1"/>
  <c r="G460" i="1" s="1"/>
  <c r="F461" i="1"/>
  <c r="G461" i="1" s="1"/>
  <c r="F462" i="1"/>
  <c r="G462" i="1" s="1"/>
  <c r="F463" i="1"/>
  <c r="G463" i="1" s="1"/>
  <c r="F464" i="1"/>
  <c r="G464" i="1" s="1"/>
  <c r="F465" i="1"/>
  <c r="G465" i="1" s="1"/>
  <c r="F466" i="1"/>
  <c r="G466" i="1" s="1"/>
  <c r="F467" i="1"/>
  <c r="G467" i="1" s="1"/>
  <c r="F468" i="1"/>
  <c r="G468" i="1" s="1"/>
  <c r="F469" i="1"/>
  <c r="G469" i="1" s="1"/>
  <c r="F470" i="1"/>
  <c r="G470" i="1" s="1"/>
  <c r="F471" i="1"/>
  <c r="F472" i="1"/>
  <c r="G472" i="1" s="1"/>
  <c r="F473" i="1"/>
  <c r="G473" i="1" s="1"/>
  <c r="F474" i="1"/>
  <c r="G474" i="1" s="1"/>
  <c r="F475" i="1"/>
  <c r="G475" i="1" s="1"/>
  <c r="F476" i="1"/>
  <c r="G476" i="1" s="1"/>
  <c r="F477" i="1"/>
  <c r="G477" i="1" s="1"/>
  <c r="F478" i="1"/>
  <c r="G478" i="1" s="1"/>
  <c r="F479" i="1"/>
  <c r="G479" i="1" s="1"/>
  <c r="F480" i="1"/>
  <c r="G480" i="1" s="1"/>
  <c r="F481" i="1"/>
  <c r="G481" i="1" s="1"/>
  <c r="F482" i="1"/>
  <c r="G482" i="1" s="1"/>
  <c r="F483" i="1"/>
  <c r="G483" i="1" s="1"/>
  <c r="F484" i="1"/>
  <c r="G484" i="1" s="1"/>
  <c r="F485" i="1"/>
  <c r="G485" i="1" s="1"/>
  <c r="F486" i="1"/>
  <c r="G486" i="1" s="1"/>
  <c r="F487" i="1"/>
  <c r="G487" i="1" s="1"/>
  <c r="F488" i="1"/>
  <c r="G488" i="1" s="1"/>
  <c r="F489" i="1"/>
  <c r="G489" i="1" s="1"/>
  <c r="F490" i="1"/>
  <c r="G490" i="1" s="1"/>
  <c r="F491" i="1"/>
  <c r="G491" i="1" s="1"/>
  <c r="F492" i="1"/>
  <c r="G492" i="1" s="1"/>
  <c r="F493" i="1"/>
  <c r="G493" i="1" s="1"/>
  <c r="F494" i="1"/>
  <c r="G494" i="1" s="1"/>
  <c r="F495" i="1"/>
  <c r="G495" i="1" s="1"/>
  <c r="F496" i="1"/>
  <c r="G496" i="1" s="1"/>
  <c r="F497" i="1"/>
  <c r="G497" i="1" s="1"/>
  <c r="F498" i="1"/>
  <c r="G498" i="1" s="1"/>
  <c r="F499" i="1"/>
  <c r="G499" i="1" s="1"/>
  <c r="F500" i="1"/>
  <c r="G500" i="1" s="1"/>
  <c r="F501" i="1"/>
  <c r="G501" i="1" s="1"/>
  <c r="F502" i="1"/>
  <c r="G502" i="1" s="1"/>
  <c r="F503" i="1"/>
  <c r="G503" i="1" s="1"/>
  <c r="F504" i="1"/>
  <c r="G504" i="1" s="1"/>
  <c r="F505" i="1"/>
  <c r="G505" i="1" s="1"/>
  <c r="F506" i="1"/>
  <c r="G506" i="1" s="1"/>
  <c r="F507" i="1"/>
  <c r="G507" i="1" s="1"/>
  <c r="F508" i="1"/>
  <c r="G508" i="1" s="1"/>
  <c r="F509" i="1"/>
  <c r="G509" i="1" s="1"/>
  <c r="F510" i="1"/>
  <c r="G510" i="1" s="1"/>
  <c r="F511" i="1"/>
  <c r="G511" i="1" s="1"/>
  <c r="F512" i="1"/>
  <c r="G512" i="1" s="1"/>
  <c r="F513" i="1"/>
  <c r="G513" i="1" s="1"/>
  <c r="F514" i="1"/>
  <c r="G514" i="1" s="1"/>
  <c r="F515" i="1"/>
  <c r="G515" i="1" s="1"/>
  <c r="F516" i="1"/>
  <c r="G516" i="1" s="1"/>
  <c r="F517" i="1"/>
  <c r="G517" i="1" s="1"/>
  <c r="F518" i="1"/>
  <c r="G518" i="1" s="1"/>
  <c r="F519" i="1"/>
  <c r="G519" i="1" s="1"/>
  <c r="F520" i="1"/>
  <c r="G520" i="1" s="1"/>
  <c r="F521" i="1"/>
  <c r="G521" i="1" s="1"/>
  <c r="F522" i="1"/>
  <c r="G522" i="1" s="1"/>
  <c r="F523" i="1"/>
  <c r="G523" i="1" s="1"/>
  <c r="F524" i="1"/>
  <c r="G524" i="1" s="1"/>
  <c r="F525" i="1"/>
  <c r="G525" i="1" s="1"/>
  <c r="F526" i="1"/>
  <c r="G526" i="1" s="1"/>
  <c r="F527" i="1"/>
  <c r="G527" i="1" s="1"/>
  <c r="F528" i="1"/>
  <c r="G528" i="1" s="1"/>
  <c r="F529" i="1"/>
  <c r="G529" i="1" s="1"/>
  <c r="F530" i="1"/>
  <c r="G530" i="1" s="1"/>
  <c r="F531" i="1"/>
  <c r="G531" i="1" s="1"/>
  <c r="F532" i="1"/>
  <c r="G532" i="1" s="1"/>
  <c r="F533" i="1"/>
  <c r="G533" i="1" s="1"/>
  <c r="F534" i="1"/>
  <c r="G534" i="1" s="1"/>
  <c r="F535" i="1"/>
  <c r="G535" i="1" s="1"/>
  <c r="F536" i="1"/>
  <c r="G536" i="1" s="1"/>
  <c r="F537" i="1"/>
  <c r="G537" i="1" s="1"/>
  <c r="F538" i="1"/>
  <c r="G538" i="1" s="1"/>
  <c r="F539" i="1"/>
  <c r="G539" i="1" s="1"/>
  <c r="F540" i="1"/>
  <c r="G540" i="1" s="1"/>
  <c r="F541" i="1"/>
  <c r="G541" i="1" s="1"/>
  <c r="F542" i="1"/>
  <c r="G542" i="1" s="1"/>
  <c r="F543" i="1"/>
  <c r="G543" i="1" s="1"/>
  <c r="F544" i="1"/>
  <c r="G544" i="1" s="1"/>
  <c r="F545" i="1"/>
  <c r="G545" i="1" s="1"/>
  <c r="F546" i="1"/>
  <c r="G546" i="1" s="1"/>
  <c r="F547" i="1"/>
  <c r="G547" i="1" s="1"/>
  <c r="F548" i="1"/>
  <c r="G548" i="1" s="1"/>
  <c r="F549" i="1"/>
  <c r="G549" i="1" s="1"/>
  <c r="F550" i="1"/>
  <c r="G550" i="1" s="1"/>
  <c r="F551" i="1"/>
  <c r="G551" i="1" s="1"/>
  <c r="F552" i="1"/>
  <c r="G552" i="1" s="1"/>
  <c r="F553" i="1"/>
  <c r="G553" i="1" s="1"/>
  <c r="F554" i="1"/>
  <c r="G554" i="1" s="1"/>
  <c r="F555" i="1"/>
  <c r="G555" i="1" s="1"/>
  <c r="F556" i="1"/>
  <c r="G556" i="1" s="1"/>
  <c r="F557" i="1"/>
  <c r="G557" i="1" s="1"/>
  <c r="F558" i="1"/>
  <c r="G558" i="1" s="1"/>
  <c r="F559" i="1"/>
  <c r="G559" i="1" s="1"/>
  <c r="F560" i="1"/>
  <c r="G560" i="1" s="1"/>
  <c r="F561" i="1"/>
  <c r="G561" i="1" s="1"/>
  <c r="F562" i="1"/>
  <c r="G562" i="1" s="1"/>
  <c r="F563" i="1"/>
  <c r="G563" i="1" s="1"/>
  <c r="F564" i="1"/>
  <c r="G564" i="1" s="1"/>
  <c r="F565" i="1"/>
  <c r="G565" i="1" s="1"/>
  <c r="F566" i="1"/>
  <c r="G566" i="1" s="1"/>
  <c r="F567" i="1"/>
  <c r="G567" i="1" s="1"/>
  <c r="F568" i="1"/>
  <c r="G568" i="1" s="1"/>
  <c r="F569" i="1"/>
  <c r="G569" i="1" s="1"/>
  <c r="F570" i="1"/>
  <c r="G570" i="1" s="1"/>
  <c r="F571" i="1"/>
  <c r="G571" i="1" s="1"/>
  <c r="F572" i="1"/>
  <c r="G572" i="1" s="1"/>
  <c r="F573" i="1"/>
  <c r="G573" i="1" s="1"/>
  <c r="F574" i="1"/>
  <c r="G574" i="1" s="1"/>
  <c r="F575" i="1"/>
  <c r="G575" i="1" s="1"/>
  <c r="F576" i="1"/>
  <c r="G576" i="1" s="1"/>
  <c r="F577" i="1"/>
  <c r="G577" i="1" s="1"/>
  <c r="F578" i="1"/>
  <c r="G578" i="1" s="1"/>
  <c r="F579" i="1"/>
  <c r="G579" i="1" s="1"/>
  <c r="F580" i="1"/>
  <c r="G580" i="1" s="1"/>
  <c r="F581" i="1"/>
  <c r="G581" i="1" s="1"/>
  <c r="F582" i="1"/>
  <c r="G582" i="1" s="1"/>
  <c r="F583" i="1"/>
  <c r="G583" i="1" s="1"/>
  <c r="F584" i="1"/>
  <c r="G584" i="1" s="1"/>
  <c r="F585" i="1"/>
  <c r="G585" i="1" s="1"/>
  <c r="F586" i="1"/>
  <c r="G586" i="1" s="1"/>
  <c r="F587" i="1"/>
  <c r="G587" i="1" s="1"/>
  <c r="F588" i="1"/>
  <c r="G588" i="1" s="1"/>
  <c r="F589" i="1"/>
  <c r="G589" i="1" s="1"/>
  <c r="F590" i="1"/>
  <c r="G590" i="1" s="1"/>
  <c r="F591" i="1"/>
  <c r="G591" i="1" s="1"/>
  <c r="F592" i="1"/>
  <c r="G592" i="1" s="1"/>
  <c r="F593" i="1"/>
  <c r="G593" i="1" s="1"/>
  <c r="F594" i="1"/>
  <c r="G594" i="1" s="1"/>
  <c r="F595" i="1"/>
  <c r="G595" i="1" s="1"/>
  <c r="F596" i="1"/>
  <c r="G596" i="1" s="1"/>
  <c r="F597" i="1"/>
  <c r="G597" i="1" s="1"/>
  <c r="F598" i="1"/>
  <c r="G598" i="1" s="1"/>
  <c r="F599" i="1"/>
  <c r="G599" i="1" s="1"/>
  <c r="F600" i="1"/>
  <c r="G600" i="1" s="1"/>
  <c r="F601" i="1"/>
  <c r="G601" i="1" s="1"/>
  <c r="F602" i="1"/>
  <c r="G602" i="1" s="1"/>
  <c r="F603" i="1"/>
  <c r="G603" i="1" s="1"/>
  <c r="F604" i="1"/>
  <c r="G604" i="1" s="1"/>
  <c r="F605" i="1"/>
  <c r="G605" i="1" s="1"/>
  <c r="F606" i="1"/>
  <c r="G606" i="1" s="1"/>
  <c r="F607" i="1"/>
  <c r="G607" i="1" s="1"/>
  <c r="F608" i="1"/>
  <c r="G608" i="1" s="1"/>
  <c r="F609" i="1"/>
  <c r="G609" i="1" s="1"/>
  <c r="F610" i="1"/>
  <c r="G610" i="1" s="1"/>
  <c r="F611" i="1"/>
  <c r="G611" i="1" s="1"/>
  <c r="F612" i="1"/>
  <c r="G612" i="1" s="1"/>
  <c r="F613" i="1"/>
  <c r="G613" i="1" s="1"/>
  <c r="F614" i="1"/>
  <c r="G614" i="1" s="1"/>
  <c r="F615" i="1"/>
  <c r="G615" i="1" s="1"/>
  <c r="F616" i="1"/>
  <c r="G616" i="1" s="1"/>
  <c r="F617" i="1"/>
  <c r="G617" i="1" s="1"/>
  <c r="F618" i="1"/>
  <c r="G618" i="1" s="1"/>
  <c r="F619" i="1"/>
  <c r="G619" i="1" s="1"/>
  <c r="F620" i="1"/>
  <c r="G620" i="1" s="1"/>
  <c r="F621" i="1"/>
  <c r="G621" i="1" s="1"/>
  <c r="F622" i="1"/>
  <c r="G622" i="1" s="1"/>
  <c r="F623" i="1"/>
  <c r="G623" i="1" s="1"/>
  <c r="F624" i="1"/>
  <c r="G624" i="1" s="1"/>
  <c r="F625" i="1"/>
  <c r="G625" i="1" s="1"/>
  <c r="F626" i="1"/>
  <c r="G626" i="1" s="1"/>
  <c r="F627" i="1"/>
  <c r="G627" i="1" s="1"/>
  <c r="F628" i="1"/>
  <c r="G628" i="1" s="1"/>
  <c r="F629" i="1"/>
  <c r="G629" i="1" s="1"/>
  <c r="F630" i="1"/>
  <c r="G630" i="1" s="1"/>
  <c r="F631" i="1"/>
  <c r="G631" i="1" s="1"/>
  <c r="F632" i="1"/>
  <c r="G632" i="1" s="1"/>
  <c r="F633" i="1"/>
  <c r="G633" i="1" s="1"/>
  <c r="F634" i="1"/>
  <c r="G634" i="1" s="1"/>
  <c r="F635" i="1"/>
  <c r="G635" i="1" s="1"/>
  <c r="F636" i="1"/>
  <c r="G636" i="1" s="1"/>
  <c r="F637" i="1"/>
  <c r="G637" i="1" s="1"/>
  <c r="F638" i="1"/>
  <c r="G638" i="1" s="1"/>
  <c r="F639" i="1"/>
  <c r="G639" i="1" s="1"/>
  <c r="F640" i="1"/>
  <c r="G640" i="1" s="1"/>
  <c r="F641" i="1"/>
  <c r="G641" i="1" s="1"/>
  <c r="F642" i="1"/>
  <c r="G642" i="1" s="1"/>
  <c r="F643" i="1"/>
  <c r="G643" i="1" s="1"/>
  <c r="F644" i="1"/>
  <c r="G644" i="1" s="1"/>
  <c r="F645" i="1"/>
  <c r="G645" i="1" s="1"/>
  <c r="F646" i="1"/>
  <c r="G646" i="1" s="1"/>
  <c r="F647" i="1"/>
  <c r="G647" i="1" s="1"/>
  <c r="F648" i="1"/>
  <c r="G648" i="1" s="1"/>
  <c r="F649" i="1"/>
  <c r="G649" i="1" s="1"/>
  <c r="F650" i="1"/>
  <c r="G650" i="1" s="1"/>
  <c r="F651" i="1"/>
  <c r="G651" i="1" s="1"/>
  <c r="F652" i="1"/>
  <c r="G652" i="1" s="1"/>
  <c r="F653" i="1"/>
  <c r="G653" i="1" s="1"/>
  <c r="F654" i="1"/>
  <c r="G654" i="1" s="1"/>
  <c r="F655" i="1"/>
  <c r="G655" i="1" s="1"/>
  <c r="F656" i="1"/>
  <c r="G656" i="1" s="1"/>
  <c r="F657" i="1"/>
  <c r="G657" i="1" s="1"/>
  <c r="F658" i="1"/>
  <c r="G658" i="1" s="1"/>
  <c r="F659" i="1"/>
  <c r="G659" i="1" s="1"/>
  <c r="F660" i="1"/>
  <c r="G660" i="1" s="1"/>
  <c r="F661" i="1"/>
  <c r="G661" i="1" s="1"/>
  <c r="F662" i="1"/>
  <c r="G662" i="1" s="1"/>
  <c r="F663" i="1"/>
  <c r="G663" i="1" s="1"/>
  <c r="F664" i="1"/>
  <c r="G664" i="1" s="1"/>
  <c r="F665" i="1"/>
  <c r="G665" i="1" s="1"/>
  <c r="F666" i="1"/>
  <c r="G666" i="1" s="1"/>
  <c r="F667" i="1"/>
  <c r="G667" i="1" s="1"/>
  <c r="F668" i="1"/>
  <c r="G668" i="1" s="1"/>
  <c r="F669" i="1"/>
  <c r="G669" i="1" s="1"/>
  <c r="F670" i="1"/>
  <c r="G670" i="1" s="1"/>
  <c r="F671" i="1"/>
  <c r="G671" i="1" s="1"/>
  <c r="F672" i="1"/>
  <c r="G672" i="1" s="1"/>
  <c r="F673" i="1"/>
  <c r="G673" i="1" s="1"/>
  <c r="F674" i="1"/>
  <c r="G674" i="1" s="1"/>
  <c r="F675" i="1"/>
  <c r="G675" i="1" s="1"/>
  <c r="F676" i="1"/>
  <c r="G676" i="1" s="1"/>
  <c r="F677" i="1"/>
  <c r="G677" i="1" s="1"/>
  <c r="F678" i="1"/>
  <c r="G678" i="1" s="1"/>
  <c r="F679" i="1"/>
  <c r="G679" i="1" s="1"/>
  <c r="F680" i="1"/>
  <c r="G680" i="1" s="1"/>
  <c r="F681" i="1"/>
  <c r="G681" i="1" s="1"/>
  <c r="F682" i="1"/>
  <c r="G682" i="1" s="1"/>
  <c r="F683" i="1"/>
  <c r="G683" i="1" s="1"/>
  <c r="F684" i="1"/>
  <c r="G684" i="1" s="1"/>
  <c r="F685" i="1"/>
  <c r="G685" i="1" s="1"/>
  <c r="F686" i="1"/>
  <c r="G686" i="1" s="1"/>
  <c r="F687" i="1"/>
  <c r="G687" i="1" s="1"/>
  <c r="F688" i="1"/>
  <c r="G688" i="1" s="1"/>
  <c r="F689" i="1"/>
  <c r="G689" i="1" s="1"/>
  <c r="F690" i="1"/>
  <c r="G690" i="1" s="1"/>
  <c r="F691" i="1"/>
  <c r="G691" i="1" s="1"/>
  <c r="F692" i="1"/>
  <c r="G692" i="1" s="1"/>
  <c r="F693" i="1"/>
  <c r="G693" i="1" s="1"/>
  <c r="F694" i="1"/>
  <c r="G694" i="1" s="1"/>
  <c r="F695" i="1"/>
  <c r="G695" i="1" s="1"/>
  <c r="F696" i="1"/>
  <c r="G696" i="1" s="1"/>
  <c r="F697" i="1"/>
  <c r="G697" i="1" s="1"/>
  <c r="F698" i="1"/>
  <c r="G698" i="1" s="1"/>
  <c r="F699" i="1"/>
  <c r="G699" i="1" s="1"/>
  <c r="F700" i="1"/>
  <c r="G700" i="1" s="1"/>
  <c r="F701" i="1"/>
  <c r="G701" i="1" s="1"/>
  <c r="F702" i="1"/>
  <c r="G702" i="1" s="1"/>
  <c r="F703" i="1"/>
  <c r="G703" i="1" s="1"/>
  <c r="F704" i="1"/>
  <c r="G704" i="1" s="1"/>
  <c r="F705" i="1"/>
  <c r="G705" i="1" s="1"/>
  <c r="F706" i="1"/>
  <c r="G706" i="1" s="1"/>
  <c r="F707" i="1"/>
  <c r="G707" i="1" s="1"/>
  <c r="F708" i="1"/>
  <c r="G708" i="1" s="1"/>
  <c r="F709" i="1"/>
  <c r="G709" i="1" s="1"/>
  <c r="F710" i="1"/>
  <c r="G710" i="1" s="1"/>
  <c r="F711" i="1"/>
  <c r="G711" i="1" s="1"/>
  <c r="F712" i="1"/>
  <c r="G712" i="1" s="1"/>
  <c r="F713" i="1"/>
  <c r="G713" i="1" s="1"/>
  <c r="F714" i="1"/>
  <c r="G714" i="1" s="1"/>
  <c r="F715" i="1"/>
  <c r="G715" i="1" s="1"/>
  <c r="F716" i="1"/>
  <c r="G716" i="1" s="1"/>
  <c r="F717" i="1"/>
  <c r="G717" i="1" s="1"/>
  <c r="F718" i="1"/>
  <c r="G718" i="1" s="1"/>
  <c r="F719" i="1"/>
  <c r="G719" i="1" s="1"/>
  <c r="F720" i="1"/>
  <c r="G720" i="1" s="1"/>
  <c r="F721" i="1"/>
  <c r="G721" i="1" s="1"/>
  <c r="F722" i="1"/>
  <c r="G722" i="1" s="1"/>
  <c r="F723" i="1"/>
  <c r="G723" i="1" s="1"/>
  <c r="F724" i="1"/>
  <c r="G724" i="1" s="1"/>
  <c r="F725" i="1"/>
  <c r="G725" i="1" s="1"/>
  <c r="F726" i="1"/>
  <c r="G726" i="1" s="1"/>
  <c r="F727" i="1"/>
  <c r="G727" i="1" s="1"/>
  <c r="F728" i="1"/>
  <c r="G728" i="1" s="1"/>
  <c r="F729" i="1"/>
  <c r="G729" i="1" s="1"/>
  <c r="F730" i="1"/>
  <c r="G730" i="1" s="1"/>
  <c r="F731" i="1"/>
  <c r="G731" i="1" s="1"/>
  <c r="F732" i="1"/>
  <c r="G732" i="1" s="1"/>
  <c r="F733" i="1"/>
  <c r="G733" i="1" s="1"/>
  <c r="F734" i="1"/>
  <c r="G734" i="1" s="1"/>
  <c r="F735" i="1"/>
  <c r="G735" i="1" s="1"/>
  <c r="F736" i="1"/>
  <c r="G736" i="1" s="1"/>
  <c r="F737" i="1"/>
  <c r="G737" i="1" s="1"/>
  <c r="F738" i="1"/>
  <c r="G738" i="1" s="1"/>
  <c r="F739" i="1"/>
  <c r="G739" i="1" s="1"/>
  <c r="F740" i="1"/>
  <c r="G740" i="1" s="1"/>
  <c r="F741" i="1"/>
  <c r="G741" i="1" s="1"/>
  <c r="F742" i="1"/>
  <c r="G742" i="1" s="1"/>
  <c r="F743" i="1"/>
  <c r="G743" i="1" s="1"/>
  <c r="F744" i="1"/>
  <c r="G744" i="1" s="1"/>
  <c r="F745" i="1"/>
  <c r="G745" i="1" s="1"/>
  <c r="F746" i="1"/>
  <c r="G746" i="1" s="1"/>
  <c r="F747" i="1"/>
  <c r="G747" i="1" s="1"/>
  <c r="F748" i="1"/>
  <c r="G748" i="1" s="1"/>
  <c r="F749" i="1"/>
  <c r="G749" i="1" s="1"/>
  <c r="F750" i="1"/>
  <c r="G750" i="1" s="1"/>
  <c r="F751" i="1"/>
  <c r="G751" i="1" s="1"/>
  <c r="F752" i="1"/>
  <c r="G752" i="1" s="1"/>
  <c r="F753" i="1"/>
  <c r="G753" i="1" s="1"/>
  <c r="F754" i="1"/>
  <c r="G754" i="1" s="1"/>
  <c r="F755" i="1"/>
  <c r="G755" i="1" s="1"/>
  <c r="F756" i="1"/>
  <c r="G756" i="1" s="1"/>
  <c r="F757" i="1"/>
  <c r="G757" i="1" s="1"/>
  <c r="F758" i="1"/>
  <c r="G758" i="1" s="1"/>
  <c r="F759" i="1"/>
  <c r="G759" i="1" s="1"/>
  <c r="F760" i="1"/>
  <c r="G760" i="1" s="1"/>
  <c r="F761" i="1"/>
  <c r="G761" i="1" s="1"/>
  <c r="F762" i="1"/>
  <c r="G762" i="1" s="1"/>
  <c r="F763" i="1"/>
  <c r="G763" i="1" s="1"/>
  <c r="F764" i="1"/>
  <c r="G764" i="1" s="1"/>
  <c r="F765" i="1"/>
  <c r="G765" i="1" s="1"/>
  <c r="F766" i="1"/>
  <c r="G766" i="1" s="1"/>
  <c r="F767" i="1"/>
  <c r="G767" i="1" s="1"/>
  <c r="F768" i="1"/>
  <c r="G768" i="1" s="1"/>
  <c r="F769" i="1"/>
  <c r="G769" i="1" s="1"/>
  <c r="F770" i="1"/>
  <c r="G770" i="1" s="1"/>
  <c r="F771" i="1"/>
  <c r="G771" i="1" s="1"/>
  <c r="F772" i="1"/>
  <c r="G772" i="1" s="1"/>
  <c r="F773" i="1"/>
  <c r="G773" i="1" s="1"/>
  <c r="F774" i="1"/>
  <c r="G774" i="1" s="1"/>
  <c r="F775" i="1"/>
  <c r="G775" i="1" s="1"/>
  <c r="F776" i="1"/>
  <c r="G776" i="1" s="1"/>
  <c r="F777" i="1"/>
  <c r="G777" i="1" s="1"/>
  <c r="F778" i="1"/>
  <c r="G778" i="1" s="1"/>
  <c r="F779" i="1"/>
  <c r="G779" i="1" s="1"/>
  <c r="F780" i="1"/>
  <c r="G780" i="1" s="1"/>
  <c r="F781" i="1"/>
  <c r="G781" i="1" s="1"/>
  <c r="F782" i="1"/>
  <c r="G782" i="1" s="1"/>
  <c r="F783" i="1"/>
  <c r="G783" i="1" s="1"/>
  <c r="F784" i="1"/>
  <c r="G784" i="1" s="1"/>
  <c r="F785" i="1"/>
  <c r="G785" i="1" s="1"/>
  <c r="F786" i="1"/>
  <c r="G786" i="1" s="1"/>
  <c r="F787" i="1"/>
  <c r="G787" i="1" s="1"/>
  <c r="F788" i="1"/>
  <c r="G788" i="1" s="1"/>
  <c r="F789" i="1"/>
  <c r="G789" i="1" s="1"/>
  <c r="F790" i="1"/>
  <c r="G790" i="1" s="1"/>
  <c r="F791" i="1"/>
  <c r="G791" i="1" s="1"/>
  <c r="F792" i="1"/>
  <c r="G792" i="1" s="1"/>
  <c r="F793" i="1"/>
  <c r="G793" i="1" s="1"/>
  <c r="F794" i="1"/>
  <c r="G794" i="1" s="1"/>
  <c r="F795" i="1"/>
  <c r="G795" i="1" s="1"/>
  <c r="F796" i="1"/>
  <c r="G796" i="1" s="1"/>
  <c r="F797" i="1"/>
  <c r="G797" i="1" s="1"/>
  <c r="F798" i="1"/>
  <c r="G798" i="1" s="1"/>
  <c r="F799" i="1"/>
  <c r="G799" i="1" s="1"/>
  <c r="F800" i="1"/>
  <c r="G800" i="1" s="1"/>
  <c r="F801" i="1"/>
  <c r="G801" i="1" s="1"/>
  <c r="F802" i="1"/>
  <c r="G802" i="1" s="1"/>
  <c r="F803" i="1"/>
  <c r="G803" i="1" s="1"/>
  <c r="F804" i="1"/>
  <c r="G804" i="1" s="1"/>
  <c r="F805" i="1"/>
  <c r="G805" i="1" s="1"/>
  <c r="F806" i="1"/>
  <c r="G806" i="1" s="1"/>
  <c r="F807" i="1"/>
  <c r="G807" i="1" s="1"/>
  <c r="F808" i="1"/>
  <c r="G808" i="1" s="1"/>
  <c r="F809" i="1"/>
  <c r="G809" i="1" s="1"/>
  <c r="F810" i="1"/>
  <c r="G810" i="1" s="1"/>
  <c r="F811" i="1"/>
  <c r="G811" i="1" s="1"/>
  <c r="F812" i="1"/>
  <c r="G812" i="1" s="1"/>
  <c r="F813" i="1"/>
  <c r="G813" i="1" s="1"/>
  <c r="F814" i="1"/>
  <c r="G814" i="1" s="1"/>
  <c r="F815" i="1"/>
  <c r="G815" i="1" s="1"/>
  <c r="F816" i="1"/>
  <c r="G816" i="1" s="1"/>
  <c r="F817" i="1"/>
  <c r="G817" i="1" s="1"/>
  <c r="F818" i="1"/>
  <c r="G818" i="1" s="1"/>
  <c r="F819" i="1"/>
  <c r="G819" i="1" s="1"/>
  <c r="F820" i="1"/>
  <c r="G820" i="1" s="1"/>
  <c r="F821" i="1"/>
  <c r="G821" i="1" s="1"/>
  <c r="F822" i="1"/>
  <c r="G822" i="1" s="1"/>
  <c r="F823" i="1"/>
  <c r="G823" i="1" s="1"/>
  <c r="F824" i="1"/>
  <c r="G824" i="1" s="1"/>
  <c r="F825" i="1"/>
  <c r="G825" i="1" s="1"/>
  <c r="F826" i="1"/>
  <c r="G826" i="1" s="1"/>
  <c r="F827" i="1"/>
  <c r="G827" i="1" s="1"/>
  <c r="F828" i="1"/>
  <c r="G828" i="1" s="1"/>
  <c r="F829" i="1"/>
  <c r="G829" i="1" s="1"/>
  <c r="F830" i="1"/>
  <c r="G830" i="1" s="1"/>
  <c r="F831" i="1"/>
  <c r="G831" i="1" s="1"/>
  <c r="F2" i="1"/>
  <c r="G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2" i="1"/>
  <c r="M419" i="1" l="1"/>
  <c r="M802" i="1"/>
  <c r="M674" i="1"/>
  <c r="M786" i="1"/>
  <c r="M658" i="1"/>
  <c r="M738" i="1"/>
  <c r="M610" i="1"/>
  <c r="M722" i="1"/>
  <c r="M594" i="1"/>
  <c r="N429" i="1"/>
  <c r="O429" i="1" s="1"/>
  <c r="M821" i="1"/>
  <c r="N821" i="1"/>
  <c r="O821" i="1" s="1"/>
  <c r="M609" i="1"/>
  <c r="N609" i="1"/>
  <c r="O609" i="1" s="1"/>
  <c r="N561" i="1"/>
  <c r="O561" i="1" s="1"/>
  <c r="M561" i="1"/>
  <c r="M173" i="1"/>
  <c r="N173" i="1"/>
  <c r="O173" i="1" s="1"/>
  <c r="M770" i="1"/>
  <c r="M706" i="1"/>
  <c r="M642" i="1"/>
  <c r="M578" i="1"/>
  <c r="M818" i="1"/>
  <c r="M754" i="1"/>
  <c r="M690" i="1"/>
  <c r="M626" i="1"/>
  <c r="M651" i="1"/>
  <c r="N651" i="1"/>
  <c r="O651" i="1" s="1"/>
  <c r="N555" i="1"/>
  <c r="O555" i="1" s="1"/>
  <c r="M555" i="1"/>
  <c r="M523" i="1"/>
  <c r="N523" i="1"/>
  <c r="O523" i="1" s="1"/>
  <c r="N515" i="1"/>
  <c r="O515" i="1" s="1"/>
  <c r="M515" i="1"/>
  <c r="N507" i="1"/>
  <c r="O507" i="1" s="1"/>
  <c r="M507" i="1"/>
  <c r="N499" i="1"/>
  <c r="O499" i="1" s="1"/>
  <c r="M499" i="1"/>
  <c r="N491" i="1"/>
  <c r="O491" i="1" s="1"/>
  <c r="M491" i="1"/>
  <c r="N483" i="1"/>
  <c r="O483" i="1" s="1"/>
  <c r="M483" i="1"/>
  <c r="N475" i="1"/>
  <c r="O475" i="1" s="1"/>
  <c r="M475" i="1"/>
  <c r="N467" i="1"/>
  <c r="O467" i="1" s="1"/>
  <c r="M467" i="1"/>
  <c r="N459" i="1"/>
  <c r="O459" i="1" s="1"/>
  <c r="M459" i="1"/>
  <c r="N451" i="1"/>
  <c r="O451" i="1" s="1"/>
  <c r="M451" i="1"/>
  <c r="N443" i="1"/>
  <c r="O443" i="1" s="1"/>
  <c r="M443" i="1"/>
  <c r="N435" i="1"/>
  <c r="O435" i="1" s="1"/>
  <c r="M435" i="1"/>
  <c r="N427" i="1"/>
  <c r="O427" i="1" s="1"/>
  <c r="M427" i="1"/>
  <c r="N411" i="1"/>
  <c r="O411" i="1" s="1"/>
  <c r="M411" i="1"/>
  <c r="N403" i="1"/>
  <c r="O403" i="1" s="1"/>
  <c r="M403" i="1"/>
  <c r="N395" i="1"/>
  <c r="O395" i="1" s="1"/>
  <c r="M395" i="1"/>
  <c r="M539" i="1"/>
  <c r="M387" i="1"/>
  <c r="M127" i="1"/>
  <c r="N379" i="1"/>
  <c r="O379" i="1" s="1"/>
  <c r="M379" i="1"/>
  <c r="N371" i="1"/>
  <c r="O371" i="1" s="1"/>
  <c r="M371" i="1"/>
  <c r="N363" i="1"/>
  <c r="O363" i="1" s="1"/>
  <c r="M363" i="1"/>
  <c r="N347" i="1"/>
  <c r="O347" i="1" s="1"/>
  <c r="M347" i="1"/>
  <c r="N339" i="1"/>
  <c r="O339" i="1" s="1"/>
  <c r="M339" i="1"/>
  <c r="N331" i="1"/>
  <c r="O331" i="1" s="1"/>
  <c r="M331" i="1"/>
  <c r="N315" i="1"/>
  <c r="O315" i="1" s="1"/>
  <c r="M315" i="1"/>
  <c r="N307" i="1"/>
  <c r="O307" i="1" s="1"/>
  <c r="M307" i="1"/>
  <c r="N287" i="1"/>
  <c r="O287" i="1" s="1"/>
  <c r="M287" i="1"/>
  <c r="N223" i="1"/>
  <c r="O223" i="1" s="1"/>
  <c r="M223" i="1"/>
  <c r="N191" i="1"/>
  <c r="O191" i="1" s="1"/>
  <c r="M191" i="1"/>
  <c r="N159" i="1"/>
  <c r="O159" i="1" s="1"/>
  <c r="M159" i="1"/>
  <c r="N95" i="1"/>
  <c r="O95" i="1" s="1"/>
  <c r="M95" i="1"/>
  <c r="N63" i="1"/>
  <c r="O63" i="1" s="1"/>
  <c r="M63" i="1"/>
  <c r="N31" i="1"/>
  <c r="O31" i="1" s="1"/>
  <c r="M31" i="1"/>
  <c r="M355" i="1"/>
  <c r="M323" i="1"/>
  <c r="M830" i="1"/>
  <c r="M814" i="1"/>
  <c r="M798" i="1"/>
  <c r="M782" i="1"/>
  <c r="M766" i="1"/>
  <c r="M750" i="1"/>
  <c r="M734" i="1"/>
  <c r="M718" i="1"/>
  <c r="M702" i="1"/>
  <c r="M686" i="1"/>
  <c r="M670" i="1"/>
  <c r="M654" i="1"/>
  <c r="M638" i="1"/>
  <c r="M622" i="1"/>
  <c r="M606" i="1"/>
  <c r="M590" i="1"/>
  <c r="M574" i="1"/>
  <c r="M534" i="1"/>
  <c r="N737" i="1"/>
  <c r="O737" i="1" s="1"/>
  <c r="N565" i="1"/>
  <c r="O565" i="1" s="1"/>
  <c r="N365" i="1"/>
  <c r="O365" i="1" s="1"/>
  <c r="N109" i="1"/>
  <c r="O109" i="1" s="1"/>
  <c r="M826" i="1"/>
  <c r="M810" i="1"/>
  <c r="M794" i="1"/>
  <c r="M778" i="1"/>
  <c r="M762" i="1"/>
  <c r="M746" i="1"/>
  <c r="M730" i="1"/>
  <c r="M714" i="1"/>
  <c r="M698" i="1"/>
  <c r="M682" i="1"/>
  <c r="M666" i="1"/>
  <c r="M650" i="1"/>
  <c r="M634" i="1"/>
  <c r="M618" i="1"/>
  <c r="M602" i="1"/>
  <c r="M586" i="1"/>
  <c r="M570" i="1"/>
  <c r="M550" i="1"/>
  <c r="M529" i="1"/>
  <c r="N693" i="1"/>
  <c r="O693" i="1" s="1"/>
  <c r="N301" i="1"/>
  <c r="O301" i="1" s="1"/>
  <c r="M822" i="1"/>
  <c r="M806" i="1"/>
  <c r="M790" i="1"/>
  <c r="M774" i="1"/>
  <c r="M758" i="1"/>
  <c r="M742" i="1"/>
  <c r="M726" i="1"/>
  <c r="M710" i="1"/>
  <c r="M694" i="1"/>
  <c r="M678" i="1"/>
  <c r="M662" i="1"/>
  <c r="M646" i="1"/>
  <c r="M630" i="1"/>
  <c r="M614" i="1"/>
  <c r="M598" i="1"/>
  <c r="M582" i="1"/>
  <c r="M566" i="1"/>
  <c r="M545" i="1"/>
  <c r="N481" i="1"/>
  <c r="O481" i="1" s="1"/>
  <c r="N237" i="1"/>
  <c r="O237" i="1" s="1"/>
  <c r="N2" i="1"/>
  <c r="O2" i="1" s="1"/>
  <c r="M2" i="1"/>
  <c r="N828" i="1"/>
  <c r="O828" i="1" s="1"/>
  <c r="M828" i="1"/>
  <c r="N824" i="1"/>
  <c r="O824" i="1" s="1"/>
  <c r="M824" i="1"/>
  <c r="N820" i="1"/>
  <c r="O820" i="1" s="1"/>
  <c r="M820" i="1"/>
  <c r="N816" i="1"/>
  <c r="O816" i="1" s="1"/>
  <c r="M816" i="1"/>
  <c r="N812" i="1"/>
  <c r="O812" i="1" s="1"/>
  <c r="M812" i="1"/>
  <c r="N808" i="1"/>
  <c r="O808" i="1" s="1"/>
  <c r="M808" i="1"/>
  <c r="N804" i="1"/>
  <c r="O804" i="1" s="1"/>
  <c r="M804" i="1"/>
  <c r="N800" i="1"/>
  <c r="O800" i="1" s="1"/>
  <c r="M800" i="1"/>
  <c r="N796" i="1"/>
  <c r="O796" i="1" s="1"/>
  <c r="M796" i="1"/>
  <c r="N792" i="1"/>
  <c r="O792" i="1" s="1"/>
  <c r="M792" i="1"/>
  <c r="N788" i="1"/>
  <c r="O788" i="1" s="1"/>
  <c r="M788" i="1"/>
  <c r="N784" i="1"/>
  <c r="O784" i="1" s="1"/>
  <c r="M784" i="1"/>
  <c r="N780" i="1"/>
  <c r="O780" i="1" s="1"/>
  <c r="M780" i="1"/>
  <c r="N776" i="1"/>
  <c r="O776" i="1" s="1"/>
  <c r="M776" i="1"/>
  <c r="N772" i="1"/>
  <c r="O772" i="1" s="1"/>
  <c r="M772" i="1"/>
  <c r="N768" i="1"/>
  <c r="O768" i="1" s="1"/>
  <c r="M768" i="1"/>
  <c r="N764" i="1"/>
  <c r="O764" i="1" s="1"/>
  <c r="M764" i="1"/>
  <c r="N760" i="1"/>
  <c r="O760" i="1" s="1"/>
  <c r="M760" i="1"/>
  <c r="N756" i="1"/>
  <c r="O756" i="1" s="1"/>
  <c r="M756" i="1"/>
  <c r="N752" i="1"/>
  <c r="O752" i="1" s="1"/>
  <c r="M752" i="1"/>
  <c r="N748" i="1"/>
  <c r="O748" i="1" s="1"/>
  <c r="M748" i="1"/>
  <c r="N744" i="1"/>
  <c r="O744" i="1" s="1"/>
  <c r="M744" i="1"/>
  <c r="N740" i="1"/>
  <c r="O740" i="1" s="1"/>
  <c r="M740" i="1"/>
  <c r="N736" i="1"/>
  <c r="O736" i="1" s="1"/>
  <c r="M736" i="1"/>
  <c r="N732" i="1"/>
  <c r="O732" i="1" s="1"/>
  <c r="M732" i="1"/>
  <c r="N728" i="1"/>
  <c r="O728" i="1" s="1"/>
  <c r="M728" i="1"/>
  <c r="N724" i="1"/>
  <c r="O724" i="1" s="1"/>
  <c r="M724" i="1"/>
  <c r="N720" i="1"/>
  <c r="O720" i="1" s="1"/>
  <c r="M720" i="1"/>
  <c r="N716" i="1"/>
  <c r="O716" i="1" s="1"/>
  <c r="M716" i="1"/>
  <c r="N712" i="1"/>
  <c r="O712" i="1" s="1"/>
  <c r="M712" i="1"/>
  <c r="N708" i="1"/>
  <c r="O708" i="1" s="1"/>
  <c r="M708" i="1"/>
  <c r="N704" i="1"/>
  <c r="O704" i="1" s="1"/>
  <c r="M704" i="1"/>
  <c r="N700" i="1"/>
  <c r="O700" i="1" s="1"/>
  <c r="M700" i="1"/>
  <c r="N696" i="1"/>
  <c r="O696" i="1" s="1"/>
  <c r="M696" i="1"/>
  <c r="N692" i="1"/>
  <c r="O692" i="1" s="1"/>
  <c r="M692" i="1"/>
  <c r="N688" i="1"/>
  <c r="O688" i="1" s="1"/>
  <c r="M688" i="1"/>
  <c r="N684" i="1"/>
  <c r="O684" i="1" s="1"/>
  <c r="M684" i="1"/>
  <c r="N680" i="1"/>
  <c r="O680" i="1" s="1"/>
  <c r="M680" i="1"/>
  <c r="N676" i="1"/>
  <c r="O676" i="1" s="1"/>
  <c r="M676" i="1"/>
  <c r="N672" i="1"/>
  <c r="O672" i="1" s="1"/>
  <c r="M672" i="1"/>
  <c r="N668" i="1"/>
  <c r="O668" i="1" s="1"/>
  <c r="M668" i="1"/>
  <c r="N664" i="1"/>
  <c r="O664" i="1" s="1"/>
  <c r="M664" i="1"/>
  <c r="N660" i="1"/>
  <c r="O660" i="1" s="1"/>
  <c r="M660" i="1"/>
  <c r="N656" i="1"/>
  <c r="O656" i="1" s="1"/>
  <c r="M656" i="1"/>
  <c r="N652" i="1"/>
  <c r="O652" i="1" s="1"/>
  <c r="M652" i="1"/>
  <c r="N648" i="1"/>
  <c r="O648" i="1" s="1"/>
  <c r="M648" i="1"/>
  <c r="N644" i="1"/>
  <c r="O644" i="1" s="1"/>
  <c r="M644" i="1"/>
  <c r="N640" i="1"/>
  <c r="O640" i="1" s="1"/>
  <c r="M640" i="1"/>
  <c r="N636" i="1"/>
  <c r="O636" i="1" s="1"/>
  <c r="M636" i="1"/>
  <c r="N632" i="1"/>
  <c r="O632" i="1" s="1"/>
  <c r="M632" i="1"/>
  <c r="N628" i="1"/>
  <c r="O628" i="1" s="1"/>
  <c r="M628" i="1"/>
  <c r="N624" i="1"/>
  <c r="O624" i="1" s="1"/>
  <c r="M624" i="1"/>
  <c r="N620" i="1"/>
  <c r="O620" i="1" s="1"/>
  <c r="M620" i="1"/>
  <c r="N616" i="1"/>
  <c r="O616" i="1" s="1"/>
  <c r="M616" i="1"/>
  <c r="N612" i="1"/>
  <c r="O612" i="1" s="1"/>
  <c r="M612" i="1"/>
  <c r="N608" i="1"/>
  <c r="O608" i="1" s="1"/>
  <c r="M608" i="1"/>
  <c r="N604" i="1"/>
  <c r="O604" i="1" s="1"/>
  <c r="M604" i="1"/>
  <c r="N600" i="1"/>
  <c r="O600" i="1" s="1"/>
  <c r="M600" i="1"/>
  <c r="N596" i="1"/>
  <c r="O596" i="1" s="1"/>
  <c r="M596" i="1"/>
  <c r="N592" i="1"/>
  <c r="O592" i="1" s="1"/>
  <c r="M592" i="1"/>
  <c r="N588" i="1"/>
  <c r="O588" i="1" s="1"/>
  <c r="M588" i="1"/>
  <c r="N584" i="1"/>
  <c r="O584" i="1" s="1"/>
  <c r="M584" i="1"/>
  <c r="N580" i="1"/>
  <c r="O580" i="1" s="1"/>
  <c r="M580" i="1"/>
  <c r="N576" i="1"/>
  <c r="O576" i="1" s="1"/>
  <c r="M576" i="1"/>
  <c r="N572" i="1"/>
  <c r="O572" i="1" s="1"/>
  <c r="M572" i="1"/>
  <c r="N568" i="1"/>
  <c r="O568" i="1" s="1"/>
  <c r="M568" i="1"/>
  <c r="N564" i="1"/>
  <c r="O564" i="1" s="1"/>
  <c r="M564" i="1"/>
  <c r="N560" i="1"/>
  <c r="O560" i="1" s="1"/>
  <c r="M560" i="1"/>
  <c r="N556" i="1"/>
  <c r="O556" i="1" s="1"/>
  <c r="M556" i="1"/>
  <c r="N552" i="1"/>
  <c r="O552" i="1" s="1"/>
  <c r="M552" i="1"/>
  <c r="N548" i="1"/>
  <c r="O548" i="1" s="1"/>
  <c r="M548" i="1"/>
  <c r="N544" i="1"/>
  <c r="O544" i="1" s="1"/>
  <c r="M544" i="1"/>
  <c r="N540" i="1"/>
  <c r="O540" i="1" s="1"/>
  <c r="M540" i="1"/>
  <c r="N536" i="1"/>
  <c r="O536" i="1" s="1"/>
  <c r="M536" i="1"/>
  <c r="N532" i="1"/>
  <c r="O532" i="1" s="1"/>
  <c r="M532" i="1"/>
  <c r="N528" i="1"/>
  <c r="O528" i="1" s="1"/>
  <c r="M528" i="1"/>
  <c r="N524" i="1"/>
  <c r="O524" i="1" s="1"/>
  <c r="M524" i="1"/>
  <c r="N520" i="1"/>
  <c r="O520" i="1" s="1"/>
  <c r="M520" i="1"/>
  <c r="N516" i="1"/>
  <c r="O516" i="1" s="1"/>
  <c r="M516" i="1"/>
  <c r="N512" i="1"/>
  <c r="O512" i="1" s="1"/>
  <c r="M512" i="1"/>
  <c r="N508" i="1"/>
  <c r="O508" i="1" s="1"/>
  <c r="M508" i="1"/>
  <c r="N504" i="1"/>
  <c r="O504" i="1" s="1"/>
  <c r="M504" i="1"/>
  <c r="N500" i="1"/>
  <c r="O500" i="1" s="1"/>
  <c r="M500" i="1"/>
  <c r="N496" i="1"/>
  <c r="O496" i="1" s="1"/>
  <c r="M496" i="1"/>
  <c r="N492" i="1"/>
  <c r="O492" i="1" s="1"/>
  <c r="M492" i="1"/>
  <c r="N488" i="1"/>
  <c r="O488" i="1" s="1"/>
  <c r="M488" i="1"/>
  <c r="N484" i="1"/>
  <c r="O484" i="1" s="1"/>
  <c r="M484" i="1"/>
  <c r="N480" i="1"/>
  <c r="O480" i="1" s="1"/>
  <c r="M480" i="1"/>
  <c r="N476" i="1"/>
  <c r="O476" i="1" s="1"/>
  <c r="M476" i="1"/>
  <c r="N472" i="1"/>
  <c r="O472" i="1" s="1"/>
  <c r="M472" i="1"/>
  <c r="N468" i="1"/>
  <c r="O468" i="1" s="1"/>
  <c r="M468" i="1"/>
  <c r="N464" i="1"/>
  <c r="O464" i="1" s="1"/>
  <c r="M464" i="1"/>
  <c r="N460" i="1"/>
  <c r="O460" i="1" s="1"/>
  <c r="M460" i="1"/>
  <c r="N456" i="1"/>
  <c r="O456" i="1" s="1"/>
  <c r="M456" i="1"/>
  <c r="N452" i="1"/>
  <c r="O452" i="1" s="1"/>
  <c r="M452" i="1"/>
  <c r="N448" i="1"/>
  <c r="O448" i="1" s="1"/>
  <c r="M448" i="1"/>
  <c r="N444" i="1"/>
  <c r="O444" i="1" s="1"/>
  <c r="M444" i="1"/>
  <c r="N440" i="1"/>
  <c r="O440" i="1" s="1"/>
  <c r="M440" i="1"/>
  <c r="N436" i="1"/>
  <c r="O436" i="1" s="1"/>
  <c r="M436" i="1"/>
  <c r="N432" i="1"/>
  <c r="O432" i="1" s="1"/>
  <c r="M432" i="1"/>
  <c r="N428" i="1"/>
  <c r="O428" i="1" s="1"/>
  <c r="M428" i="1"/>
  <c r="N424" i="1"/>
  <c r="O424" i="1" s="1"/>
  <c r="M424" i="1"/>
  <c r="N420" i="1"/>
  <c r="O420" i="1" s="1"/>
  <c r="M420" i="1"/>
  <c r="N416" i="1"/>
  <c r="O416" i="1" s="1"/>
  <c r="M416" i="1"/>
  <c r="N412" i="1"/>
  <c r="O412" i="1" s="1"/>
  <c r="M412" i="1"/>
  <c r="N408" i="1"/>
  <c r="O408" i="1" s="1"/>
  <c r="M408" i="1"/>
  <c r="N404" i="1"/>
  <c r="O404" i="1" s="1"/>
  <c r="M404" i="1"/>
  <c r="N400" i="1"/>
  <c r="O400" i="1" s="1"/>
  <c r="M400" i="1"/>
  <c r="N396" i="1"/>
  <c r="O396" i="1" s="1"/>
  <c r="M396" i="1"/>
  <c r="N392" i="1"/>
  <c r="O392" i="1" s="1"/>
  <c r="M392" i="1"/>
  <c r="N388" i="1"/>
  <c r="O388" i="1" s="1"/>
  <c r="M388" i="1"/>
  <c r="N384" i="1"/>
  <c r="O384" i="1" s="1"/>
  <c r="M384" i="1"/>
  <c r="N380" i="1"/>
  <c r="O380" i="1" s="1"/>
  <c r="M380" i="1"/>
  <c r="N376" i="1"/>
  <c r="O376" i="1" s="1"/>
  <c r="M376" i="1"/>
  <c r="N372" i="1"/>
  <c r="O372" i="1" s="1"/>
  <c r="M372" i="1"/>
  <c r="N368" i="1"/>
  <c r="O368" i="1" s="1"/>
  <c r="M368" i="1"/>
  <c r="N364" i="1"/>
  <c r="O364" i="1" s="1"/>
  <c r="M364" i="1"/>
  <c r="N360" i="1"/>
  <c r="O360" i="1" s="1"/>
  <c r="M360" i="1"/>
  <c r="N356" i="1"/>
  <c r="O356" i="1" s="1"/>
  <c r="M356" i="1"/>
  <c r="N352" i="1"/>
  <c r="O352" i="1" s="1"/>
  <c r="M352" i="1"/>
  <c r="N348" i="1"/>
  <c r="O348" i="1" s="1"/>
  <c r="M348" i="1"/>
  <c r="N344" i="1"/>
  <c r="O344" i="1" s="1"/>
  <c r="M344" i="1"/>
  <c r="N340" i="1"/>
  <c r="O340" i="1" s="1"/>
  <c r="M340" i="1"/>
  <c r="N336" i="1"/>
  <c r="O336" i="1" s="1"/>
  <c r="M336" i="1"/>
  <c r="N332" i="1"/>
  <c r="O332" i="1" s="1"/>
  <c r="M332" i="1"/>
  <c r="N328" i="1"/>
  <c r="O328" i="1" s="1"/>
  <c r="M328" i="1"/>
  <c r="N324" i="1"/>
  <c r="O324" i="1" s="1"/>
  <c r="M324" i="1"/>
  <c r="N320" i="1"/>
  <c r="O320" i="1" s="1"/>
  <c r="M320" i="1"/>
  <c r="N316" i="1"/>
  <c r="O316" i="1" s="1"/>
  <c r="M316" i="1"/>
  <c r="N312" i="1"/>
  <c r="O312" i="1" s="1"/>
  <c r="M312" i="1"/>
  <c r="N308" i="1"/>
  <c r="O308" i="1" s="1"/>
  <c r="M308" i="1"/>
  <c r="N304" i="1"/>
  <c r="O304" i="1" s="1"/>
  <c r="M304" i="1"/>
  <c r="N300" i="1"/>
  <c r="O300" i="1" s="1"/>
  <c r="M300" i="1"/>
  <c r="N296" i="1"/>
  <c r="O296" i="1" s="1"/>
  <c r="M296" i="1"/>
  <c r="N292" i="1"/>
  <c r="O292" i="1" s="1"/>
  <c r="M292" i="1"/>
  <c r="N288" i="1"/>
  <c r="O288" i="1" s="1"/>
  <c r="M288" i="1"/>
  <c r="N284" i="1"/>
  <c r="O284" i="1" s="1"/>
  <c r="M284" i="1"/>
  <c r="N280" i="1"/>
  <c r="O280" i="1" s="1"/>
  <c r="M280" i="1"/>
  <c r="N276" i="1"/>
  <c r="O276" i="1" s="1"/>
  <c r="M276" i="1"/>
  <c r="N272" i="1"/>
  <c r="O272" i="1" s="1"/>
  <c r="M272" i="1"/>
  <c r="N268" i="1"/>
  <c r="O268" i="1" s="1"/>
  <c r="M268" i="1"/>
  <c r="N264" i="1"/>
  <c r="O264" i="1" s="1"/>
  <c r="M264" i="1"/>
  <c r="N260" i="1"/>
  <c r="O260" i="1" s="1"/>
  <c r="M260" i="1"/>
  <c r="N256" i="1"/>
  <c r="O256" i="1" s="1"/>
  <c r="M256" i="1"/>
  <c r="N252" i="1"/>
  <c r="O252" i="1" s="1"/>
  <c r="M252" i="1"/>
  <c r="N248" i="1"/>
  <c r="O248" i="1" s="1"/>
  <c r="M248" i="1"/>
  <c r="N244" i="1"/>
  <c r="O244" i="1" s="1"/>
  <c r="M244" i="1"/>
  <c r="N240" i="1"/>
  <c r="O240" i="1" s="1"/>
  <c r="M240" i="1"/>
  <c r="N236" i="1"/>
  <c r="O236" i="1" s="1"/>
  <c r="M236" i="1"/>
  <c r="N232" i="1"/>
  <c r="O232" i="1" s="1"/>
  <c r="M232" i="1"/>
  <c r="N228" i="1"/>
  <c r="O228" i="1" s="1"/>
  <c r="M228" i="1"/>
  <c r="N224" i="1"/>
  <c r="O224" i="1" s="1"/>
  <c r="M224" i="1"/>
  <c r="N220" i="1"/>
  <c r="O220" i="1" s="1"/>
  <c r="M220" i="1"/>
  <c r="N216" i="1"/>
  <c r="O216" i="1" s="1"/>
  <c r="M216" i="1"/>
  <c r="N212" i="1"/>
  <c r="O212" i="1" s="1"/>
  <c r="M212" i="1"/>
  <c r="N208" i="1"/>
  <c r="O208" i="1" s="1"/>
  <c r="M208" i="1"/>
  <c r="N204" i="1"/>
  <c r="O204" i="1" s="1"/>
  <c r="M204" i="1"/>
  <c r="N200" i="1"/>
  <c r="O200" i="1" s="1"/>
  <c r="M200" i="1"/>
  <c r="N196" i="1"/>
  <c r="O196" i="1" s="1"/>
  <c r="M196" i="1"/>
  <c r="N192" i="1"/>
  <c r="O192" i="1" s="1"/>
  <c r="M192" i="1"/>
  <c r="N188" i="1"/>
  <c r="O188" i="1" s="1"/>
  <c r="M188" i="1"/>
  <c r="N184" i="1"/>
  <c r="O184" i="1" s="1"/>
  <c r="M184" i="1"/>
  <c r="N180" i="1"/>
  <c r="O180" i="1" s="1"/>
  <c r="M180" i="1"/>
  <c r="N176" i="1"/>
  <c r="O176" i="1" s="1"/>
  <c r="M176" i="1"/>
  <c r="N172" i="1"/>
  <c r="O172" i="1" s="1"/>
  <c r="M172" i="1"/>
  <c r="N168" i="1"/>
  <c r="O168" i="1" s="1"/>
  <c r="M168" i="1"/>
  <c r="N164" i="1"/>
  <c r="O164" i="1" s="1"/>
  <c r="M164" i="1"/>
  <c r="N160" i="1"/>
  <c r="O160" i="1" s="1"/>
  <c r="M160" i="1"/>
  <c r="N156" i="1"/>
  <c r="O156" i="1" s="1"/>
  <c r="M156" i="1"/>
  <c r="N152" i="1"/>
  <c r="O152" i="1" s="1"/>
  <c r="M152" i="1"/>
  <c r="N148" i="1"/>
  <c r="O148" i="1" s="1"/>
  <c r="M148" i="1"/>
  <c r="N144" i="1"/>
  <c r="O144" i="1" s="1"/>
  <c r="M144" i="1"/>
  <c r="N140" i="1"/>
  <c r="O140" i="1" s="1"/>
  <c r="M140" i="1"/>
  <c r="N136" i="1"/>
  <c r="O136" i="1" s="1"/>
  <c r="M136" i="1"/>
  <c r="N132" i="1"/>
  <c r="O132" i="1" s="1"/>
  <c r="M132" i="1"/>
  <c r="N128" i="1"/>
  <c r="O128" i="1" s="1"/>
  <c r="M128" i="1"/>
  <c r="N124" i="1"/>
  <c r="O124" i="1" s="1"/>
  <c r="M124" i="1"/>
  <c r="N120" i="1"/>
  <c r="O120" i="1" s="1"/>
  <c r="M120" i="1"/>
  <c r="N116" i="1"/>
  <c r="O116" i="1" s="1"/>
  <c r="M116" i="1"/>
  <c r="N112" i="1"/>
  <c r="O112" i="1" s="1"/>
  <c r="M112" i="1"/>
  <c r="N108" i="1"/>
  <c r="O108" i="1" s="1"/>
  <c r="M108" i="1"/>
  <c r="N104" i="1"/>
  <c r="O104" i="1" s="1"/>
  <c r="M104" i="1"/>
  <c r="N100" i="1"/>
  <c r="O100" i="1" s="1"/>
  <c r="M100" i="1"/>
  <c r="N96" i="1"/>
  <c r="O96" i="1" s="1"/>
  <c r="M96" i="1"/>
  <c r="N92" i="1"/>
  <c r="O92" i="1" s="1"/>
  <c r="M92" i="1"/>
  <c r="N88" i="1"/>
  <c r="O88" i="1" s="1"/>
  <c r="M88" i="1"/>
  <c r="N84" i="1"/>
  <c r="O84" i="1" s="1"/>
  <c r="M84" i="1"/>
  <c r="N80" i="1"/>
  <c r="O80" i="1" s="1"/>
  <c r="M80" i="1"/>
  <c r="N76" i="1"/>
  <c r="O76" i="1" s="1"/>
  <c r="M76" i="1"/>
  <c r="N72" i="1"/>
  <c r="O72" i="1" s="1"/>
  <c r="M72" i="1"/>
  <c r="N68" i="1"/>
  <c r="O68" i="1" s="1"/>
  <c r="M68" i="1"/>
  <c r="N64" i="1"/>
  <c r="O64" i="1" s="1"/>
  <c r="M64" i="1"/>
  <c r="N60" i="1"/>
  <c r="O60" i="1" s="1"/>
  <c r="M60" i="1"/>
  <c r="N56" i="1"/>
  <c r="O56" i="1" s="1"/>
  <c r="M56" i="1"/>
  <c r="N52" i="1"/>
  <c r="O52" i="1" s="1"/>
  <c r="M52" i="1"/>
  <c r="N48" i="1"/>
  <c r="O48" i="1" s="1"/>
  <c r="M48" i="1"/>
  <c r="N44" i="1"/>
  <c r="O44" i="1" s="1"/>
  <c r="M44" i="1"/>
  <c r="N40" i="1"/>
  <c r="O40" i="1" s="1"/>
  <c r="M40" i="1"/>
  <c r="N36" i="1"/>
  <c r="O36" i="1" s="1"/>
  <c r="M36" i="1"/>
  <c r="N32" i="1"/>
  <c r="O32" i="1" s="1"/>
  <c r="M32" i="1"/>
  <c r="N28" i="1"/>
  <c r="O28" i="1" s="1"/>
  <c r="M28" i="1"/>
  <c r="N24" i="1"/>
  <c r="O24" i="1" s="1"/>
  <c r="M24" i="1"/>
  <c r="N20" i="1"/>
  <c r="O20" i="1" s="1"/>
  <c r="M20" i="1"/>
  <c r="N16" i="1"/>
  <c r="O16" i="1" s="1"/>
  <c r="M16" i="1"/>
  <c r="N12" i="1"/>
  <c r="O12" i="1" s="1"/>
  <c r="M12" i="1"/>
  <c r="N8" i="1"/>
  <c r="O8" i="1" s="1"/>
  <c r="M8" i="1"/>
  <c r="N4" i="1"/>
  <c r="O4" i="1" s="1"/>
  <c r="M4" i="1"/>
  <c r="N831" i="1"/>
  <c r="O831" i="1" s="1"/>
  <c r="M831" i="1"/>
  <c r="N827" i="1"/>
  <c r="O827" i="1" s="1"/>
  <c r="M827" i="1"/>
  <c r="N823" i="1"/>
  <c r="O823" i="1" s="1"/>
  <c r="M823" i="1"/>
  <c r="N819" i="1"/>
  <c r="O819" i="1" s="1"/>
  <c r="M819" i="1"/>
  <c r="N815" i="1"/>
  <c r="O815" i="1" s="1"/>
  <c r="M815" i="1"/>
  <c r="M811" i="1"/>
  <c r="N811" i="1"/>
  <c r="O811" i="1" s="1"/>
  <c r="N807" i="1"/>
  <c r="O807" i="1" s="1"/>
  <c r="M807" i="1"/>
  <c r="N803" i="1"/>
  <c r="O803" i="1" s="1"/>
  <c r="M803" i="1"/>
  <c r="N799" i="1"/>
  <c r="O799" i="1" s="1"/>
  <c r="M799" i="1"/>
  <c r="N795" i="1"/>
  <c r="O795" i="1" s="1"/>
  <c r="M795" i="1"/>
  <c r="N791" i="1"/>
  <c r="O791" i="1" s="1"/>
  <c r="M791" i="1"/>
  <c r="N787" i="1"/>
  <c r="O787" i="1" s="1"/>
  <c r="M787" i="1"/>
  <c r="N783" i="1"/>
  <c r="O783" i="1" s="1"/>
  <c r="M783" i="1"/>
  <c r="N775" i="1"/>
  <c r="O775" i="1" s="1"/>
  <c r="M775" i="1"/>
  <c r="N771" i="1"/>
  <c r="O771" i="1" s="1"/>
  <c r="M771" i="1"/>
  <c r="N767" i="1"/>
  <c r="O767" i="1" s="1"/>
  <c r="M767" i="1"/>
  <c r="N763" i="1"/>
  <c r="O763" i="1" s="1"/>
  <c r="M763" i="1"/>
  <c r="N779" i="1"/>
  <c r="O779" i="1" s="1"/>
  <c r="M299" i="1"/>
  <c r="N299" i="1"/>
  <c r="O299" i="1" s="1"/>
  <c r="N291" i="1"/>
  <c r="O291" i="1" s="1"/>
  <c r="M291" i="1"/>
  <c r="M283" i="1"/>
  <c r="N283" i="1"/>
  <c r="O283" i="1" s="1"/>
  <c r="N275" i="1"/>
  <c r="O275" i="1" s="1"/>
  <c r="M275" i="1"/>
  <c r="M267" i="1"/>
  <c r="N267" i="1"/>
  <c r="O267" i="1" s="1"/>
  <c r="N259" i="1"/>
  <c r="O259" i="1" s="1"/>
  <c r="M259" i="1"/>
  <c r="M251" i="1"/>
  <c r="N251" i="1"/>
  <c r="O251" i="1" s="1"/>
  <c r="N243" i="1"/>
  <c r="O243" i="1" s="1"/>
  <c r="M243" i="1"/>
  <c r="M235" i="1"/>
  <c r="N235" i="1"/>
  <c r="O235" i="1" s="1"/>
  <c r="N227" i="1"/>
  <c r="O227" i="1" s="1"/>
  <c r="M227" i="1"/>
  <c r="M219" i="1"/>
  <c r="N219" i="1"/>
  <c r="O219" i="1" s="1"/>
  <c r="N211" i="1"/>
  <c r="O211" i="1" s="1"/>
  <c r="M211" i="1"/>
  <c r="M203" i="1"/>
  <c r="N203" i="1"/>
  <c r="O203" i="1" s="1"/>
  <c r="N195" i="1"/>
  <c r="O195" i="1" s="1"/>
  <c r="M195" i="1"/>
  <c r="M187" i="1"/>
  <c r="N187" i="1"/>
  <c r="O187" i="1" s="1"/>
  <c r="N179" i="1"/>
  <c r="O179" i="1" s="1"/>
  <c r="M179" i="1"/>
  <c r="M171" i="1"/>
  <c r="N171" i="1"/>
  <c r="O171" i="1" s="1"/>
  <c r="N163" i="1"/>
  <c r="O163" i="1" s="1"/>
  <c r="M163" i="1"/>
  <c r="M155" i="1"/>
  <c r="N155" i="1"/>
  <c r="O155" i="1" s="1"/>
  <c r="N147" i="1"/>
  <c r="O147" i="1" s="1"/>
  <c r="M147" i="1"/>
  <c r="M139" i="1"/>
  <c r="N139" i="1"/>
  <c r="O139" i="1" s="1"/>
  <c r="N131" i="1"/>
  <c r="O131" i="1" s="1"/>
  <c r="M131" i="1"/>
  <c r="M123" i="1"/>
  <c r="N123" i="1"/>
  <c r="O123" i="1" s="1"/>
  <c r="N115" i="1"/>
  <c r="O115" i="1" s="1"/>
  <c r="M115" i="1"/>
  <c r="N107" i="1"/>
  <c r="O107" i="1" s="1"/>
  <c r="M107" i="1"/>
  <c r="N99" i="1"/>
  <c r="O99" i="1" s="1"/>
  <c r="M99" i="1"/>
  <c r="N91" i="1"/>
  <c r="O91" i="1" s="1"/>
  <c r="M91" i="1"/>
  <c r="N83" i="1"/>
  <c r="O83" i="1" s="1"/>
  <c r="M83" i="1"/>
  <c r="N75" i="1"/>
  <c r="O75" i="1" s="1"/>
  <c r="M75" i="1"/>
  <c r="N67" i="1"/>
  <c r="O67" i="1" s="1"/>
  <c r="M67" i="1"/>
  <c r="N59" i="1"/>
  <c r="O59" i="1" s="1"/>
  <c r="M59" i="1"/>
  <c r="N51" i="1"/>
  <c r="O51" i="1" s="1"/>
  <c r="M51" i="1"/>
  <c r="N43" i="1"/>
  <c r="O43" i="1" s="1"/>
  <c r="M43" i="1"/>
  <c r="N35" i="1"/>
  <c r="O35" i="1" s="1"/>
  <c r="M35" i="1"/>
  <c r="N27" i="1"/>
  <c r="O27" i="1" s="1"/>
  <c r="M27" i="1"/>
  <c r="N19" i="1"/>
  <c r="O19" i="1" s="1"/>
  <c r="M19" i="1"/>
  <c r="N15" i="1"/>
  <c r="O15" i="1" s="1"/>
  <c r="M15" i="1"/>
  <c r="N11" i="1"/>
  <c r="O11" i="1" s="1"/>
  <c r="M11" i="1"/>
  <c r="N7" i="1"/>
  <c r="O7" i="1" s="1"/>
  <c r="M7" i="1"/>
  <c r="M829" i="1"/>
  <c r="M825" i="1"/>
  <c r="M817" i="1"/>
  <c r="M813" i="1"/>
  <c r="M809" i="1"/>
  <c r="M805" i="1"/>
  <c r="M801" i="1"/>
  <c r="M797" i="1"/>
  <c r="M793" i="1"/>
  <c r="M789" i="1"/>
  <c r="M785" i="1"/>
  <c r="M781" i="1"/>
  <c r="M777" i="1"/>
  <c r="M773" i="1"/>
  <c r="M769" i="1"/>
  <c r="M765" i="1"/>
  <c r="M761" i="1"/>
  <c r="M757" i="1"/>
  <c r="M753" i="1"/>
  <c r="M749" i="1"/>
  <c r="M745" i="1"/>
  <c r="M741" i="1"/>
  <c r="M733" i="1"/>
  <c r="M729" i="1"/>
  <c r="M725" i="1"/>
  <c r="M721" i="1"/>
  <c r="M717" i="1"/>
  <c r="M713" i="1"/>
  <c r="M709" i="1"/>
  <c r="M705" i="1"/>
  <c r="M701" i="1"/>
  <c r="M697" i="1"/>
  <c r="M689" i="1"/>
  <c r="M685" i="1"/>
  <c r="M681" i="1"/>
  <c r="M677" i="1"/>
  <c r="M673" i="1"/>
  <c r="M669" i="1"/>
  <c r="M665" i="1"/>
  <c r="M661" i="1"/>
  <c r="M657" i="1"/>
  <c r="M653" i="1"/>
  <c r="M649" i="1"/>
  <c r="M645" i="1"/>
  <c r="M641" i="1"/>
  <c r="M637" i="1"/>
  <c r="M633" i="1"/>
  <c r="M629" i="1"/>
  <c r="M625" i="1"/>
  <c r="M621" i="1"/>
  <c r="M617" i="1"/>
  <c r="M613" i="1"/>
  <c r="M605" i="1"/>
  <c r="M601" i="1"/>
  <c r="M597" i="1"/>
  <c r="M593" i="1"/>
  <c r="M589" i="1"/>
  <c r="M585" i="1"/>
  <c r="M581" i="1"/>
  <c r="M577" i="1"/>
  <c r="M573" i="1"/>
  <c r="M569" i="1"/>
  <c r="M559" i="1"/>
  <c r="M554" i="1"/>
  <c r="M549" i="1"/>
  <c r="M543" i="1"/>
  <c r="M538" i="1"/>
  <c r="M533" i="1"/>
  <c r="M527" i="1"/>
  <c r="M522" i="1"/>
  <c r="M514" i="1"/>
  <c r="M506" i="1"/>
  <c r="M498" i="1"/>
  <c r="M490" i="1"/>
  <c r="M482" i="1"/>
  <c r="M474" i="1"/>
  <c r="M466" i="1"/>
  <c r="M458" i="1"/>
  <c r="M450" i="1"/>
  <c r="M442" i="1"/>
  <c r="M434" i="1"/>
  <c r="M426" i="1"/>
  <c r="M418" i="1"/>
  <c r="M410" i="1"/>
  <c r="M402" i="1"/>
  <c r="M394" i="1"/>
  <c r="M386" i="1"/>
  <c r="M378" i="1"/>
  <c r="M370" i="1"/>
  <c r="M362" i="1"/>
  <c r="M354" i="1"/>
  <c r="M346" i="1"/>
  <c r="M338" i="1"/>
  <c r="M330" i="1"/>
  <c r="M322" i="1"/>
  <c r="M314" i="1"/>
  <c r="M306" i="1"/>
  <c r="M279" i="1"/>
  <c r="M247" i="1"/>
  <c r="M215" i="1"/>
  <c r="M183" i="1"/>
  <c r="M151" i="1"/>
  <c r="M119" i="1"/>
  <c r="M87" i="1"/>
  <c r="M55" i="1"/>
  <c r="M23" i="1"/>
  <c r="N683" i="1"/>
  <c r="O683" i="1" s="1"/>
  <c r="N513" i="1"/>
  <c r="O513" i="1" s="1"/>
  <c r="N469" i="1"/>
  <c r="O469" i="1" s="1"/>
  <c r="N413" i="1"/>
  <c r="O413" i="1" s="1"/>
  <c r="N349" i="1"/>
  <c r="O349" i="1" s="1"/>
  <c r="N285" i="1"/>
  <c r="O285" i="1" s="1"/>
  <c r="N221" i="1"/>
  <c r="O221" i="1" s="1"/>
  <c r="N157" i="1"/>
  <c r="O157" i="1" s="1"/>
  <c r="N77" i="1"/>
  <c r="O77" i="1" s="1"/>
  <c r="M302" i="1"/>
  <c r="N302" i="1"/>
  <c r="O302" i="1" s="1"/>
  <c r="M298" i="1"/>
  <c r="N298" i="1"/>
  <c r="O298" i="1" s="1"/>
  <c r="M294" i="1"/>
  <c r="N294" i="1"/>
  <c r="O294" i="1" s="1"/>
  <c r="M290" i="1"/>
  <c r="N290" i="1"/>
  <c r="O290" i="1" s="1"/>
  <c r="M286" i="1"/>
  <c r="N286" i="1"/>
  <c r="O286" i="1" s="1"/>
  <c r="M282" i="1"/>
  <c r="N282" i="1"/>
  <c r="O282" i="1" s="1"/>
  <c r="M278" i="1"/>
  <c r="N278" i="1"/>
  <c r="O278" i="1" s="1"/>
  <c r="M274" i="1"/>
  <c r="N274" i="1"/>
  <c r="O274" i="1" s="1"/>
  <c r="M270" i="1"/>
  <c r="N270" i="1"/>
  <c r="O270" i="1" s="1"/>
  <c r="M266" i="1"/>
  <c r="N266" i="1"/>
  <c r="O266" i="1" s="1"/>
  <c r="M262" i="1"/>
  <c r="N262" i="1"/>
  <c r="O262" i="1" s="1"/>
  <c r="M258" i="1"/>
  <c r="N258" i="1"/>
  <c r="O258" i="1" s="1"/>
  <c r="M254" i="1"/>
  <c r="N254" i="1"/>
  <c r="O254" i="1" s="1"/>
  <c r="M250" i="1"/>
  <c r="N250" i="1"/>
  <c r="O250" i="1" s="1"/>
  <c r="M246" i="1"/>
  <c r="N246" i="1"/>
  <c r="O246" i="1" s="1"/>
  <c r="M242" i="1"/>
  <c r="N242" i="1"/>
  <c r="O242" i="1" s="1"/>
  <c r="M238" i="1"/>
  <c r="N238" i="1"/>
  <c r="O238" i="1" s="1"/>
  <c r="M234" i="1"/>
  <c r="N234" i="1"/>
  <c r="O234" i="1" s="1"/>
  <c r="M230" i="1"/>
  <c r="N230" i="1"/>
  <c r="O230" i="1" s="1"/>
  <c r="M226" i="1"/>
  <c r="N226" i="1"/>
  <c r="O226" i="1" s="1"/>
  <c r="M222" i="1"/>
  <c r="N222" i="1"/>
  <c r="O222" i="1" s="1"/>
  <c r="M218" i="1"/>
  <c r="N218" i="1"/>
  <c r="O218" i="1" s="1"/>
  <c r="M214" i="1"/>
  <c r="N214" i="1"/>
  <c r="O214" i="1" s="1"/>
  <c r="M210" i="1"/>
  <c r="N210" i="1"/>
  <c r="O210" i="1" s="1"/>
  <c r="M206" i="1"/>
  <c r="N206" i="1"/>
  <c r="O206" i="1" s="1"/>
  <c r="M202" i="1"/>
  <c r="N202" i="1"/>
  <c r="O202" i="1" s="1"/>
  <c r="M198" i="1"/>
  <c r="N198" i="1"/>
  <c r="O198" i="1" s="1"/>
  <c r="M194" i="1"/>
  <c r="N194" i="1"/>
  <c r="O194" i="1" s="1"/>
  <c r="M190" i="1"/>
  <c r="N190" i="1"/>
  <c r="O190" i="1" s="1"/>
  <c r="M186" i="1"/>
  <c r="N186" i="1"/>
  <c r="O186" i="1" s="1"/>
  <c r="M182" i="1"/>
  <c r="N182" i="1"/>
  <c r="O182" i="1" s="1"/>
  <c r="M178" i="1"/>
  <c r="N178" i="1"/>
  <c r="O178" i="1" s="1"/>
  <c r="M174" i="1"/>
  <c r="N174" i="1"/>
  <c r="O174" i="1" s="1"/>
  <c r="M170" i="1"/>
  <c r="N170" i="1"/>
  <c r="O170" i="1" s="1"/>
  <c r="M166" i="1"/>
  <c r="N166" i="1"/>
  <c r="O166" i="1" s="1"/>
  <c r="M162" i="1"/>
  <c r="N162" i="1"/>
  <c r="O162" i="1" s="1"/>
  <c r="M158" i="1"/>
  <c r="N158" i="1"/>
  <c r="O158" i="1" s="1"/>
  <c r="M154" i="1"/>
  <c r="N154" i="1"/>
  <c r="O154" i="1" s="1"/>
  <c r="M150" i="1"/>
  <c r="N150" i="1"/>
  <c r="O150" i="1" s="1"/>
  <c r="M146" i="1"/>
  <c r="N146" i="1"/>
  <c r="O146" i="1" s="1"/>
  <c r="M142" i="1"/>
  <c r="N142" i="1"/>
  <c r="O142" i="1" s="1"/>
  <c r="M138" i="1"/>
  <c r="N138" i="1"/>
  <c r="O138" i="1" s="1"/>
  <c r="M134" i="1"/>
  <c r="N134" i="1"/>
  <c r="O134" i="1" s="1"/>
  <c r="M130" i="1"/>
  <c r="N130" i="1"/>
  <c r="O130" i="1" s="1"/>
  <c r="M126" i="1"/>
  <c r="N126" i="1"/>
  <c r="O126" i="1" s="1"/>
  <c r="M122" i="1"/>
  <c r="N122" i="1"/>
  <c r="O122" i="1" s="1"/>
  <c r="M118" i="1"/>
  <c r="N118" i="1"/>
  <c r="O118" i="1" s="1"/>
  <c r="M114" i="1"/>
  <c r="N114" i="1"/>
  <c r="O114" i="1" s="1"/>
  <c r="M110" i="1"/>
  <c r="N110" i="1"/>
  <c r="O110" i="1" s="1"/>
  <c r="N106" i="1"/>
  <c r="O106" i="1" s="1"/>
  <c r="M106" i="1"/>
  <c r="N102" i="1"/>
  <c r="O102" i="1" s="1"/>
  <c r="M102" i="1"/>
  <c r="N98" i="1"/>
  <c r="O98" i="1" s="1"/>
  <c r="M98" i="1"/>
  <c r="N94" i="1"/>
  <c r="O94" i="1" s="1"/>
  <c r="M94" i="1"/>
  <c r="N90" i="1"/>
  <c r="O90" i="1" s="1"/>
  <c r="M90" i="1"/>
  <c r="N86" i="1"/>
  <c r="O86" i="1" s="1"/>
  <c r="M86" i="1"/>
  <c r="N82" i="1"/>
  <c r="O82" i="1" s="1"/>
  <c r="M82" i="1"/>
  <c r="N78" i="1"/>
  <c r="O78" i="1" s="1"/>
  <c r="M78" i="1"/>
  <c r="N74" i="1"/>
  <c r="O74" i="1" s="1"/>
  <c r="M74" i="1"/>
  <c r="N70" i="1"/>
  <c r="O70" i="1" s="1"/>
  <c r="M70" i="1"/>
  <c r="N66" i="1"/>
  <c r="O66" i="1" s="1"/>
  <c r="M66" i="1"/>
  <c r="N62" i="1"/>
  <c r="O62" i="1" s="1"/>
  <c r="M62" i="1"/>
  <c r="N58" i="1"/>
  <c r="O58" i="1" s="1"/>
  <c r="M58" i="1"/>
  <c r="N54" i="1"/>
  <c r="O54" i="1" s="1"/>
  <c r="M54" i="1"/>
  <c r="N50" i="1"/>
  <c r="O50" i="1" s="1"/>
  <c r="M50" i="1"/>
  <c r="N46" i="1"/>
  <c r="O46" i="1" s="1"/>
  <c r="M46" i="1"/>
  <c r="N42" i="1"/>
  <c r="O42" i="1" s="1"/>
  <c r="M42" i="1"/>
  <c r="N38" i="1"/>
  <c r="O38" i="1" s="1"/>
  <c r="M38" i="1"/>
  <c r="N34" i="1"/>
  <c r="O34" i="1" s="1"/>
  <c r="M34" i="1"/>
  <c r="N30" i="1"/>
  <c r="O30" i="1" s="1"/>
  <c r="M30" i="1"/>
  <c r="N26" i="1"/>
  <c r="O26" i="1" s="1"/>
  <c r="M26" i="1"/>
  <c r="N22" i="1"/>
  <c r="O22" i="1" s="1"/>
  <c r="M22" i="1"/>
  <c r="N18" i="1"/>
  <c r="O18" i="1" s="1"/>
  <c r="M18" i="1"/>
  <c r="N14" i="1"/>
  <c r="O14" i="1" s="1"/>
  <c r="M14" i="1"/>
  <c r="N10" i="1"/>
  <c r="O10" i="1" s="1"/>
  <c r="M10" i="1"/>
  <c r="N6" i="1"/>
  <c r="O6" i="1" s="1"/>
  <c r="M6" i="1"/>
  <c r="M563" i="1"/>
  <c r="M558" i="1"/>
  <c r="M553" i="1"/>
  <c r="M547" i="1"/>
  <c r="M542" i="1"/>
  <c r="M537" i="1"/>
  <c r="M531" i="1"/>
  <c r="M526" i="1"/>
  <c r="M519" i="1"/>
  <c r="M511" i="1"/>
  <c r="M503" i="1"/>
  <c r="M495" i="1"/>
  <c r="M487" i="1"/>
  <c r="M479" i="1"/>
  <c r="M471" i="1"/>
  <c r="M463" i="1"/>
  <c r="M455" i="1"/>
  <c r="M447" i="1"/>
  <c r="M439" i="1"/>
  <c r="M431" i="1"/>
  <c r="M423" i="1"/>
  <c r="M415" i="1"/>
  <c r="M407" i="1"/>
  <c r="M399" i="1"/>
  <c r="M391" i="1"/>
  <c r="M383" i="1"/>
  <c r="M375" i="1"/>
  <c r="M367" i="1"/>
  <c r="M359" i="1"/>
  <c r="M351" i="1"/>
  <c r="M343" i="1"/>
  <c r="M335" i="1"/>
  <c r="M327" i="1"/>
  <c r="M319" i="1"/>
  <c r="M311" i="1"/>
  <c r="M303" i="1"/>
  <c r="M271" i="1"/>
  <c r="M239" i="1"/>
  <c r="M207" i="1"/>
  <c r="M175" i="1"/>
  <c r="M143" i="1"/>
  <c r="M111" i="1"/>
  <c r="M79" i="1"/>
  <c r="M47" i="1"/>
  <c r="M13" i="1"/>
  <c r="N715" i="1"/>
  <c r="O715" i="1" s="1"/>
  <c r="N587" i="1"/>
  <c r="O587" i="1" s="1"/>
  <c r="N501" i="1"/>
  <c r="O501" i="1" s="1"/>
  <c r="N397" i="1"/>
  <c r="O397" i="1" s="1"/>
  <c r="N333" i="1"/>
  <c r="O333" i="1" s="1"/>
  <c r="N269" i="1"/>
  <c r="O269" i="1" s="1"/>
  <c r="N205" i="1"/>
  <c r="O205" i="1" s="1"/>
  <c r="N141" i="1"/>
  <c r="O141" i="1" s="1"/>
  <c r="N45" i="1"/>
  <c r="O45" i="1" s="1"/>
  <c r="M521" i="1"/>
  <c r="N521" i="1"/>
  <c r="O521" i="1" s="1"/>
  <c r="N517" i="1"/>
  <c r="O517" i="1" s="1"/>
  <c r="M517" i="1"/>
  <c r="M509" i="1"/>
  <c r="N509" i="1"/>
  <c r="O509" i="1" s="1"/>
  <c r="N505" i="1"/>
  <c r="O505" i="1" s="1"/>
  <c r="M505" i="1"/>
  <c r="N497" i="1"/>
  <c r="O497" i="1" s="1"/>
  <c r="M497" i="1"/>
  <c r="N493" i="1"/>
  <c r="O493" i="1" s="1"/>
  <c r="M493" i="1"/>
  <c r="M489" i="1"/>
  <c r="N489" i="1"/>
  <c r="O489" i="1" s="1"/>
  <c r="N485" i="1"/>
  <c r="O485" i="1" s="1"/>
  <c r="M485" i="1"/>
  <c r="M477" i="1"/>
  <c r="N477" i="1"/>
  <c r="O477" i="1" s="1"/>
  <c r="N473" i="1"/>
  <c r="O473" i="1" s="1"/>
  <c r="M473" i="1"/>
  <c r="N465" i="1"/>
  <c r="O465" i="1" s="1"/>
  <c r="M465" i="1"/>
  <c r="N461" i="1"/>
  <c r="O461" i="1" s="1"/>
  <c r="M461" i="1"/>
  <c r="M457" i="1"/>
  <c r="N457" i="1"/>
  <c r="O457" i="1" s="1"/>
  <c r="N453" i="1"/>
  <c r="O453" i="1" s="1"/>
  <c r="M453" i="1"/>
  <c r="N449" i="1"/>
  <c r="O449" i="1" s="1"/>
  <c r="M449" i="1"/>
  <c r="N441" i="1"/>
  <c r="O441" i="1" s="1"/>
  <c r="M441" i="1"/>
  <c r="N437" i="1"/>
  <c r="O437" i="1" s="1"/>
  <c r="M437" i="1"/>
  <c r="N433" i="1"/>
  <c r="O433" i="1" s="1"/>
  <c r="M433" i="1"/>
  <c r="N425" i="1"/>
  <c r="O425" i="1" s="1"/>
  <c r="M425" i="1"/>
  <c r="N421" i="1"/>
  <c r="O421" i="1" s="1"/>
  <c r="M421" i="1"/>
  <c r="N417" i="1"/>
  <c r="O417" i="1" s="1"/>
  <c r="M417" i="1"/>
  <c r="N409" i="1"/>
  <c r="O409" i="1" s="1"/>
  <c r="M409" i="1"/>
  <c r="N405" i="1"/>
  <c r="O405" i="1" s="1"/>
  <c r="M405" i="1"/>
  <c r="N401" i="1"/>
  <c r="O401" i="1" s="1"/>
  <c r="M401" i="1"/>
  <c r="N393" i="1"/>
  <c r="O393" i="1" s="1"/>
  <c r="M393" i="1"/>
  <c r="N389" i="1"/>
  <c r="O389" i="1" s="1"/>
  <c r="M389" i="1"/>
  <c r="N385" i="1"/>
  <c r="O385" i="1" s="1"/>
  <c r="M385" i="1"/>
  <c r="N377" i="1"/>
  <c r="O377" i="1" s="1"/>
  <c r="M377" i="1"/>
  <c r="N373" i="1"/>
  <c r="O373" i="1" s="1"/>
  <c r="M373" i="1"/>
  <c r="N369" i="1"/>
  <c r="O369" i="1" s="1"/>
  <c r="M369" i="1"/>
  <c r="N361" i="1"/>
  <c r="O361" i="1" s="1"/>
  <c r="M361" i="1"/>
  <c r="N357" i="1"/>
  <c r="O357" i="1" s="1"/>
  <c r="M357" i="1"/>
  <c r="N353" i="1"/>
  <c r="O353" i="1" s="1"/>
  <c r="M353" i="1"/>
  <c r="N345" i="1"/>
  <c r="O345" i="1" s="1"/>
  <c r="M345" i="1"/>
  <c r="N341" i="1"/>
  <c r="O341" i="1" s="1"/>
  <c r="M341" i="1"/>
  <c r="N337" i="1"/>
  <c r="O337" i="1" s="1"/>
  <c r="M337" i="1"/>
  <c r="N329" i="1"/>
  <c r="O329" i="1" s="1"/>
  <c r="M329" i="1"/>
  <c r="N325" i="1"/>
  <c r="O325" i="1" s="1"/>
  <c r="M325" i="1"/>
  <c r="N321" i="1"/>
  <c r="O321" i="1" s="1"/>
  <c r="M321" i="1"/>
  <c r="N313" i="1"/>
  <c r="O313" i="1" s="1"/>
  <c r="M313" i="1"/>
  <c r="N309" i="1"/>
  <c r="O309" i="1" s="1"/>
  <c r="M309" i="1"/>
  <c r="N305" i="1"/>
  <c r="O305" i="1" s="1"/>
  <c r="M305" i="1"/>
  <c r="N297" i="1"/>
  <c r="O297" i="1" s="1"/>
  <c r="M297" i="1"/>
  <c r="N293" i="1"/>
  <c r="O293" i="1" s="1"/>
  <c r="M293" i="1"/>
  <c r="N289" i="1"/>
  <c r="O289" i="1" s="1"/>
  <c r="M289" i="1"/>
  <c r="N281" i="1"/>
  <c r="O281" i="1" s="1"/>
  <c r="M281" i="1"/>
  <c r="N277" i="1"/>
  <c r="O277" i="1" s="1"/>
  <c r="M277" i="1"/>
  <c r="N273" i="1"/>
  <c r="O273" i="1" s="1"/>
  <c r="M273" i="1"/>
  <c r="N265" i="1"/>
  <c r="O265" i="1" s="1"/>
  <c r="M265" i="1"/>
  <c r="N261" i="1"/>
  <c r="O261" i="1" s="1"/>
  <c r="M261" i="1"/>
  <c r="N257" i="1"/>
  <c r="O257" i="1" s="1"/>
  <c r="M257" i="1"/>
  <c r="N249" i="1"/>
  <c r="O249" i="1" s="1"/>
  <c r="M249" i="1"/>
  <c r="N245" i="1"/>
  <c r="O245" i="1" s="1"/>
  <c r="M245" i="1"/>
  <c r="N241" i="1"/>
  <c r="O241" i="1" s="1"/>
  <c r="M241" i="1"/>
  <c r="N233" i="1"/>
  <c r="O233" i="1" s="1"/>
  <c r="M233" i="1"/>
  <c r="N229" i="1"/>
  <c r="O229" i="1" s="1"/>
  <c r="M229" i="1"/>
  <c r="N225" i="1"/>
  <c r="O225" i="1" s="1"/>
  <c r="M225" i="1"/>
  <c r="N217" i="1"/>
  <c r="O217" i="1" s="1"/>
  <c r="M217" i="1"/>
  <c r="N213" i="1"/>
  <c r="O213" i="1" s="1"/>
  <c r="M213" i="1"/>
  <c r="N209" i="1"/>
  <c r="O209" i="1" s="1"/>
  <c r="M209" i="1"/>
  <c r="N201" i="1"/>
  <c r="O201" i="1" s="1"/>
  <c r="M201" i="1"/>
  <c r="N197" i="1"/>
  <c r="O197" i="1" s="1"/>
  <c r="M197" i="1"/>
  <c r="N193" i="1"/>
  <c r="O193" i="1" s="1"/>
  <c r="M193" i="1"/>
  <c r="N185" i="1"/>
  <c r="O185" i="1" s="1"/>
  <c r="M185" i="1"/>
  <c r="N181" i="1"/>
  <c r="O181" i="1" s="1"/>
  <c r="M181" i="1"/>
  <c r="N177" i="1"/>
  <c r="O177" i="1" s="1"/>
  <c r="M177" i="1"/>
  <c r="N169" i="1"/>
  <c r="O169" i="1" s="1"/>
  <c r="M169" i="1"/>
  <c r="N165" i="1"/>
  <c r="O165" i="1" s="1"/>
  <c r="M165" i="1"/>
  <c r="N161" i="1"/>
  <c r="O161" i="1" s="1"/>
  <c r="M161" i="1"/>
  <c r="N153" i="1"/>
  <c r="O153" i="1" s="1"/>
  <c r="M153" i="1"/>
  <c r="N149" i="1"/>
  <c r="O149" i="1" s="1"/>
  <c r="M149" i="1"/>
  <c r="N145" i="1"/>
  <c r="O145" i="1" s="1"/>
  <c r="M145" i="1"/>
  <c r="N137" i="1"/>
  <c r="O137" i="1" s="1"/>
  <c r="M137" i="1"/>
  <c r="N133" i="1"/>
  <c r="O133" i="1" s="1"/>
  <c r="M133" i="1"/>
  <c r="N129" i="1"/>
  <c r="O129" i="1" s="1"/>
  <c r="M129" i="1"/>
  <c r="N121" i="1"/>
  <c r="O121" i="1" s="1"/>
  <c r="M121" i="1"/>
  <c r="N117" i="1"/>
  <c r="O117" i="1" s="1"/>
  <c r="M117" i="1"/>
  <c r="N113" i="1"/>
  <c r="O113" i="1" s="1"/>
  <c r="M113" i="1"/>
  <c r="M105" i="1"/>
  <c r="N105" i="1"/>
  <c r="O105" i="1" s="1"/>
  <c r="N101" i="1"/>
  <c r="O101" i="1" s="1"/>
  <c r="M101" i="1"/>
  <c r="N97" i="1"/>
  <c r="O97" i="1" s="1"/>
  <c r="M97" i="1"/>
  <c r="N93" i="1"/>
  <c r="O93" i="1" s="1"/>
  <c r="M93" i="1"/>
  <c r="N89" i="1"/>
  <c r="O89" i="1" s="1"/>
  <c r="M89" i="1"/>
  <c r="N85" i="1"/>
  <c r="O85" i="1" s="1"/>
  <c r="M85" i="1"/>
  <c r="N81" i="1"/>
  <c r="O81" i="1" s="1"/>
  <c r="M81" i="1"/>
  <c r="M73" i="1"/>
  <c r="N73" i="1"/>
  <c r="O73" i="1" s="1"/>
  <c r="N69" i="1"/>
  <c r="O69" i="1" s="1"/>
  <c r="M69" i="1"/>
  <c r="N65" i="1"/>
  <c r="O65" i="1" s="1"/>
  <c r="M65" i="1"/>
  <c r="N61" i="1"/>
  <c r="O61" i="1" s="1"/>
  <c r="M61" i="1"/>
  <c r="N57" i="1"/>
  <c r="O57" i="1" s="1"/>
  <c r="M57" i="1"/>
  <c r="N53" i="1"/>
  <c r="O53" i="1" s="1"/>
  <c r="M53" i="1"/>
  <c r="N49" i="1"/>
  <c r="O49" i="1" s="1"/>
  <c r="M49" i="1"/>
  <c r="M41" i="1"/>
  <c r="N41" i="1"/>
  <c r="O41" i="1" s="1"/>
  <c r="N37" i="1"/>
  <c r="O37" i="1" s="1"/>
  <c r="M37" i="1"/>
  <c r="N33" i="1"/>
  <c r="O33" i="1" s="1"/>
  <c r="M33" i="1"/>
  <c r="N29" i="1"/>
  <c r="O29" i="1" s="1"/>
  <c r="M29" i="1"/>
  <c r="N25" i="1"/>
  <c r="O25" i="1" s="1"/>
  <c r="M25" i="1"/>
  <c r="N21" i="1"/>
  <c r="O21" i="1" s="1"/>
  <c r="M21" i="1"/>
  <c r="N17" i="1"/>
  <c r="O17" i="1" s="1"/>
  <c r="M17" i="1"/>
  <c r="M9" i="1"/>
  <c r="N9" i="1"/>
  <c r="O9" i="1" s="1"/>
  <c r="N5" i="1"/>
  <c r="O5" i="1" s="1"/>
  <c r="M5" i="1"/>
  <c r="M759" i="1"/>
  <c r="M755" i="1"/>
  <c r="M751" i="1"/>
  <c r="M747" i="1"/>
  <c r="M743" i="1"/>
  <c r="M739" i="1"/>
  <c r="M735" i="1"/>
  <c r="M731" i="1"/>
  <c r="M727" i="1"/>
  <c r="M723" i="1"/>
  <c r="M719" i="1"/>
  <c r="M711" i="1"/>
  <c r="M707" i="1"/>
  <c r="M703" i="1"/>
  <c r="M699" i="1"/>
  <c r="M695" i="1"/>
  <c r="M691" i="1"/>
  <c r="M687" i="1"/>
  <c r="M679" i="1"/>
  <c r="M675" i="1"/>
  <c r="M671" i="1"/>
  <c r="M667" i="1"/>
  <c r="M663" i="1"/>
  <c r="M659" i="1"/>
  <c r="M655" i="1"/>
  <c r="M647" i="1"/>
  <c r="M643" i="1"/>
  <c r="M639" i="1"/>
  <c r="M635" i="1"/>
  <c r="M631" i="1"/>
  <c r="M627" i="1"/>
  <c r="M623" i="1"/>
  <c r="M619" i="1"/>
  <c r="M615" i="1"/>
  <c r="M611" i="1"/>
  <c r="M607" i="1"/>
  <c r="M603" i="1"/>
  <c r="M599" i="1"/>
  <c r="M595" i="1"/>
  <c r="M591" i="1"/>
  <c r="M583" i="1"/>
  <c r="M579" i="1"/>
  <c r="M575" i="1"/>
  <c r="M571" i="1"/>
  <c r="M567" i="1"/>
  <c r="M562" i="1"/>
  <c r="M557" i="1"/>
  <c r="M551" i="1"/>
  <c r="M546" i="1"/>
  <c r="M541" i="1"/>
  <c r="M535" i="1"/>
  <c r="M530" i="1"/>
  <c r="M525" i="1"/>
  <c r="M518" i="1"/>
  <c r="M510" i="1"/>
  <c r="M502" i="1"/>
  <c r="M494" i="1"/>
  <c r="M486" i="1"/>
  <c r="M478" i="1"/>
  <c r="M470" i="1"/>
  <c r="M462" i="1"/>
  <c r="M454" i="1"/>
  <c r="M446" i="1"/>
  <c r="M438" i="1"/>
  <c r="M430" i="1"/>
  <c r="M422" i="1"/>
  <c r="M414" i="1"/>
  <c r="M406" i="1"/>
  <c r="M398" i="1"/>
  <c r="M390" i="1"/>
  <c r="M382" i="1"/>
  <c r="M374" i="1"/>
  <c r="M366" i="1"/>
  <c r="M358" i="1"/>
  <c r="M350" i="1"/>
  <c r="M342" i="1"/>
  <c r="M334" i="1"/>
  <c r="M326" i="1"/>
  <c r="M318" i="1"/>
  <c r="M310" i="1"/>
  <c r="M295" i="1"/>
  <c r="M263" i="1"/>
  <c r="M231" i="1"/>
  <c r="M199" i="1"/>
  <c r="M167" i="1"/>
  <c r="M135" i="1"/>
  <c r="M103" i="1"/>
  <c r="M71" i="1"/>
  <c r="M39" i="1"/>
  <c r="M3" i="1"/>
  <c r="N445" i="1"/>
  <c r="O445" i="1" s="1"/>
  <c r="N381" i="1"/>
  <c r="O381" i="1" s="1"/>
  <c r="N317" i="1"/>
  <c r="O317" i="1" s="1"/>
  <c r="N253" i="1"/>
  <c r="O253" i="1" s="1"/>
  <c r="N189" i="1"/>
  <c r="O189" i="1" s="1"/>
  <c r="N125" i="1"/>
  <c r="O125" i="1" s="1"/>
</calcChain>
</file>

<file path=xl/sharedStrings.xml><?xml version="1.0" encoding="utf-8"?>
<sst xmlns="http://schemas.openxmlformats.org/spreadsheetml/2006/main" count="945" uniqueCount="197">
  <si>
    <t>OrderID</t>
  </si>
  <si>
    <t>CustomerID</t>
  </si>
  <si>
    <t>EmployeeID</t>
  </si>
  <si>
    <t>OrderDate</t>
  </si>
  <si>
    <t>VINET</t>
  </si>
  <si>
    <t>TOMSP</t>
  </si>
  <si>
    <t>HANAR</t>
  </si>
  <si>
    <t>VICTE</t>
  </si>
  <si>
    <t>SUPRD</t>
  </si>
  <si>
    <t>CHOPS</t>
  </si>
  <si>
    <t>RICSU</t>
  </si>
  <si>
    <t>WELLI</t>
  </si>
  <si>
    <t>HILAA</t>
  </si>
  <si>
    <t>ERNSH</t>
  </si>
  <si>
    <t>CENTC</t>
  </si>
  <si>
    <t>OTTIK</t>
  </si>
  <si>
    <t>QUEDE</t>
  </si>
  <si>
    <t>RATTC</t>
  </si>
  <si>
    <t>FOLKO</t>
  </si>
  <si>
    <t>BLONP</t>
  </si>
  <si>
    <t>WARTH</t>
  </si>
  <si>
    <t>FRANK</t>
  </si>
  <si>
    <t>GROSR</t>
  </si>
  <si>
    <t>WHITC</t>
  </si>
  <si>
    <t>SPLIR</t>
  </si>
  <si>
    <t>QUICK</t>
  </si>
  <si>
    <t>MAGAA</t>
  </si>
  <si>
    <t>TORTU</t>
  </si>
  <si>
    <t>MORGK</t>
  </si>
  <si>
    <t>BERGS</t>
  </si>
  <si>
    <t>LEHMS</t>
  </si>
  <si>
    <t>ROMEY</t>
  </si>
  <si>
    <t>LILAS</t>
  </si>
  <si>
    <t>RICAR</t>
  </si>
  <si>
    <t>REGGC</t>
  </si>
  <si>
    <t>BSBEV</t>
  </si>
  <si>
    <t>COMMI</t>
  </si>
  <si>
    <t>TRADH</t>
  </si>
  <si>
    <t>HUNGO</t>
  </si>
  <si>
    <t>WANDK</t>
  </si>
  <si>
    <t>GODOS</t>
  </si>
  <si>
    <t>OLDWO</t>
  </si>
  <si>
    <t>LONEP</t>
  </si>
  <si>
    <t>ANATR</t>
  </si>
  <si>
    <t>THEBI</t>
  </si>
  <si>
    <t>DUMON</t>
  </si>
  <si>
    <t>ISLAT</t>
  </si>
  <si>
    <t>PERIC</t>
  </si>
  <si>
    <t>KOENE</t>
  </si>
  <si>
    <t>SAVEA</t>
  </si>
  <si>
    <t>BOLID</t>
  </si>
  <si>
    <t>FURIB</t>
  </si>
  <si>
    <t>BONAP</t>
  </si>
  <si>
    <t>MEREP</t>
  </si>
  <si>
    <t>PRINI</t>
  </si>
  <si>
    <t>SIMOB</t>
  </si>
  <si>
    <t>FAMIA</t>
  </si>
  <si>
    <t>LAMAI</t>
  </si>
  <si>
    <t>PICCO</t>
  </si>
  <si>
    <t>AROUT</t>
  </si>
  <si>
    <t>SEVES</t>
  </si>
  <si>
    <t>DRACD</t>
  </si>
  <si>
    <t>EASTC</t>
  </si>
  <si>
    <t>ANTON</t>
  </si>
  <si>
    <t>GALED</t>
  </si>
  <si>
    <t>VAFFE</t>
  </si>
  <si>
    <t>QUEEN</t>
  </si>
  <si>
    <t>WOLZA</t>
  </si>
  <si>
    <t>HUNGC</t>
  </si>
  <si>
    <t>SANTG</t>
  </si>
  <si>
    <t>BOTTM</t>
  </si>
  <si>
    <t>LINOD</t>
  </si>
  <si>
    <t>FOLIG</t>
  </si>
  <si>
    <t>OCEAN</t>
  </si>
  <si>
    <t>FRANS</t>
  </si>
  <si>
    <t>GOURL</t>
  </si>
  <si>
    <t>CONSH</t>
  </si>
  <si>
    <t>RANCH</t>
  </si>
  <si>
    <t>LAZYK</t>
  </si>
  <si>
    <t>LAUGB</t>
  </si>
  <si>
    <t>BLAUS</t>
  </si>
  <si>
    <t>NORTS</t>
  </si>
  <si>
    <t>CACTU</t>
  </si>
  <si>
    <t>GREAL</t>
  </si>
  <si>
    <t>MAISD</t>
  </si>
  <si>
    <t>TRAIH</t>
  </si>
  <si>
    <t>LETSS</t>
  </si>
  <si>
    <t>WILMK</t>
  </si>
  <si>
    <t>THECR</t>
  </si>
  <si>
    <t>ALFKI</t>
  </si>
  <si>
    <t>FRANR</t>
  </si>
  <si>
    <t>SPECD</t>
  </si>
  <si>
    <t>LACOR</t>
  </si>
  <si>
    <t>Ship Company</t>
  </si>
  <si>
    <t>RegionID</t>
  </si>
  <si>
    <t>Region Description</t>
  </si>
  <si>
    <t>Product Name</t>
  </si>
  <si>
    <t>CategoryID</t>
  </si>
  <si>
    <t>CategoryName</t>
  </si>
  <si>
    <t>Quantity</t>
  </si>
  <si>
    <t>Discount</t>
  </si>
  <si>
    <t>Sale</t>
  </si>
  <si>
    <t>Freight</t>
  </si>
  <si>
    <t>Sum of Sale</t>
  </si>
  <si>
    <t>Row Labels</t>
  </si>
  <si>
    <t>Beverages</t>
  </si>
  <si>
    <t>Condiments</t>
  </si>
  <si>
    <t>Confections</t>
  </si>
  <si>
    <t>Dairy Products</t>
  </si>
  <si>
    <t>Grains/Cereals</t>
  </si>
  <si>
    <t>Meat/Poultry</t>
  </si>
  <si>
    <t>Produce</t>
  </si>
  <si>
    <t>Seafood</t>
  </si>
  <si>
    <t>United Package</t>
  </si>
  <si>
    <t>Eastern</t>
  </si>
  <si>
    <t>Speedy Express</t>
  </si>
  <si>
    <t>Federal Shipping</t>
  </si>
  <si>
    <t>Southern</t>
  </si>
  <si>
    <t>Average of Sale</t>
  </si>
  <si>
    <t>Employee Name</t>
  </si>
  <si>
    <t>Shiv Via</t>
  </si>
  <si>
    <t>EmployeeTerritoriesID</t>
  </si>
  <si>
    <t>ProductID</t>
  </si>
  <si>
    <t>UnitPrice</t>
  </si>
  <si>
    <t>Northern</t>
  </si>
  <si>
    <t>Western</t>
  </si>
  <si>
    <t>Jan</t>
  </si>
  <si>
    <t>Feb</t>
  </si>
  <si>
    <t>Mar</t>
  </si>
  <si>
    <t>Apr</t>
  </si>
  <si>
    <t>May</t>
  </si>
  <si>
    <t>Jun</t>
  </si>
  <si>
    <t>Jul</t>
  </si>
  <si>
    <t>Aug</t>
  </si>
  <si>
    <t>Sep</t>
  </si>
  <si>
    <t>Oct</t>
  </si>
  <si>
    <t>Nov</t>
  </si>
  <si>
    <t>Dec</t>
  </si>
  <si>
    <t>Month</t>
  </si>
  <si>
    <t>Inference on Northwind Analytics</t>
  </si>
  <si>
    <t>Sales By Category-</t>
  </si>
  <si>
    <t>The bar chart displays the total sales for different product categories.</t>
  </si>
  <si>
    <r>
      <t>·</t>
    </r>
    <r>
      <rPr>
        <sz val="11"/>
        <color theme="1"/>
        <rFont val="Calibri"/>
        <family val="2"/>
        <scheme val="minor"/>
      </rPr>
      <t>       Beverages have the highest sales, totaling ₹112,589.26.</t>
    </r>
  </si>
  <si>
    <r>
      <t>·</t>
    </r>
    <r>
      <rPr>
        <sz val="11"/>
        <color theme="1"/>
        <rFont val="Calibri"/>
        <family val="2"/>
        <scheme val="minor"/>
      </rPr>
      <t xml:space="preserve">       Meat/Poultry follows with sales of ₹77,267.22. </t>
    </r>
  </si>
  <si>
    <r>
      <t>·</t>
    </r>
    <r>
      <rPr>
        <sz val="11"/>
        <color theme="1"/>
        <rFont val="Calibri"/>
        <family val="2"/>
        <scheme val="minor"/>
      </rPr>
      <t>       Confections have sales of ₹65,937.05.</t>
    </r>
  </si>
  <si>
    <r>
      <t>·</t>
    </r>
    <r>
      <rPr>
        <sz val="11"/>
        <color theme="1"/>
        <rFont val="Calibri"/>
        <family val="2"/>
        <scheme val="minor"/>
      </rPr>
      <t>       Seafood shows sales of ₹62,445.68.</t>
    </r>
  </si>
  <si>
    <r>
      <t>·</t>
    </r>
    <r>
      <rPr>
        <sz val="11"/>
        <color theme="1"/>
        <rFont val="Calibri"/>
        <family val="2"/>
        <scheme val="minor"/>
      </rPr>
      <t>       Dairy products have sales of ₹59,422.03.</t>
    </r>
  </si>
  <si>
    <r>
      <t>·</t>
    </r>
    <r>
      <rPr>
        <sz val="11"/>
        <color theme="1"/>
        <rFont val="Calibri"/>
        <family val="2"/>
        <scheme val="minor"/>
      </rPr>
      <t>       Produce shows sales of ₹41,208.77.</t>
    </r>
  </si>
  <si>
    <r>
      <t>·</t>
    </r>
    <r>
      <rPr>
        <sz val="11"/>
        <color theme="1"/>
        <rFont val="Calibri"/>
        <family val="2"/>
        <scheme val="minor"/>
      </rPr>
      <t>       Condiments have sale of ₹38,061.72.</t>
    </r>
  </si>
  <si>
    <r>
      <t>·</t>
    </r>
    <r>
      <rPr>
        <sz val="11"/>
        <color theme="1"/>
        <rFont val="Calibri"/>
        <family val="2"/>
        <scheme val="minor"/>
      </rPr>
      <t>       Grain/Cereals have the lowest sale, totaling ₹17,980.36.</t>
    </r>
  </si>
  <si>
    <t>Inference:</t>
  </si>
  <si>
    <t>·        Beverages are the top performing category by a significant margin, with sales almost 1.5 times higher than the next best category (Meat/Poultry).</t>
  </si>
  <si>
    <t>·        Grains/Cereals have the lowest sale, suggesting they might need more marketing or promotion efforts compared to other categories.</t>
  </si>
  <si>
    <t>·        The middle-performing categories (Seafood, Dairy products, Produce and Condiments) have relatively closer sales figures, indicating a more balanced performance among these categories.</t>
  </si>
  <si>
    <t>Sales By Ship Company-</t>
  </si>
  <si>
    <t>The pie chart displays the total sales for different shipping companies:</t>
  </si>
  <si>
    <t>·        United Package: ₹208,249.14</t>
  </si>
  <si>
    <t>·        Federal Shipping: ₹146,506.91</t>
  </si>
  <si>
    <t>·        Speedy Express: ₹120,156.04</t>
  </si>
  <si>
    <t>·        United Package has the highest total sales at 208,249.14, indicating it is the most frequently used or preferred shipping company among the three.</t>
  </si>
  <si>
    <t>·        Federal Shipping comes in second with total sales of 146,506.91, showing strong performance but significantly less than United Package.</t>
  </si>
  <si>
    <t>·        Speedy Express has the lowest total sales at 120,156.04, which is considerably less than both Federal Shipping and United Package.</t>
  </si>
  <si>
    <t>·        The substantial lead of United Package in sales suggests it might offer better services, competitive pricing, or have stronger market penetration compared to the other two companies.</t>
  </si>
  <si>
    <t>·        There is a noticeable gap between each company’s total sales, indicating varying levels of performance and customer preference.</t>
  </si>
  <si>
    <t>Average Sales by Region-</t>
  </si>
  <si>
    <t>The bar chart displays the average sales for different regions:</t>
  </si>
  <si>
    <t>·        Eastern: 609.61</t>
  </si>
  <si>
    <t>·        Southern: 563.37</t>
  </si>
  <si>
    <t>·        Western: 525.70</t>
  </si>
  <si>
    <t xml:space="preserve">               ·        Northern: 517.59</t>
  </si>
  <si>
    <t>·        The Eastern region has the highest average sales at 609.61, indicating strong performance in this region.</t>
  </si>
  <si>
    <t>·        The Southern region follows with an average sale of 563.37, showing solid performance but slightly less than the Eastern region.</t>
  </si>
  <si>
    <t>·        The Western and Northern regions have lower average sales compared to the Eastern and Southern regions, with averages of 525.70 and 517.59, respectively.</t>
  </si>
  <si>
    <t>·        There is a noticeable difference in average sales between the Eastern region and the other regions, suggesting that strategies implemented in the Eastern region might be more effective or that the market potential is higher there.</t>
  </si>
  <si>
    <t>·        The Northern region has the lowest average sales, indicating that this region may require more attention to improve sales performance.</t>
  </si>
  <si>
    <t>Sales Per Month-</t>
  </si>
  <si>
    <t>The line chart displays the total sales for each month</t>
  </si>
  <si>
    <t>·        January: ₹ 58,346.1</t>
  </si>
  <si>
    <t>·        February: ₹ 60,757.2</t>
  </si>
  <si>
    <t>·        March: ₹ 68,605.2</t>
  </si>
  <si>
    <t>·        April: ₹ 61,541.1</t>
  </si>
  <si>
    <t>·        June: ₹ 11,922.4</t>
  </si>
  <si>
    <t>·        July: ₹ 31,391.8</t>
  </si>
  <si>
    <t>·        August: ₹ 28,288.9</t>
  </si>
  <si>
    <t>·        September: ₹ 38,695.0</t>
  </si>
  <si>
    <t>·        October: ₹ 29,444.0</t>
  </si>
  <si>
    <t>·        November: ₹ 28,760.6</t>
  </si>
  <si>
    <t xml:space="preserve">               ·        December: ₹ 36,235.8</t>
  </si>
  <si>
    <t xml:space="preserve"> Inference:</t>
  </si>
  <si>
    <t>·        March has the highest total sales at ₹ 68,605.2, indicating a peak in sales activity during this month.</t>
  </si>
  <si>
    <t>·        June has the lowest total sales at ₹ 11,922.4, suggesting it is the slowest month for sales.</t>
  </si>
  <si>
    <t>·        The beginning of the year (January to April) shows relatively strong sales, with each month surpassing ₹ 58,000.</t>
  </si>
  <si>
    <t>·        There is a significant drop in sales during May and June, with May at ₹ 20,924.0 and June at ₹ 11,922.4, indicating a potential seasonal dip.</t>
  </si>
  <si>
    <t>·        Sales begin to recover in July and continue to increase through to September, peaking again in March.</t>
  </si>
  <si>
    <t>·        The final quarter of the year shows moderate sales, with December having higher sales than October and November but not reaching the highs of the first quarter.</t>
  </si>
  <si>
    <t xml:space="preserve">               ·        The data suggests a cyclical trend with strong sales at the beginning of the year, a dip in the middle, and a moderate recovery towards the end. This pattern could be influenced by seasonal factors, holidays, or specific marketing strategies.</t>
  </si>
  <si>
    <t>·        May: ₹ 20,923.0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</si>
</sst>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9" x14ac:knownFonts="1">
    <font>
      <sz val="11"/>
      <color theme="1"/>
      <name val="Calibri"/>
      <family val="2"/>
      <scheme val="minor"/>
    </font>
    <font>
      <b/>
      <sz val="11"/>
      <color theme="1"/>
      <name val="Calibri"/>
      <family val="2"/>
      <scheme val="minor"/>
    </font>
    <font>
      <b/>
      <u/>
      <sz val="20"/>
      <color theme="2" tint="-0.89999084444715716"/>
      <name val="Calibri"/>
      <family val="2"/>
      <scheme val="minor"/>
    </font>
    <font>
      <b/>
      <u/>
      <sz val="16"/>
      <color theme="2" tint="-0.89999084444715716"/>
      <name val="Calibri"/>
      <family val="2"/>
      <scheme val="minor"/>
    </font>
    <font>
      <b/>
      <u/>
      <sz val="14"/>
      <color theme="2" tint="-0.89999084444715716"/>
      <name val="Calibri"/>
      <family val="2"/>
      <scheme val="minor"/>
    </font>
    <font>
      <b/>
      <u/>
      <sz val="14"/>
      <color theme="1"/>
      <name val="Calibri"/>
      <family val="2"/>
      <scheme val="minor"/>
    </font>
    <font>
      <b/>
      <u/>
      <sz val="18"/>
      <color theme="2" tint="-0.89999084444715716"/>
      <name val="Calibri"/>
      <family val="2"/>
      <scheme val="minor"/>
    </font>
    <font>
      <b/>
      <u/>
      <sz val="18"/>
      <color theme="1"/>
      <name val="Calibri"/>
      <family val="2"/>
      <scheme val="minor"/>
    </font>
    <font>
      <b/>
      <sz val="11"/>
      <color theme="2" tint="-0.89999084444715716"/>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4">
    <xf numFmtId="0" fontId="0" fillId="0" borderId="0" xfId="0"/>
    <xf numFmtId="0" fontId="1" fillId="2" borderId="0" xfId="0" quotePrefix="1" applyFont="1" applyFill="1" applyAlignment="1">
      <alignment vertical="center"/>
    </xf>
    <xf numFmtId="0" fontId="0" fillId="0" borderId="0" xfId="0" quotePrefix="1"/>
    <xf numFmtId="14" fontId="0" fillId="0" borderId="0" xfId="0" applyNumberFormat="1"/>
    <xf numFmtId="0" fontId="1" fillId="2" borderId="0" xfId="0" applyFont="1" applyFill="1"/>
    <xf numFmtId="0" fontId="1" fillId="2" borderId="0" xfId="0" applyFont="1" applyFill="1" applyAlignment="1">
      <alignment vertical="center"/>
    </xf>
    <xf numFmtId="164" fontId="0" fillId="0" borderId="0" xfId="0" applyNumberFormat="1"/>
    <xf numFmtId="164" fontId="1" fillId="2" borderId="0" xfId="0" applyNumberFormat="1" applyFont="1" applyFill="1" applyAlignment="1">
      <alignment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2" borderId="0" xfId="0" quotePrefix="1" applyFont="1" applyFill="1"/>
    <xf numFmtId="164" fontId="1" fillId="2" borderId="0" xfId="0" applyNumberFormat="1" applyFont="1" applyFill="1"/>
    <xf numFmtId="0" fontId="0" fillId="0" borderId="0" xfId="0" applyAlignment="1">
      <alignment vertical="center"/>
    </xf>
    <xf numFmtId="0" fontId="3" fillId="0" borderId="0" xfId="0" applyFont="1" applyAlignment="1">
      <alignment vertical="center"/>
    </xf>
    <xf numFmtId="0" fontId="0" fillId="0" borderId="0" xfId="0" applyAlignment="1">
      <alignment horizontal="left" vertical="center" indent="5"/>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indent="10"/>
    </xf>
    <xf numFmtId="0" fontId="0" fillId="0" borderId="0" xfId="0" applyAlignment="1">
      <alignment horizontal="left" vertical="center" indent="10"/>
    </xf>
    <xf numFmtId="0" fontId="5" fillId="0" borderId="0" xfId="0" applyFont="1"/>
    <xf numFmtId="0" fontId="7" fillId="0" borderId="0" xfId="0" applyFont="1" applyAlignment="1">
      <alignment vertical="center"/>
    </xf>
    <xf numFmtId="0" fontId="8" fillId="0" borderId="0" xfId="0" applyFont="1" applyAlignment="1">
      <alignment vertical="center"/>
    </xf>
    <xf numFmtId="0" fontId="2" fillId="0" borderId="0" xfId="0" applyFont="1" applyAlignment="1">
      <alignment vertical="center"/>
    </xf>
  </cellXfs>
  <cellStyles count="1">
    <cellStyle name="Normal" xfId="0" builtinId="0"/>
  </cellStyles>
  <dxfs count="4">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Project- Manasi Awasarkar.xlsx]Dashboard!PivotTable12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0"/>
              <a:t>Sale</a:t>
            </a:r>
            <a:r>
              <a:rPr lang="en-US" b="0" baseline="0"/>
              <a:t> By Category</a:t>
            </a:r>
            <a:endParaRPr lang="en-US" b="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a:innerShdw blurRad="63500" dist="50800" dir="54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Dashboard!$E$9</c:f>
              <c:strCache>
                <c:ptCount val="1"/>
                <c:pt idx="0">
                  <c:v>Total</c:v>
                </c:pt>
              </c:strCache>
            </c:strRef>
          </c:tx>
          <c:spPr>
            <a:solidFill>
              <a:schemeClr val="accent1">
                <a:lumMod val="40000"/>
                <a:lumOff val="60000"/>
              </a:schemeClr>
            </a:solidFill>
            <a:ln>
              <a:noFill/>
            </a:ln>
            <a:effectLst>
              <a:innerShdw blurRad="63500" dist="50800" dir="54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Dashboard!$D$10:$D$17</c:f>
              <c:strCache>
                <c:ptCount val="8"/>
                <c:pt idx="0">
                  <c:v>Grains/Cereals</c:v>
                </c:pt>
                <c:pt idx="1">
                  <c:v>Condiments</c:v>
                </c:pt>
                <c:pt idx="2">
                  <c:v>Produce</c:v>
                </c:pt>
                <c:pt idx="3">
                  <c:v>Dairy Products</c:v>
                </c:pt>
                <c:pt idx="4">
                  <c:v>Seafood</c:v>
                </c:pt>
                <c:pt idx="5">
                  <c:v>Confections</c:v>
                </c:pt>
                <c:pt idx="6">
                  <c:v>Meat/Poultry</c:v>
                </c:pt>
                <c:pt idx="7">
                  <c:v>Beverages</c:v>
                </c:pt>
              </c:strCache>
            </c:strRef>
          </c:cat>
          <c:val>
            <c:numRef>
              <c:f>Dashboard!$E$10:$E$17</c:f>
              <c:numCache>
                <c:formatCode>"₹"\ #,##0.00</c:formatCode>
                <c:ptCount val="8"/>
                <c:pt idx="0">
                  <c:v>17980.359990800916</c:v>
                </c:pt>
                <c:pt idx="1">
                  <c:v>38061.724970889089</c:v>
                </c:pt>
                <c:pt idx="2">
                  <c:v>41208.767480961047</c:v>
                </c:pt>
                <c:pt idx="3">
                  <c:v>59422.029923654722</c:v>
                </c:pt>
                <c:pt idx="4">
                  <c:v>62445.679914710927</c:v>
                </c:pt>
                <c:pt idx="5">
                  <c:v>65937.045434953834</c:v>
                </c:pt>
                <c:pt idx="6">
                  <c:v>77267.215956850734</c:v>
                </c:pt>
                <c:pt idx="7">
                  <c:v>112589.26490754596</c:v>
                </c:pt>
              </c:numCache>
            </c:numRef>
          </c:val>
          <c:extLst>
            <c:ext xmlns:c16="http://schemas.microsoft.com/office/drawing/2014/chart" uri="{C3380CC4-5D6E-409C-BE32-E72D297353CC}">
              <c16:uniqueId val="{00000000-E477-4770-95FF-4714EFB9DB4E}"/>
            </c:ext>
          </c:extLst>
        </c:ser>
        <c:dLbls>
          <c:dLblPos val="inEnd"/>
          <c:showLegendKey val="0"/>
          <c:showVal val="1"/>
          <c:showCatName val="0"/>
          <c:showSerName val="0"/>
          <c:showPercent val="0"/>
          <c:showBubbleSize val="0"/>
        </c:dLbls>
        <c:gapWidth val="100"/>
        <c:axId val="242554032"/>
        <c:axId val="242551632"/>
      </c:barChart>
      <c:catAx>
        <c:axId val="242554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2551632"/>
        <c:crosses val="autoZero"/>
        <c:auto val="1"/>
        <c:lblAlgn val="ctr"/>
        <c:lblOffset val="100"/>
        <c:noMultiLvlLbl val="0"/>
      </c:catAx>
      <c:valAx>
        <c:axId val="242551632"/>
        <c:scaling>
          <c:orientation val="minMax"/>
        </c:scaling>
        <c:delete val="1"/>
        <c:axPos val="b"/>
        <c:numFmt formatCode="&quot;₹&quot;\ #,##0.00" sourceLinked="1"/>
        <c:majorTickMark val="none"/>
        <c:minorTickMark val="none"/>
        <c:tickLblPos val="nextTo"/>
        <c:crossAx val="24255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Project- Manasi Awasarkar.xlsx]Dashboard!PivotTable13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0" i="0" u="none" strike="noStrike" kern="1200" baseline="0">
                <a:solidFill>
                  <a:sysClr val="windowText" lastClr="000000">
                    <a:lumMod val="65000"/>
                    <a:lumOff val="35000"/>
                  </a:sysClr>
                </a:solidFill>
              </a:rPr>
              <a:t>Sale by Ship Company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Dashboard!$H$1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63B-478B-9020-3784964BC2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63B-478B-9020-3784964BC29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63B-478B-9020-3784964BC2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Dashboard!$G$2:$G$4</c:f>
              <c:strCache>
                <c:ptCount val="3"/>
                <c:pt idx="0">
                  <c:v>Speedy Express</c:v>
                </c:pt>
                <c:pt idx="1">
                  <c:v>Federal Shipping</c:v>
                </c:pt>
                <c:pt idx="2">
                  <c:v>United Package</c:v>
                </c:pt>
              </c:strCache>
            </c:strRef>
          </c:cat>
          <c:val>
            <c:numRef>
              <c:f>Dashboard!$H$2:$H$4</c:f>
              <c:numCache>
                <c:formatCode>"₹"\ #,##0.00</c:formatCode>
                <c:ptCount val="3"/>
                <c:pt idx="0">
                  <c:v>120156.03886009777</c:v>
                </c:pt>
                <c:pt idx="1">
                  <c:v>146506.90788244252</c:v>
                </c:pt>
                <c:pt idx="2">
                  <c:v>208249.14183782696</c:v>
                </c:pt>
              </c:numCache>
            </c:numRef>
          </c:val>
          <c:extLst>
            <c:ext xmlns:c16="http://schemas.microsoft.com/office/drawing/2014/chart" uri="{C3380CC4-5D6E-409C-BE32-E72D297353CC}">
              <c16:uniqueId val="{00000006-E752-4113-95C6-E4A464E5BBF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[Northwind Project- Manasi Awasarkar.xlsx]Dashboard!PivotTable14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0"/>
              <a:t>Avarage Sale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innerShdw blurRad="63500" dist="50800" dir="54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Dashboard!$H$14</c:f>
              <c:strCache>
                <c:ptCount val="1"/>
                <c:pt idx="0">
                  <c:v>Total</c:v>
                </c:pt>
              </c:strCache>
            </c:strRef>
          </c:tx>
          <c:spPr>
            <a:solidFill>
              <a:schemeClr val="accent6">
                <a:lumMod val="60000"/>
                <a:lumOff val="40000"/>
              </a:schemeClr>
            </a:solidFill>
            <a:ln>
              <a:noFill/>
            </a:ln>
            <a:effectLst>
              <a:innerShdw blurRad="63500" dist="50800" dir="54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Dashboard!$G$15:$G$18</c:f>
              <c:strCache>
                <c:ptCount val="4"/>
                <c:pt idx="0">
                  <c:v>Northern</c:v>
                </c:pt>
                <c:pt idx="1">
                  <c:v>Western</c:v>
                </c:pt>
                <c:pt idx="2">
                  <c:v>Southern</c:v>
                </c:pt>
                <c:pt idx="3">
                  <c:v>Eastern</c:v>
                </c:pt>
              </c:strCache>
            </c:strRef>
          </c:cat>
          <c:val>
            <c:numRef>
              <c:f>Dashboard!$H$15:$H$18</c:f>
              <c:numCache>
                <c:formatCode>"₹"\ #,##0.00</c:formatCode>
                <c:ptCount val="4"/>
                <c:pt idx="0">
                  <c:v>517.58601996647815</c:v>
                </c:pt>
                <c:pt idx="1">
                  <c:v>525.7017584776147</c:v>
                </c:pt>
                <c:pt idx="2">
                  <c:v>563.37084983733689</c:v>
                </c:pt>
                <c:pt idx="3">
                  <c:v>609.60743714044304</c:v>
                </c:pt>
              </c:numCache>
            </c:numRef>
          </c:val>
          <c:extLst>
            <c:ext xmlns:c16="http://schemas.microsoft.com/office/drawing/2014/chart" uri="{C3380CC4-5D6E-409C-BE32-E72D297353CC}">
              <c16:uniqueId val="{00000000-F2E9-4613-B0D1-F893ADBEC615}"/>
            </c:ext>
          </c:extLst>
        </c:ser>
        <c:dLbls>
          <c:dLblPos val="inEnd"/>
          <c:showLegendKey val="0"/>
          <c:showVal val="1"/>
          <c:showCatName val="0"/>
          <c:showSerName val="0"/>
          <c:showPercent val="0"/>
          <c:showBubbleSize val="0"/>
        </c:dLbls>
        <c:gapWidth val="100"/>
        <c:axId val="242550192"/>
        <c:axId val="242532912"/>
      </c:barChart>
      <c:catAx>
        <c:axId val="2425501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2532912"/>
        <c:crosses val="autoZero"/>
        <c:auto val="1"/>
        <c:lblAlgn val="ctr"/>
        <c:lblOffset val="100"/>
        <c:noMultiLvlLbl val="0"/>
      </c:catAx>
      <c:valAx>
        <c:axId val="242532912"/>
        <c:scaling>
          <c:orientation val="minMax"/>
        </c:scaling>
        <c:delete val="1"/>
        <c:axPos val="b"/>
        <c:numFmt formatCode="&quot;₹&quot;\ #,##0.00" sourceLinked="1"/>
        <c:majorTickMark val="none"/>
        <c:minorTickMark val="none"/>
        <c:tickLblPos val="nextTo"/>
        <c:crossAx val="24255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[Northwind Project- Manasi Awasarkar.xlsx]Dashboard!PivotTable15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Dashboard!$M$1</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2"/>
                </a:solidFill>
              </a:ln>
              <a:effectLst/>
            </c:spPr>
          </c:marker>
          <c:cat>
            <c:strRef>
              <c:f>Dashboard!$L$2:$L$13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Dashboard!$M$2:$M$13</c:f>
              <c:numCache>
                <c:formatCode>"₹"\ #,##0.00</c:formatCode>
                <c:ptCount val="12"/>
                <c:pt idx="0">
                  <c:v>58346.148938571372</c:v>
                </c:pt>
                <c:pt idx="1">
                  <c:v>60757.187461740708</c:v>
                </c:pt>
                <c:pt idx="2">
                  <c:v>68605.249963061127</c:v>
                </c:pt>
                <c:pt idx="3">
                  <c:v>61541.134940468066</c:v>
                </c:pt>
                <c:pt idx="4">
                  <c:v>20923.984958760884</c:v>
                </c:pt>
                <c:pt idx="5">
                  <c:v>11922.36998525653</c:v>
                </c:pt>
                <c:pt idx="6">
                  <c:v>31391.774965760036</c:v>
                </c:pt>
                <c:pt idx="7">
                  <c:v>28288.854983568195</c:v>
                </c:pt>
                <c:pt idx="8">
                  <c:v>38695.039968340468</c:v>
                </c:pt>
                <c:pt idx="9">
                  <c:v>29443.999965165931</c:v>
                </c:pt>
                <c:pt idx="10">
                  <c:v>28760.588977356438</c:v>
                </c:pt>
                <c:pt idx="11">
                  <c:v>36235.753472317461</c:v>
                </c:pt>
              </c:numCache>
            </c:numRef>
          </c:val>
          <c:smooth val="0"/>
          <c:extLst>
            <c:ext xmlns:c16="http://schemas.microsoft.com/office/drawing/2014/chart" uri="{C3380CC4-5D6E-409C-BE32-E72D297353CC}">
              <c16:uniqueId val="{00000000-786C-46B4-837F-E3A081394E74}"/>
            </c:ext>
          </c:extLst>
        </c:ser>
        <c:dLbls>
          <c:showLegendKey val="0"/>
          <c:showVal val="0"/>
          <c:showCatName val="0"/>
          <c:showSerName val="0"/>
          <c:showPercent val="0"/>
          <c:showBubbleSize val="0"/>
        </c:dLbls>
        <c:marker val="1"/>
        <c:smooth val="0"/>
        <c:axId val="34166768"/>
        <c:axId val="34194608"/>
      </c:lineChart>
      <c:catAx>
        <c:axId val="3416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4608"/>
        <c:crosses val="autoZero"/>
        <c:auto val="1"/>
        <c:lblAlgn val="ctr"/>
        <c:lblOffset val="100"/>
        <c:noMultiLvlLbl val="0"/>
      </c:catAx>
      <c:valAx>
        <c:axId val="34194608"/>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6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0</xdr:colOff>
      <xdr:row>5</xdr:row>
      <xdr:rowOff>7620</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8B432250-A668-A078-71C1-B88F44D5A87C}"/>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0" y="0"/>
              <a:ext cx="41148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7620</xdr:colOff>
      <xdr:row>4</xdr:row>
      <xdr:rowOff>171450</xdr:rowOff>
    </xdr:from>
    <xdr:to>
      <xdr:col>6</xdr:col>
      <xdr:colOff>0</xdr:colOff>
      <xdr:row>22</xdr:row>
      <xdr:rowOff>38100</xdr:rowOff>
    </xdr:to>
    <xdr:graphicFrame macro="">
      <xdr:nvGraphicFramePr>
        <xdr:cNvPr id="3" name="Chart 2">
          <a:extLst>
            <a:ext uri="{FF2B5EF4-FFF2-40B4-BE49-F238E27FC236}">
              <a16:creationId xmlns:a16="http://schemas.microsoft.com/office/drawing/2014/main" id="{47909554-632C-41AC-2F5E-53EF6F4F0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0</xdr:row>
      <xdr:rowOff>0</xdr:rowOff>
    </xdr:from>
    <xdr:to>
      <xdr:col>11</xdr:col>
      <xdr:colOff>7620</xdr:colOff>
      <xdr:row>12</xdr:row>
      <xdr:rowOff>0</xdr:rowOff>
    </xdr:to>
    <xdr:graphicFrame macro="">
      <xdr:nvGraphicFramePr>
        <xdr:cNvPr id="4" name="Chart 3">
          <a:extLst>
            <a:ext uri="{FF2B5EF4-FFF2-40B4-BE49-F238E27FC236}">
              <a16:creationId xmlns:a16="http://schemas.microsoft.com/office/drawing/2014/main" id="{4178C727-8B4C-F3D8-54E1-6EA758BA9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601980</xdr:colOff>
      <xdr:row>11</xdr:row>
      <xdr:rowOff>179070</xdr:rowOff>
    </xdr:from>
    <xdr:to>
      <xdr:col>11</xdr:col>
      <xdr:colOff>7620</xdr:colOff>
      <xdr:row>22</xdr:row>
      <xdr:rowOff>38100</xdr:rowOff>
    </xdr:to>
    <xdr:graphicFrame macro="">
      <xdr:nvGraphicFramePr>
        <xdr:cNvPr id="5" name="Chart 4">
          <a:extLst>
            <a:ext uri="{FF2B5EF4-FFF2-40B4-BE49-F238E27FC236}">
              <a16:creationId xmlns:a16="http://schemas.microsoft.com/office/drawing/2014/main" id="{9C524227-176A-E120-1031-B062665C1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xdr:colOff>
      <xdr:row>0</xdr:row>
      <xdr:rowOff>0</xdr:rowOff>
    </xdr:from>
    <xdr:to>
      <xdr:col>17</xdr:col>
      <xdr:colOff>586740</xdr:colOff>
      <xdr:row>22</xdr:row>
      <xdr:rowOff>30480</xdr:rowOff>
    </xdr:to>
    <xdr:graphicFrame macro="">
      <xdr:nvGraphicFramePr>
        <xdr:cNvPr id="6" name="Chart 5">
          <a:extLst>
            <a:ext uri="{FF2B5EF4-FFF2-40B4-BE49-F238E27FC236}">
              <a16:creationId xmlns:a16="http://schemas.microsoft.com/office/drawing/2014/main" id="{498C2EE1-FA7D-69C8-375B-1FEBCAA71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20ANALYTICS\Data%20Analytics-%20EXCEL\Northwind%20Project\New%20folder\S10-Project.xlsx" TargetMode="External"/><Relationship Id="rId1" Type="http://schemas.openxmlformats.org/officeDocument/2006/relationships/externalLinkPath" Target="S1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mployees"/>
      <sheetName val="Categories"/>
      <sheetName val="Customers"/>
      <sheetName val="EmployeeTerritories"/>
      <sheetName val="Orders"/>
      <sheetName val="Order_Details"/>
      <sheetName val="Products"/>
      <sheetName val="Region"/>
      <sheetName val="Shippers"/>
      <sheetName val="Suppliers"/>
      <sheetName val="Territories"/>
      <sheetName val="Consolidated Sheet"/>
      <sheetName val="Sheet3"/>
      <sheetName val="Sheet2"/>
      <sheetName val="Sheet6"/>
      <sheetName val="Sheet7"/>
      <sheetName val="Dashboard"/>
      <sheetName val="Inferences"/>
      <sheetName val="S10-Project"/>
    </sheetNames>
    <definedNames>
      <definedName name="Categories" refersTo="='Categories'!$A$1:$C$9"/>
      <definedName name="Orders" refersTo="='Orders'!$A$1:$N$831"/>
      <definedName name="Products" refersTo="='Products'!$A$1:$J$78"/>
      <definedName name="Region" refersTo="='Region'!$A$1:$B$5"/>
      <definedName name="Shippers" refersTo="='Shippers'!$A$1:$C$4"/>
      <definedName name="Territories" refersTo="='Territories'!$A$1:$C$50"/>
    </definedNames>
    <sheetDataSet>
      <sheetData sheetId="0">
        <row r="1">
          <cell r="A1" t="str">
            <v>EmployeeID</v>
          </cell>
          <cell r="B1" t="str">
            <v>LastName</v>
          </cell>
          <cell r="C1" t="str">
            <v>FirstName</v>
          </cell>
          <cell r="D1" t="str">
            <v>FullName</v>
          </cell>
          <cell r="E1" t="str">
            <v>Title</v>
          </cell>
          <cell r="F1" t="str">
            <v>TitleOfCourtesy</v>
          </cell>
          <cell r="G1" t="str">
            <v>BirthDate</v>
          </cell>
          <cell r="H1" t="str">
            <v>HireDate</v>
          </cell>
          <cell r="I1" t="str">
            <v>City</v>
          </cell>
          <cell r="J1" t="str">
            <v>Region</v>
          </cell>
          <cell r="K1" t="str">
            <v>PostalCode</v>
          </cell>
          <cell r="L1" t="str">
            <v>Country</v>
          </cell>
          <cell r="M1" t="str">
            <v>HomePhone</v>
          </cell>
          <cell r="N1" t="str">
            <v>Extension</v>
          </cell>
          <cell r="O1" t="str">
            <v>ReportsTo</v>
          </cell>
        </row>
        <row r="2">
          <cell r="A2">
            <v>1</v>
          </cell>
          <cell r="B2" t="str">
            <v>Davolio</v>
          </cell>
          <cell r="C2" t="str">
            <v>Nancy</v>
          </cell>
          <cell r="D2" t="str">
            <v>Davolio Nancy</v>
          </cell>
          <cell r="E2" t="str">
            <v>Sales Representative</v>
          </cell>
          <cell r="F2" t="str">
            <v>Ms.</v>
          </cell>
          <cell r="G2">
            <v>17875</v>
          </cell>
          <cell r="H2">
            <v>33725</v>
          </cell>
          <cell r="I2" t="str">
            <v>Seattle</v>
          </cell>
          <cell r="J2" t="str">
            <v>WA</v>
          </cell>
          <cell r="K2">
            <v>98122</v>
          </cell>
          <cell r="L2" t="str">
            <v>USA</v>
          </cell>
          <cell r="M2" t="str">
            <v>(206) 555-9857</v>
          </cell>
          <cell r="N2">
            <v>5467</v>
          </cell>
          <cell r="O2">
            <v>2</v>
          </cell>
        </row>
        <row r="3">
          <cell r="A3">
            <v>2</v>
          </cell>
          <cell r="B3" t="str">
            <v>Fuller</v>
          </cell>
          <cell r="C3" t="str">
            <v>Andrew</v>
          </cell>
          <cell r="D3" t="str">
            <v>Fuller Andrew</v>
          </cell>
          <cell r="E3" t="str">
            <v>Vice President, Sales</v>
          </cell>
          <cell r="F3" t="str">
            <v>Dr.</v>
          </cell>
          <cell r="G3">
            <v>19043</v>
          </cell>
          <cell r="H3">
            <v>33830</v>
          </cell>
          <cell r="I3" t="str">
            <v>Tacoma</v>
          </cell>
          <cell r="J3" t="str">
            <v>WA</v>
          </cell>
          <cell r="K3">
            <v>98401</v>
          </cell>
          <cell r="L3" t="str">
            <v>USA</v>
          </cell>
          <cell r="M3" t="str">
            <v>(206) 555-9482</v>
          </cell>
          <cell r="N3">
            <v>3457</v>
          </cell>
          <cell r="O3" t="str">
            <v>NULL</v>
          </cell>
        </row>
        <row r="4">
          <cell r="A4">
            <v>3</v>
          </cell>
          <cell r="B4" t="str">
            <v>Leverling</v>
          </cell>
          <cell r="C4" t="str">
            <v>Janet</v>
          </cell>
          <cell r="D4" t="str">
            <v>Leverling Janet</v>
          </cell>
          <cell r="E4" t="str">
            <v>Sales Representative</v>
          </cell>
          <cell r="F4" t="str">
            <v>Ms.</v>
          </cell>
          <cell r="G4">
            <v>23253</v>
          </cell>
          <cell r="H4">
            <v>33695</v>
          </cell>
          <cell r="I4" t="str">
            <v>Kirkland</v>
          </cell>
          <cell r="J4" t="str">
            <v>WA</v>
          </cell>
          <cell r="K4">
            <v>98033</v>
          </cell>
          <cell r="L4" t="str">
            <v>USA</v>
          </cell>
          <cell r="M4" t="str">
            <v>(206) 555-3412</v>
          </cell>
          <cell r="N4">
            <v>3355</v>
          </cell>
          <cell r="O4">
            <v>2</v>
          </cell>
        </row>
        <row r="5">
          <cell r="A5">
            <v>4</v>
          </cell>
          <cell r="B5" t="str">
            <v>Peacock</v>
          </cell>
          <cell r="C5" t="str">
            <v>Margaret</v>
          </cell>
          <cell r="D5" t="str">
            <v>Peacock Margaret</v>
          </cell>
          <cell r="E5" t="str">
            <v>Sales Representative</v>
          </cell>
          <cell r="F5" t="str">
            <v>Mrs.</v>
          </cell>
          <cell r="G5">
            <v>13777</v>
          </cell>
          <cell r="H5">
            <v>34092</v>
          </cell>
          <cell r="I5" t="str">
            <v>Redmond</v>
          </cell>
          <cell r="J5" t="str">
            <v>WA</v>
          </cell>
          <cell r="K5">
            <v>98052</v>
          </cell>
          <cell r="L5" t="str">
            <v>USA</v>
          </cell>
          <cell r="M5" t="str">
            <v>(206) 555-8122</v>
          </cell>
          <cell r="N5">
            <v>5176</v>
          </cell>
          <cell r="O5">
            <v>2</v>
          </cell>
        </row>
        <row r="6">
          <cell r="A6">
            <v>5</v>
          </cell>
          <cell r="B6" t="str">
            <v>Buchanan</v>
          </cell>
          <cell r="C6" t="str">
            <v>Steven</v>
          </cell>
          <cell r="D6" t="str">
            <v>Buchanan Steven</v>
          </cell>
          <cell r="E6" t="str">
            <v>Sales Manager</v>
          </cell>
          <cell r="F6" t="str">
            <v>Mr.</v>
          </cell>
          <cell r="G6">
            <v>20152</v>
          </cell>
          <cell r="H6">
            <v>34259</v>
          </cell>
          <cell r="I6" t="str">
            <v>London</v>
          </cell>
          <cell r="J6" t="str">
            <v>NULL</v>
          </cell>
          <cell r="K6" t="str">
            <v>SW1 8JR</v>
          </cell>
          <cell r="L6" t="str">
            <v>UK</v>
          </cell>
          <cell r="M6" t="str">
            <v>(71) 555-4848</v>
          </cell>
          <cell r="N6">
            <v>3453</v>
          </cell>
          <cell r="O6">
            <v>2</v>
          </cell>
        </row>
        <row r="7">
          <cell r="A7">
            <v>6</v>
          </cell>
          <cell r="B7" t="str">
            <v>Suyama</v>
          </cell>
          <cell r="C7" t="str">
            <v>Michael</v>
          </cell>
          <cell r="D7" t="str">
            <v>Suyama Michael</v>
          </cell>
          <cell r="E7" t="str">
            <v>Sales Representative</v>
          </cell>
          <cell r="F7" t="str">
            <v>Mr.</v>
          </cell>
          <cell r="G7">
            <v>23194</v>
          </cell>
          <cell r="H7">
            <v>34259</v>
          </cell>
          <cell r="I7" t="str">
            <v>London</v>
          </cell>
          <cell r="J7" t="str">
            <v>NULL</v>
          </cell>
          <cell r="K7" t="str">
            <v>EC2 7JR</v>
          </cell>
          <cell r="L7" t="str">
            <v>UK</v>
          </cell>
          <cell r="M7" t="str">
            <v>(71) 555-7773</v>
          </cell>
          <cell r="N7">
            <v>428</v>
          </cell>
          <cell r="O7">
            <v>5</v>
          </cell>
        </row>
        <row r="8">
          <cell r="A8">
            <v>7</v>
          </cell>
          <cell r="B8" t="str">
            <v>King</v>
          </cell>
          <cell r="C8" t="str">
            <v>Robert</v>
          </cell>
          <cell r="D8" t="str">
            <v>King Robert</v>
          </cell>
          <cell r="E8" t="str">
            <v>Sales Representative</v>
          </cell>
          <cell r="F8" t="str">
            <v>Mr.</v>
          </cell>
          <cell r="G8">
            <v>22065</v>
          </cell>
          <cell r="H8">
            <v>34336</v>
          </cell>
          <cell r="I8" t="str">
            <v>London</v>
          </cell>
          <cell r="J8" t="str">
            <v>NULL</v>
          </cell>
          <cell r="K8" t="str">
            <v>RG1 9SP</v>
          </cell>
          <cell r="L8" t="str">
            <v>UK</v>
          </cell>
          <cell r="M8" t="str">
            <v>(71) 555-5598</v>
          </cell>
          <cell r="N8">
            <v>465</v>
          </cell>
          <cell r="O8">
            <v>5</v>
          </cell>
        </row>
        <row r="9">
          <cell r="A9">
            <v>8</v>
          </cell>
          <cell r="B9" t="str">
            <v>Callahan</v>
          </cell>
          <cell r="C9" t="str">
            <v>Laura</v>
          </cell>
          <cell r="D9" t="str">
            <v>Callahan Laura</v>
          </cell>
          <cell r="E9" t="str">
            <v>Inside Sales Coordinator</v>
          </cell>
          <cell r="F9" t="str">
            <v>Ms.</v>
          </cell>
          <cell r="G9">
            <v>21194</v>
          </cell>
          <cell r="H9">
            <v>34398</v>
          </cell>
          <cell r="I9" t="str">
            <v>Seattle</v>
          </cell>
          <cell r="J9" t="str">
            <v>WA</v>
          </cell>
          <cell r="K9">
            <v>98105</v>
          </cell>
          <cell r="L9" t="str">
            <v>USA</v>
          </cell>
          <cell r="M9" t="str">
            <v>(206) 555-1189</v>
          </cell>
          <cell r="N9">
            <v>2344</v>
          </cell>
          <cell r="O9">
            <v>2</v>
          </cell>
        </row>
        <row r="10">
          <cell r="A10">
            <v>9</v>
          </cell>
          <cell r="B10" t="str">
            <v>Dodsworth</v>
          </cell>
          <cell r="C10" t="str">
            <v>Anne</v>
          </cell>
          <cell r="D10" t="str">
            <v>Dodsworth Anne</v>
          </cell>
          <cell r="E10" t="str">
            <v>Sales Representative</v>
          </cell>
          <cell r="F10" t="str">
            <v>Ms.</v>
          </cell>
          <cell r="G10">
            <v>24134</v>
          </cell>
          <cell r="H10">
            <v>34653</v>
          </cell>
          <cell r="I10" t="str">
            <v>London</v>
          </cell>
          <cell r="J10" t="str">
            <v>NULL</v>
          </cell>
          <cell r="K10" t="str">
            <v>WG2 7LT</v>
          </cell>
          <cell r="L10" t="str">
            <v>UK</v>
          </cell>
          <cell r="M10" t="str">
            <v>(71) 555-4444</v>
          </cell>
          <cell r="N10">
            <v>452</v>
          </cell>
          <cell r="O10">
            <v>5</v>
          </cell>
        </row>
      </sheetData>
      <sheetData sheetId="1">
        <row r="1">
          <cell r="A1" t="str">
            <v>CategoryID</v>
          </cell>
          <cell r="B1" t="str">
            <v>CategoryName</v>
          </cell>
          <cell r="C1" t="str">
            <v>Description</v>
          </cell>
        </row>
        <row r="2">
          <cell r="A2">
            <v>1</v>
          </cell>
          <cell r="B2" t="str">
            <v>Beverages</v>
          </cell>
          <cell r="C2" t="str">
            <v>Soft drinks, coffees, teas, beers, and ales</v>
          </cell>
        </row>
        <row r="3">
          <cell r="A3">
            <v>2</v>
          </cell>
          <cell r="B3" t="str">
            <v>Condiments</v>
          </cell>
          <cell r="C3" t="str">
            <v>Sweet and savory sauces, relishes, spreads, and seasonings</v>
          </cell>
        </row>
        <row r="4">
          <cell r="A4">
            <v>3</v>
          </cell>
          <cell r="B4" t="str">
            <v>Confections</v>
          </cell>
          <cell r="C4" t="str">
            <v>Desserts, candies, and sweet breads</v>
          </cell>
        </row>
        <row r="5">
          <cell r="A5">
            <v>4</v>
          </cell>
          <cell r="B5" t="str">
            <v>Dairy Products</v>
          </cell>
          <cell r="C5" t="str">
            <v>Cheeses</v>
          </cell>
        </row>
        <row r="6">
          <cell r="A6">
            <v>5</v>
          </cell>
          <cell r="B6" t="str">
            <v>Grains/Cereals</v>
          </cell>
          <cell r="C6" t="str">
            <v>Breads, crackers, pasta, and cereal</v>
          </cell>
        </row>
        <row r="7">
          <cell r="A7">
            <v>6</v>
          </cell>
          <cell r="B7" t="str">
            <v>Meat/Poultry</v>
          </cell>
          <cell r="C7" t="str">
            <v>Prepared meats</v>
          </cell>
        </row>
        <row r="8">
          <cell r="A8">
            <v>7</v>
          </cell>
          <cell r="B8" t="str">
            <v>Produce</v>
          </cell>
          <cell r="C8" t="str">
            <v>Dried fruit and bean curd</v>
          </cell>
        </row>
        <row r="9">
          <cell r="A9">
            <v>8</v>
          </cell>
          <cell r="B9" t="str">
            <v>Seafood</v>
          </cell>
          <cell r="C9" t="str">
            <v>Seaweed and fish</v>
          </cell>
        </row>
      </sheetData>
      <sheetData sheetId="2"/>
      <sheetData sheetId="3">
        <row r="1">
          <cell r="A1" t="str">
            <v>EmployeeID</v>
          </cell>
          <cell r="B1" t="str">
            <v>TerritoryID</v>
          </cell>
        </row>
        <row r="2">
          <cell r="A2">
            <v>1</v>
          </cell>
          <cell r="B2" t="str">
            <v>06897</v>
          </cell>
        </row>
        <row r="3">
          <cell r="A3">
            <v>1</v>
          </cell>
          <cell r="B3" t="str">
            <v>19713</v>
          </cell>
        </row>
        <row r="4">
          <cell r="A4">
            <v>2</v>
          </cell>
          <cell r="B4" t="str">
            <v>01581</v>
          </cell>
        </row>
        <row r="5">
          <cell r="A5">
            <v>2</v>
          </cell>
          <cell r="B5" t="str">
            <v>01730</v>
          </cell>
        </row>
        <row r="6">
          <cell r="A6">
            <v>2</v>
          </cell>
          <cell r="B6" t="str">
            <v>01833</v>
          </cell>
        </row>
        <row r="7">
          <cell r="A7">
            <v>2</v>
          </cell>
          <cell r="B7" t="str">
            <v>02116</v>
          </cell>
        </row>
        <row r="8">
          <cell r="A8">
            <v>2</v>
          </cell>
          <cell r="B8" t="str">
            <v>02139</v>
          </cell>
        </row>
        <row r="9">
          <cell r="A9">
            <v>2</v>
          </cell>
          <cell r="B9" t="str">
            <v>02184</v>
          </cell>
        </row>
        <row r="10">
          <cell r="A10">
            <v>2</v>
          </cell>
          <cell r="B10" t="str">
            <v>40222</v>
          </cell>
        </row>
        <row r="11">
          <cell r="A11">
            <v>3</v>
          </cell>
          <cell r="B11" t="str">
            <v>30346</v>
          </cell>
        </row>
        <row r="12">
          <cell r="A12">
            <v>3</v>
          </cell>
          <cell r="B12" t="str">
            <v>31406</v>
          </cell>
        </row>
        <row r="13">
          <cell r="A13">
            <v>3</v>
          </cell>
          <cell r="B13" t="str">
            <v>32859</v>
          </cell>
        </row>
        <row r="14">
          <cell r="A14">
            <v>3</v>
          </cell>
          <cell r="B14" t="str">
            <v>33607</v>
          </cell>
        </row>
        <row r="15">
          <cell r="A15">
            <v>4</v>
          </cell>
          <cell r="B15" t="str">
            <v>20852</v>
          </cell>
        </row>
        <row r="16">
          <cell r="A16">
            <v>4</v>
          </cell>
          <cell r="B16" t="str">
            <v>27403</v>
          </cell>
        </row>
        <row r="17">
          <cell r="A17">
            <v>4</v>
          </cell>
          <cell r="B17" t="str">
            <v>27511</v>
          </cell>
        </row>
        <row r="18">
          <cell r="A18">
            <v>5</v>
          </cell>
          <cell r="B18" t="str">
            <v>02903</v>
          </cell>
        </row>
        <row r="19">
          <cell r="A19">
            <v>5</v>
          </cell>
          <cell r="B19" t="str">
            <v>07960</v>
          </cell>
        </row>
        <row r="20">
          <cell r="A20">
            <v>5</v>
          </cell>
          <cell r="B20" t="str">
            <v>08837</v>
          </cell>
        </row>
        <row r="21">
          <cell r="A21">
            <v>5</v>
          </cell>
          <cell r="B21" t="str">
            <v>10019</v>
          </cell>
        </row>
        <row r="22">
          <cell r="A22">
            <v>5</v>
          </cell>
          <cell r="B22" t="str">
            <v>10038</v>
          </cell>
        </row>
        <row r="23">
          <cell r="A23">
            <v>5</v>
          </cell>
          <cell r="B23" t="str">
            <v>11747</v>
          </cell>
        </row>
        <row r="24">
          <cell r="A24">
            <v>5</v>
          </cell>
          <cell r="B24" t="str">
            <v>14450</v>
          </cell>
        </row>
        <row r="25">
          <cell r="A25">
            <v>6</v>
          </cell>
          <cell r="B25" t="str">
            <v>85014</v>
          </cell>
        </row>
        <row r="26">
          <cell r="A26">
            <v>6</v>
          </cell>
          <cell r="B26" t="str">
            <v>85251</v>
          </cell>
        </row>
        <row r="27">
          <cell r="A27">
            <v>6</v>
          </cell>
          <cell r="B27" t="str">
            <v>98004</v>
          </cell>
        </row>
        <row r="28">
          <cell r="A28">
            <v>6</v>
          </cell>
          <cell r="B28" t="str">
            <v>98052</v>
          </cell>
        </row>
        <row r="29">
          <cell r="A29">
            <v>6</v>
          </cell>
          <cell r="B29" t="str">
            <v>98104</v>
          </cell>
        </row>
        <row r="30">
          <cell r="A30">
            <v>7</v>
          </cell>
          <cell r="B30" t="str">
            <v>60179</v>
          </cell>
        </row>
        <row r="31">
          <cell r="A31">
            <v>7</v>
          </cell>
          <cell r="B31" t="str">
            <v>60601</v>
          </cell>
        </row>
        <row r="32">
          <cell r="A32">
            <v>7</v>
          </cell>
          <cell r="B32" t="str">
            <v>80202</v>
          </cell>
        </row>
        <row r="33">
          <cell r="A33">
            <v>7</v>
          </cell>
          <cell r="B33" t="str">
            <v>80909</v>
          </cell>
        </row>
        <row r="34">
          <cell r="A34">
            <v>7</v>
          </cell>
          <cell r="B34" t="str">
            <v>90405</v>
          </cell>
        </row>
        <row r="35">
          <cell r="A35">
            <v>7</v>
          </cell>
          <cell r="B35" t="str">
            <v>94025</v>
          </cell>
        </row>
        <row r="36">
          <cell r="A36">
            <v>7</v>
          </cell>
          <cell r="B36" t="str">
            <v>94105</v>
          </cell>
        </row>
        <row r="37">
          <cell r="A37">
            <v>7</v>
          </cell>
          <cell r="B37" t="str">
            <v>95008</v>
          </cell>
        </row>
        <row r="38">
          <cell r="A38">
            <v>7</v>
          </cell>
          <cell r="B38" t="str">
            <v>95054</v>
          </cell>
        </row>
        <row r="39">
          <cell r="A39">
            <v>7</v>
          </cell>
          <cell r="B39" t="str">
            <v>95060</v>
          </cell>
        </row>
        <row r="40">
          <cell r="A40">
            <v>8</v>
          </cell>
          <cell r="B40" t="str">
            <v>19428</v>
          </cell>
        </row>
        <row r="41">
          <cell r="A41">
            <v>8</v>
          </cell>
          <cell r="B41" t="str">
            <v>44122</v>
          </cell>
        </row>
        <row r="42">
          <cell r="A42">
            <v>8</v>
          </cell>
          <cell r="B42" t="str">
            <v>45839</v>
          </cell>
        </row>
        <row r="43">
          <cell r="A43">
            <v>8</v>
          </cell>
          <cell r="B43" t="str">
            <v>53404</v>
          </cell>
        </row>
        <row r="44">
          <cell r="A44">
            <v>9</v>
          </cell>
          <cell r="B44" t="str">
            <v>03049</v>
          </cell>
        </row>
        <row r="45">
          <cell r="A45">
            <v>9</v>
          </cell>
          <cell r="B45" t="str">
            <v>03801</v>
          </cell>
        </row>
        <row r="46">
          <cell r="A46">
            <v>9</v>
          </cell>
          <cell r="B46" t="str">
            <v>48075</v>
          </cell>
        </row>
        <row r="47">
          <cell r="A47">
            <v>9</v>
          </cell>
          <cell r="B47" t="str">
            <v>48084</v>
          </cell>
        </row>
        <row r="48">
          <cell r="A48">
            <v>9</v>
          </cell>
          <cell r="B48" t="str">
            <v>48304</v>
          </cell>
        </row>
        <row r="49">
          <cell r="A49">
            <v>9</v>
          </cell>
          <cell r="B49" t="str">
            <v>55113</v>
          </cell>
        </row>
        <row r="50">
          <cell r="A50">
            <v>9</v>
          </cell>
          <cell r="B50" t="str">
            <v>55439</v>
          </cell>
        </row>
      </sheetData>
      <sheetData sheetId="4">
        <row r="1">
          <cell r="A1" t="str">
            <v>OrderID</v>
          </cell>
          <cell r="B1" t="str">
            <v>CustomerID</v>
          </cell>
          <cell r="C1" t="str">
            <v>EmployeeID</v>
          </cell>
          <cell r="D1" t="str">
            <v>OrderDate</v>
          </cell>
          <cell r="E1" t="str">
            <v>RequiredDate</v>
          </cell>
          <cell r="F1" t="str">
            <v>ShippedDate</v>
          </cell>
          <cell r="G1" t="str">
            <v>ShipVia</v>
          </cell>
          <cell r="H1" t="str">
            <v>Freight</v>
          </cell>
          <cell r="I1" t="str">
            <v>ShipName</v>
          </cell>
          <cell r="J1" t="str">
            <v>ShipAddress</v>
          </cell>
          <cell r="K1" t="str">
            <v>ShipCity</v>
          </cell>
          <cell r="L1" t="str">
            <v>ShipRegion</v>
          </cell>
          <cell r="M1" t="str">
            <v>ShipPostalCode</v>
          </cell>
          <cell r="N1" t="str">
            <v>ShipCountry</v>
          </cell>
        </row>
        <row r="2">
          <cell r="A2">
            <v>10248</v>
          </cell>
          <cell r="B2" t="str">
            <v>VINET</v>
          </cell>
          <cell r="C2">
            <v>5</v>
          </cell>
          <cell r="D2">
            <v>35250</v>
          </cell>
          <cell r="E2">
            <v>35278</v>
          </cell>
          <cell r="F2">
            <v>35262</v>
          </cell>
          <cell r="G2">
            <v>3</v>
          </cell>
          <cell r="H2">
            <v>32.380000000000003</v>
          </cell>
          <cell r="I2" t="str">
            <v>Vins et alcools Chevalier</v>
          </cell>
          <cell r="J2" t="str">
            <v>59 rue de l'Abbaye</v>
          </cell>
          <cell r="K2" t="str">
            <v>Reims</v>
          </cell>
          <cell r="M2" t="str">
            <v>51100</v>
          </cell>
          <cell r="N2" t="str">
            <v>France</v>
          </cell>
        </row>
        <row r="3">
          <cell r="A3">
            <v>10249</v>
          </cell>
          <cell r="B3" t="str">
            <v>TOMSP</v>
          </cell>
          <cell r="C3">
            <v>6</v>
          </cell>
          <cell r="D3">
            <v>35251</v>
          </cell>
          <cell r="E3">
            <v>35293</v>
          </cell>
          <cell r="F3">
            <v>35256</v>
          </cell>
          <cell r="G3">
            <v>1</v>
          </cell>
          <cell r="H3">
            <v>11.61</v>
          </cell>
          <cell r="I3" t="str">
            <v>Toms Spezialitäten</v>
          </cell>
          <cell r="J3" t="str">
            <v>Luisenstr. 48</v>
          </cell>
          <cell r="K3" t="str">
            <v>Münster</v>
          </cell>
          <cell r="M3" t="str">
            <v>44087</v>
          </cell>
          <cell r="N3" t="str">
            <v>Germany</v>
          </cell>
        </row>
        <row r="4">
          <cell r="A4">
            <v>10250</v>
          </cell>
          <cell r="B4" t="str">
            <v>HANAR</v>
          </cell>
          <cell r="C4">
            <v>4</v>
          </cell>
          <cell r="D4">
            <v>35254</v>
          </cell>
          <cell r="E4">
            <v>35282</v>
          </cell>
          <cell r="F4">
            <v>35258</v>
          </cell>
          <cell r="G4">
            <v>2</v>
          </cell>
          <cell r="H4">
            <v>65.83</v>
          </cell>
          <cell r="I4" t="str">
            <v>Hanari Carnes</v>
          </cell>
          <cell r="J4" t="str">
            <v>Rua do Paço, 67</v>
          </cell>
          <cell r="K4" t="str">
            <v>Rio de Janeiro</v>
          </cell>
          <cell r="L4" t="str">
            <v>RJ</v>
          </cell>
          <cell r="M4" t="str">
            <v>05454-876</v>
          </cell>
          <cell r="N4" t="str">
            <v>Brazil</v>
          </cell>
        </row>
        <row r="5">
          <cell r="A5">
            <v>10251</v>
          </cell>
          <cell r="B5" t="str">
            <v>VICTE</v>
          </cell>
          <cell r="C5">
            <v>3</v>
          </cell>
          <cell r="D5">
            <v>35254</v>
          </cell>
          <cell r="E5">
            <v>35282</v>
          </cell>
          <cell r="F5">
            <v>35261</v>
          </cell>
          <cell r="G5">
            <v>1</v>
          </cell>
          <cell r="H5">
            <v>41.34</v>
          </cell>
          <cell r="I5" t="str">
            <v>Victuailles en stock</v>
          </cell>
          <cell r="J5" t="str">
            <v>2, rue du Commerce</v>
          </cell>
          <cell r="K5" t="str">
            <v>Lyon</v>
          </cell>
          <cell r="M5" t="str">
            <v>69004</v>
          </cell>
          <cell r="N5" t="str">
            <v>France</v>
          </cell>
        </row>
        <row r="6">
          <cell r="A6">
            <v>10252</v>
          </cell>
          <cell r="B6" t="str">
            <v>SUPRD</v>
          </cell>
          <cell r="C6">
            <v>4</v>
          </cell>
          <cell r="D6">
            <v>35255</v>
          </cell>
          <cell r="E6">
            <v>35283</v>
          </cell>
          <cell r="F6">
            <v>35257</v>
          </cell>
          <cell r="G6">
            <v>2</v>
          </cell>
          <cell r="H6">
            <v>51.3</v>
          </cell>
          <cell r="I6" t="str">
            <v>Suprêmes délices</v>
          </cell>
          <cell r="J6" t="str">
            <v>Boulevard Tirou, 255</v>
          </cell>
          <cell r="K6" t="str">
            <v>Charleroi</v>
          </cell>
          <cell r="M6" t="str">
            <v>B-6000</v>
          </cell>
          <cell r="N6" t="str">
            <v>Belgium</v>
          </cell>
        </row>
        <row r="7">
          <cell r="A7">
            <v>10253</v>
          </cell>
          <cell r="B7" t="str">
            <v>HANAR</v>
          </cell>
          <cell r="C7">
            <v>3</v>
          </cell>
          <cell r="D7">
            <v>35256</v>
          </cell>
          <cell r="E7">
            <v>35270</v>
          </cell>
          <cell r="F7">
            <v>35262</v>
          </cell>
          <cell r="G7">
            <v>2</v>
          </cell>
          <cell r="H7">
            <v>58.17</v>
          </cell>
          <cell r="I7" t="str">
            <v>Hanari Carnes</v>
          </cell>
          <cell r="J7" t="str">
            <v>Rua do Paço, 67</v>
          </cell>
          <cell r="K7" t="str">
            <v>Rio de Janeiro</v>
          </cell>
          <cell r="L7" t="str">
            <v>RJ</v>
          </cell>
          <cell r="M7" t="str">
            <v>05454-876</v>
          </cell>
          <cell r="N7" t="str">
            <v>Brazil</v>
          </cell>
        </row>
        <row r="8">
          <cell r="A8">
            <v>10254</v>
          </cell>
          <cell r="B8" t="str">
            <v>CHOPS</v>
          </cell>
          <cell r="C8">
            <v>5</v>
          </cell>
          <cell r="D8">
            <v>35257</v>
          </cell>
          <cell r="E8">
            <v>35285</v>
          </cell>
          <cell r="F8">
            <v>35269</v>
          </cell>
          <cell r="G8">
            <v>2</v>
          </cell>
          <cell r="H8">
            <v>22.98</v>
          </cell>
          <cell r="I8" t="str">
            <v>Chop-suey Chinese</v>
          </cell>
          <cell r="J8" t="str">
            <v>Hauptstr. 31</v>
          </cell>
          <cell r="K8" t="str">
            <v>Bern</v>
          </cell>
          <cell r="M8" t="str">
            <v>3012</v>
          </cell>
          <cell r="N8" t="str">
            <v>Switzerland</v>
          </cell>
        </row>
        <row r="9">
          <cell r="A9">
            <v>10255</v>
          </cell>
          <cell r="B9" t="str">
            <v>RICSU</v>
          </cell>
          <cell r="C9">
            <v>9</v>
          </cell>
          <cell r="D9">
            <v>35258</v>
          </cell>
          <cell r="E9">
            <v>35286</v>
          </cell>
          <cell r="F9">
            <v>35261</v>
          </cell>
          <cell r="G9">
            <v>3</v>
          </cell>
          <cell r="H9">
            <v>148.33000000000001</v>
          </cell>
          <cell r="I9" t="str">
            <v>Richter Supermarkt</v>
          </cell>
          <cell r="J9" t="str">
            <v>Starenweg 5</v>
          </cell>
          <cell r="K9" t="str">
            <v>Genève</v>
          </cell>
          <cell r="M9" t="str">
            <v>1204</v>
          </cell>
          <cell r="N9" t="str">
            <v>Switzerland</v>
          </cell>
        </row>
        <row r="10">
          <cell r="A10">
            <v>10256</v>
          </cell>
          <cell r="B10" t="str">
            <v>WELLI</v>
          </cell>
          <cell r="C10">
            <v>3</v>
          </cell>
          <cell r="D10">
            <v>35261</v>
          </cell>
          <cell r="E10">
            <v>35289</v>
          </cell>
          <cell r="F10">
            <v>35263</v>
          </cell>
          <cell r="G10">
            <v>2</v>
          </cell>
          <cell r="H10">
            <v>13.97</v>
          </cell>
          <cell r="I10" t="str">
            <v>Wellington Importadora</v>
          </cell>
          <cell r="J10" t="str">
            <v>Rua do Mercado, 12</v>
          </cell>
          <cell r="K10" t="str">
            <v>Resende</v>
          </cell>
          <cell r="L10" t="str">
            <v>SP</v>
          </cell>
          <cell r="M10" t="str">
            <v>08737-363</v>
          </cell>
          <cell r="N10" t="str">
            <v>Brazil</v>
          </cell>
        </row>
        <row r="11">
          <cell r="A11">
            <v>10257</v>
          </cell>
          <cell r="B11" t="str">
            <v>HILAA</v>
          </cell>
          <cell r="C11">
            <v>4</v>
          </cell>
          <cell r="D11">
            <v>35262</v>
          </cell>
          <cell r="E11">
            <v>35290</v>
          </cell>
          <cell r="F11">
            <v>35268</v>
          </cell>
          <cell r="G11">
            <v>3</v>
          </cell>
          <cell r="H11">
            <v>81.91</v>
          </cell>
          <cell r="I11" t="str">
            <v>HILARION-Abastos</v>
          </cell>
          <cell r="J11" t="str">
            <v>Carrera 22 con Ave. Carlos Soublette #8-35</v>
          </cell>
          <cell r="K11" t="str">
            <v>San Cristóbal</v>
          </cell>
          <cell r="L11" t="str">
            <v>Táchira</v>
          </cell>
          <cell r="M11" t="str">
            <v>5022</v>
          </cell>
          <cell r="N11" t="str">
            <v>Venezuela</v>
          </cell>
        </row>
        <row r="12">
          <cell r="A12">
            <v>10258</v>
          </cell>
          <cell r="B12" t="str">
            <v>ERNSH</v>
          </cell>
          <cell r="C12">
            <v>1</v>
          </cell>
          <cell r="D12">
            <v>35263</v>
          </cell>
          <cell r="E12">
            <v>35291</v>
          </cell>
          <cell r="F12">
            <v>35269</v>
          </cell>
          <cell r="G12">
            <v>1</v>
          </cell>
          <cell r="H12">
            <v>140.51</v>
          </cell>
          <cell r="I12" t="str">
            <v>Ernst Handel</v>
          </cell>
          <cell r="J12" t="str">
            <v>Kirchgasse 6</v>
          </cell>
          <cell r="K12" t="str">
            <v>Graz</v>
          </cell>
          <cell r="M12" t="str">
            <v>8010</v>
          </cell>
          <cell r="N12" t="str">
            <v>Austria</v>
          </cell>
        </row>
        <row r="13">
          <cell r="A13">
            <v>10259</v>
          </cell>
          <cell r="B13" t="str">
            <v>CENTC</v>
          </cell>
          <cell r="C13">
            <v>4</v>
          </cell>
          <cell r="D13">
            <v>35264</v>
          </cell>
          <cell r="E13">
            <v>35292</v>
          </cell>
          <cell r="F13">
            <v>35271</v>
          </cell>
          <cell r="G13">
            <v>3</v>
          </cell>
          <cell r="H13">
            <v>3.25</v>
          </cell>
          <cell r="I13" t="str">
            <v>Centro comercial Moctezuma</v>
          </cell>
          <cell r="J13" t="str">
            <v>Sierras de Granada 9993</v>
          </cell>
          <cell r="K13" t="str">
            <v>México D.F.</v>
          </cell>
          <cell r="M13" t="str">
            <v>05022</v>
          </cell>
          <cell r="N13" t="str">
            <v>Mexico</v>
          </cell>
        </row>
        <row r="14">
          <cell r="A14">
            <v>10260</v>
          </cell>
          <cell r="B14" t="str">
            <v>OTTIK</v>
          </cell>
          <cell r="C14">
            <v>4</v>
          </cell>
          <cell r="D14">
            <v>35265</v>
          </cell>
          <cell r="E14">
            <v>35293</v>
          </cell>
          <cell r="F14">
            <v>35275</v>
          </cell>
          <cell r="G14">
            <v>1</v>
          </cell>
          <cell r="H14">
            <v>55.09</v>
          </cell>
          <cell r="I14" t="str">
            <v>Ottilies Käseladen</v>
          </cell>
          <cell r="J14" t="str">
            <v>Mehrheimerstr. 369</v>
          </cell>
          <cell r="K14" t="str">
            <v>Köln</v>
          </cell>
          <cell r="M14" t="str">
            <v>50739</v>
          </cell>
          <cell r="N14" t="str">
            <v>Germany</v>
          </cell>
        </row>
        <row r="15">
          <cell r="A15">
            <v>10261</v>
          </cell>
          <cell r="B15" t="str">
            <v>QUEDE</v>
          </cell>
          <cell r="C15">
            <v>4</v>
          </cell>
          <cell r="D15">
            <v>35265</v>
          </cell>
          <cell r="E15">
            <v>35293</v>
          </cell>
          <cell r="F15">
            <v>35276</v>
          </cell>
          <cell r="G15">
            <v>2</v>
          </cell>
          <cell r="H15">
            <v>3.05</v>
          </cell>
          <cell r="I15" t="str">
            <v>Que Delícia</v>
          </cell>
          <cell r="J15" t="str">
            <v>Rua da Panificadora, 12</v>
          </cell>
          <cell r="K15" t="str">
            <v>Rio de Janeiro</v>
          </cell>
          <cell r="L15" t="str">
            <v>RJ</v>
          </cell>
          <cell r="M15" t="str">
            <v>02389-673</v>
          </cell>
          <cell r="N15" t="str">
            <v>Brazil</v>
          </cell>
        </row>
        <row r="16">
          <cell r="A16">
            <v>10262</v>
          </cell>
          <cell r="B16" t="str">
            <v>RATTC</v>
          </cell>
          <cell r="C16">
            <v>8</v>
          </cell>
          <cell r="D16">
            <v>35268</v>
          </cell>
          <cell r="E16">
            <v>35296</v>
          </cell>
          <cell r="F16">
            <v>35271</v>
          </cell>
          <cell r="G16">
            <v>3</v>
          </cell>
          <cell r="H16">
            <v>48.29</v>
          </cell>
          <cell r="I16" t="str">
            <v>Rattlesnake Canyon Grocery</v>
          </cell>
          <cell r="J16" t="str">
            <v>2817 Milton Dr.</v>
          </cell>
          <cell r="K16" t="str">
            <v>Albuquerque</v>
          </cell>
          <cell r="L16" t="str">
            <v>NM</v>
          </cell>
          <cell r="M16" t="str">
            <v>87110</v>
          </cell>
          <cell r="N16" t="str">
            <v>USA</v>
          </cell>
        </row>
        <row r="17">
          <cell r="A17">
            <v>10263</v>
          </cell>
          <cell r="B17" t="str">
            <v>ERNSH</v>
          </cell>
          <cell r="C17">
            <v>9</v>
          </cell>
          <cell r="D17">
            <v>35269</v>
          </cell>
          <cell r="E17">
            <v>35297</v>
          </cell>
          <cell r="F17">
            <v>35277</v>
          </cell>
          <cell r="G17">
            <v>3</v>
          </cell>
          <cell r="H17">
            <v>146.06</v>
          </cell>
          <cell r="I17" t="str">
            <v>Ernst Handel</v>
          </cell>
          <cell r="J17" t="str">
            <v>Kirchgasse 6</v>
          </cell>
          <cell r="K17" t="str">
            <v>Graz</v>
          </cell>
          <cell r="M17" t="str">
            <v>8010</v>
          </cell>
          <cell r="N17" t="str">
            <v>Austria</v>
          </cell>
        </row>
        <row r="18">
          <cell r="A18">
            <v>10264</v>
          </cell>
          <cell r="B18" t="str">
            <v>FOLKO</v>
          </cell>
          <cell r="C18">
            <v>6</v>
          </cell>
          <cell r="D18">
            <v>35270</v>
          </cell>
          <cell r="E18">
            <v>35298</v>
          </cell>
          <cell r="F18">
            <v>35300</v>
          </cell>
          <cell r="G18">
            <v>3</v>
          </cell>
          <cell r="H18">
            <v>3.67</v>
          </cell>
          <cell r="I18" t="str">
            <v>Folk och fä HB</v>
          </cell>
          <cell r="J18" t="str">
            <v>Åkergatan 24</v>
          </cell>
          <cell r="K18" t="str">
            <v>Bräcke</v>
          </cell>
          <cell r="M18" t="str">
            <v>S-844 67</v>
          </cell>
          <cell r="N18" t="str">
            <v>Sweden</v>
          </cell>
        </row>
        <row r="19">
          <cell r="A19">
            <v>10265</v>
          </cell>
          <cell r="B19" t="str">
            <v>BLONP</v>
          </cell>
          <cell r="C19">
            <v>2</v>
          </cell>
          <cell r="D19">
            <v>35271</v>
          </cell>
          <cell r="E19">
            <v>35299</v>
          </cell>
          <cell r="F19">
            <v>35289</v>
          </cell>
          <cell r="G19">
            <v>1</v>
          </cell>
          <cell r="H19">
            <v>55.28</v>
          </cell>
          <cell r="I19" t="str">
            <v>Blondel père et fils</v>
          </cell>
          <cell r="J19" t="str">
            <v>24, place Kléber</v>
          </cell>
          <cell r="K19" t="str">
            <v>Strasbourg</v>
          </cell>
          <cell r="M19" t="str">
            <v>67000</v>
          </cell>
          <cell r="N19" t="str">
            <v>France</v>
          </cell>
        </row>
        <row r="20">
          <cell r="A20">
            <v>10266</v>
          </cell>
          <cell r="B20" t="str">
            <v>WARTH</v>
          </cell>
          <cell r="C20">
            <v>3</v>
          </cell>
          <cell r="D20">
            <v>35272</v>
          </cell>
          <cell r="E20">
            <v>35314</v>
          </cell>
          <cell r="F20">
            <v>35277</v>
          </cell>
          <cell r="G20">
            <v>3</v>
          </cell>
          <cell r="H20">
            <v>25.73</v>
          </cell>
          <cell r="I20" t="str">
            <v>Wartian Herkku</v>
          </cell>
          <cell r="J20" t="str">
            <v>Torikatu 38</v>
          </cell>
          <cell r="K20" t="str">
            <v>Oulu</v>
          </cell>
          <cell r="M20" t="str">
            <v>90110</v>
          </cell>
          <cell r="N20" t="str">
            <v>Finland</v>
          </cell>
        </row>
        <row r="21">
          <cell r="A21">
            <v>10267</v>
          </cell>
          <cell r="B21" t="str">
            <v>FRANK</v>
          </cell>
          <cell r="C21">
            <v>4</v>
          </cell>
          <cell r="D21">
            <v>35275</v>
          </cell>
          <cell r="E21">
            <v>35303</v>
          </cell>
          <cell r="F21">
            <v>35283</v>
          </cell>
          <cell r="G21">
            <v>1</v>
          </cell>
          <cell r="H21">
            <v>208.58</v>
          </cell>
          <cell r="I21" t="str">
            <v>Frankenversand</v>
          </cell>
          <cell r="J21" t="str">
            <v>Berliner Platz 43</v>
          </cell>
          <cell r="K21" t="str">
            <v>München</v>
          </cell>
          <cell r="M21" t="str">
            <v>80805</v>
          </cell>
          <cell r="N21" t="str">
            <v>Germany</v>
          </cell>
        </row>
        <row r="22">
          <cell r="A22">
            <v>10268</v>
          </cell>
          <cell r="B22" t="str">
            <v>GROSR</v>
          </cell>
          <cell r="C22">
            <v>8</v>
          </cell>
          <cell r="D22">
            <v>35276</v>
          </cell>
          <cell r="E22">
            <v>35304</v>
          </cell>
          <cell r="F22">
            <v>35279</v>
          </cell>
          <cell r="G22">
            <v>3</v>
          </cell>
          <cell r="H22">
            <v>66.290000000000006</v>
          </cell>
          <cell r="I22" t="str">
            <v>GROSELLA-Restaurante</v>
          </cell>
          <cell r="J22" t="str">
            <v>5ª Ave. Los Palos Grandes</v>
          </cell>
          <cell r="K22" t="str">
            <v>Caracas</v>
          </cell>
          <cell r="L22" t="str">
            <v>DF</v>
          </cell>
          <cell r="M22" t="str">
            <v>1081</v>
          </cell>
          <cell r="N22" t="str">
            <v>Venezuela</v>
          </cell>
        </row>
        <row r="23">
          <cell r="A23">
            <v>10269</v>
          </cell>
          <cell r="B23" t="str">
            <v>WHITC</v>
          </cell>
          <cell r="C23">
            <v>5</v>
          </cell>
          <cell r="D23">
            <v>35277</v>
          </cell>
          <cell r="E23">
            <v>35291</v>
          </cell>
          <cell r="F23">
            <v>35286</v>
          </cell>
          <cell r="G23">
            <v>1</v>
          </cell>
          <cell r="H23">
            <v>4.5599999999999996</v>
          </cell>
          <cell r="I23" t="str">
            <v>White Clover Markets</v>
          </cell>
          <cell r="J23" t="str">
            <v>1029 - 12th Ave. S.</v>
          </cell>
          <cell r="K23" t="str">
            <v>Seattle</v>
          </cell>
          <cell r="L23" t="str">
            <v>WA</v>
          </cell>
          <cell r="M23" t="str">
            <v>98124</v>
          </cell>
          <cell r="N23" t="str">
            <v>USA</v>
          </cell>
        </row>
        <row r="24">
          <cell r="A24">
            <v>10270</v>
          </cell>
          <cell r="B24" t="str">
            <v>WARTH</v>
          </cell>
          <cell r="C24">
            <v>1</v>
          </cell>
          <cell r="D24">
            <v>35278</v>
          </cell>
          <cell r="E24">
            <v>35306</v>
          </cell>
          <cell r="F24">
            <v>35279</v>
          </cell>
          <cell r="G24">
            <v>1</v>
          </cell>
          <cell r="H24">
            <v>136.54</v>
          </cell>
          <cell r="I24" t="str">
            <v>Wartian Herkku</v>
          </cell>
          <cell r="J24" t="str">
            <v>Torikatu 38</v>
          </cell>
          <cell r="K24" t="str">
            <v>Oulu</v>
          </cell>
          <cell r="M24" t="str">
            <v>90110</v>
          </cell>
          <cell r="N24" t="str">
            <v>Finland</v>
          </cell>
        </row>
        <row r="25">
          <cell r="A25">
            <v>10271</v>
          </cell>
          <cell r="B25" t="str">
            <v>SPLIR</v>
          </cell>
          <cell r="C25">
            <v>6</v>
          </cell>
          <cell r="D25">
            <v>35278</v>
          </cell>
          <cell r="E25">
            <v>35306</v>
          </cell>
          <cell r="F25">
            <v>35307</v>
          </cell>
          <cell r="G25">
            <v>2</v>
          </cell>
          <cell r="H25">
            <v>4.54</v>
          </cell>
          <cell r="I25" t="str">
            <v>Split Rail Beer &amp; Ale</v>
          </cell>
          <cell r="J25" t="str">
            <v>P.O. Box 555</v>
          </cell>
          <cell r="K25" t="str">
            <v>Lander</v>
          </cell>
          <cell r="L25" t="str">
            <v>WY</v>
          </cell>
          <cell r="M25" t="str">
            <v>82520</v>
          </cell>
          <cell r="N25" t="str">
            <v>USA</v>
          </cell>
        </row>
        <row r="26">
          <cell r="A26">
            <v>10272</v>
          </cell>
          <cell r="B26" t="str">
            <v>RATTC</v>
          </cell>
          <cell r="C26">
            <v>6</v>
          </cell>
          <cell r="D26">
            <v>35279</v>
          </cell>
          <cell r="E26">
            <v>35307</v>
          </cell>
          <cell r="F26">
            <v>35283</v>
          </cell>
          <cell r="G26">
            <v>2</v>
          </cell>
          <cell r="H26">
            <v>98.03</v>
          </cell>
          <cell r="I26" t="str">
            <v>Rattlesnake Canyon Grocery</v>
          </cell>
          <cell r="J26" t="str">
            <v>2817 Milton Dr.</v>
          </cell>
          <cell r="K26" t="str">
            <v>Albuquerque</v>
          </cell>
          <cell r="L26" t="str">
            <v>NM</v>
          </cell>
          <cell r="M26" t="str">
            <v>87110</v>
          </cell>
          <cell r="N26" t="str">
            <v>USA</v>
          </cell>
        </row>
        <row r="27">
          <cell r="A27">
            <v>10273</v>
          </cell>
          <cell r="B27" t="str">
            <v>QUICK</v>
          </cell>
          <cell r="C27">
            <v>3</v>
          </cell>
          <cell r="D27">
            <v>35282</v>
          </cell>
          <cell r="E27">
            <v>35310</v>
          </cell>
          <cell r="F27">
            <v>35289</v>
          </cell>
          <cell r="G27">
            <v>3</v>
          </cell>
          <cell r="H27">
            <v>76.069999999999993</v>
          </cell>
          <cell r="I27" t="str">
            <v>QUICK-Stop</v>
          </cell>
          <cell r="J27" t="str">
            <v>Taucherstraße 10</v>
          </cell>
          <cell r="K27" t="str">
            <v>Cunewalde</v>
          </cell>
          <cell r="M27" t="str">
            <v>01307</v>
          </cell>
          <cell r="N27" t="str">
            <v>Germany</v>
          </cell>
        </row>
        <row r="28">
          <cell r="A28">
            <v>10274</v>
          </cell>
          <cell r="B28" t="str">
            <v>VINET</v>
          </cell>
          <cell r="C28">
            <v>6</v>
          </cell>
          <cell r="D28">
            <v>35283</v>
          </cell>
          <cell r="E28">
            <v>35311</v>
          </cell>
          <cell r="F28">
            <v>35293</v>
          </cell>
          <cell r="G28">
            <v>1</v>
          </cell>
          <cell r="H28">
            <v>6.01</v>
          </cell>
          <cell r="I28" t="str">
            <v>Vins et alcools Chevalier</v>
          </cell>
          <cell r="J28" t="str">
            <v>59 rue de l'Abbaye</v>
          </cell>
          <cell r="K28" t="str">
            <v>Reims</v>
          </cell>
          <cell r="M28" t="str">
            <v>51100</v>
          </cell>
          <cell r="N28" t="str">
            <v>France</v>
          </cell>
        </row>
        <row r="29">
          <cell r="A29">
            <v>10275</v>
          </cell>
          <cell r="B29" t="str">
            <v>MAGAA</v>
          </cell>
          <cell r="C29">
            <v>1</v>
          </cell>
          <cell r="D29">
            <v>35284</v>
          </cell>
          <cell r="E29">
            <v>35312</v>
          </cell>
          <cell r="F29">
            <v>35286</v>
          </cell>
          <cell r="G29">
            <v>1</v>
          </cell>
          <cell r="H29">
            <v>26.93</v>
          </cell>
          <cell r="I29" t="str">
            <v>Magazzini Alimentari Riuniti</v>
          </cell>
          <cell r="J29" t="str">
            <v>Via Ludovico il Moro 22</v>
          </cell>
          <cell r="K29" t="str">
            <v>Bergamo</v>
          </cell>
          <cell r="M29" t="str">
            <v>24100</v>
          </cell>
          <cell r="N29" t="str">
            <v>Italy</v>
          </cell>
        </row>
        <row r="30">
          <cell r="A30">
            <v>10276</v>
          </cell>
          <cell r="B30" t="str">
            <v>TORTU</v>
          </cell>
          <cell r="C30">
            <v>8</v>
          </cell>
          <cell r="D30">
            <v>35285</v>
          </cell>
          <cell r="E30">
            <v>35299</v>
          </cell>
          <cell r="F30">
            <v>35291</v>
          </cell>
          <cell r="G30">
            <v>3</v>
          </cell>
          <cell r="H30">
            <v>13.84</v>
          </cell>
          <cell r="I30" t="str">
            <v>Tortuga Restaurante</v>
          </cell>
          <cell r="J30" t="str">
            <v>Avda. Azteca 123</v>
          </cell>
          <cell r="K30" t="str">
            <v>México D.F.</v>
          </cell>
          <cell r="M30" t="str">
            <v>05033</v>
          </cell>
          <cell r="N30" t="str">
            <v>Mexico</v>
          </cell>
        </row>
        <row r="31">
          <cell r="A31">
            <v>10277</v>
          </cell>
          <cell r="B31" t="str">
            <v>MORGK</v>
          </cell>
          <cell r="C31">
            <v>2</v>
          </cell>
          <cell r="D31">
            <v>35286</v>
          </cell>
          <cell r="E31">
            <v>35314</v>
          </cell>
          <cell r="F31">
            <v>35290</v>
          </cell>
          <cell r="G31">
            <v>3</v>
          </cell>
          <cell r="H31">
            <v>125.77</v>
          </cell>
          <cell r="I31" t="str">
            <v>Morgenstern Gesundkost</v>
          </cell>
          <cell r="J31" t="str">
            <v>Heerstr. 22</v>
          </cell>
          <cell r="K31" t="str">
            <v>Leipzig</v>
          </cell>
          <cell r="M31" t="str">
            <v>04179</v>
          </cell>
          <cell r="N31" t="str">
            <v>Germany</v>
          </cell>
        </row>
        <row r="32">
          <cell r="A32">
            <v>10278</v>
          </cell>
          <cell r="B32" t="str">
            <v>BERGS</v>
          </cell>
          <cell r="C32">
            <v>8</v>
          </cell>
          <cell r="D32">
            <v>35289</v>
          </cell>
          <cell r="E32">
            <v>35317</v>
          </cell>
          <cell r="F32">
            <v>35293</v>
          </cell>
          <cell r="G32">
            <v>2</v>
          </cell>
          <cell r="H32">
            <v>92.69</v>
          </cell>
          <cell r="I32" t="str">
            <v>Berglunds snabbköp</v>
          </cell>
          <cell r="J32" t="str">
            <v>Berguvsvägen  8</v>
          </cell>
          <cell r="K32" t="str">
            <v>Luleå</v>
          </cell>
          <cell r="M32" t="str">
            <v>S-958 22</v>
          </cell>
          <cell r="N32" t="str">
            <v>Sweden</v>
          </cell>
        </row>
        <row r="33">
          <cell r="A33">
            <v>10279</v>
          </cell>
          <cell r="B33" t="str">
            <v>LEHMS</v>
          </cell>
          <cell r="C33">
            <v>8</v>
          </cell>
          <cell r="D33">
            <v>35290</v>
          </cell>
          <cell r="E33">
            <v>35318</v>
          </cell>
          <cell r="F33">
            <v>35293</v>
          </cell>
          <cell r="G33">
            <v>2</v>
          </cell>
          <cell r="H33">
            <v>25.83</v>
          </cell>
          <cell r="I33" t="str">
            <v>Lehmanns Marktstand</v>
          </cell>
          <cell r="J33" t="str">
            <v>Magazinweg 7</v>
          </cell>
          <cell r="K33" t="str">
            <v>Frankfurt a.M.</v>
          </cell>
          <cell r="M33" t="str">
            <v>60528</v>
          </cell>
          <cell r="N33" t="str">
            <v>Germany</v>
          </cell>
        </row>
        <row r="34">
          <cell r="A34">
            <v>10280</v>
          </cell>
          <cell r="B34" t="str">
            <v>BERGS</v>
          </cell>
          <cell r="C34">
            <v>2</v>
          </cell>
          <cell r="D34">
            <v>35291</v>
          </cell>
          <cell r="E34">
            <v>35319</v>
          </cell>
          <cell r="F34">
            <v>35320</v>
          </cell>
          <cell r="G34">
            <v>1</v>
          </cell>
          <cell r="H34">
            <v>8.98</v>
          </cell>
          <cell r="I34" t="str">
            <v>Berglunds snabbköp</v>
          </cell>
          <cell r="J34" t="str">
            <v>Berguvsvägen  8</v>
          </cell>
          <cell r="K34" t="str">
            <v>Luleå</v>
          </cell>
          <cell r="M34" t="str">
            <v>S-958 22</v>
          </cell>
          <cell r="N34" t="str">
            <v>Sweden</v>
          </cell>
        </row>
        <row r="35">
          <cell r="A35">
            <v>10281</v>
          </cell>
          <cell r="B35" t="str">
            <v>ROMEY</v>
          </cell>
          <cell r="C35">
            <v>4</v>
          </cell>
          <cell r="D35">
            <v>35291</v>
          </cell>
          <cell r="E35">
            <v>35305</v>
          </cell>
          <cell r="F35">
            <v>35298</v>
          </cell>
          <cell r="G35">
            <v>1</v>
          </cell>
          <cell r="H35">
            <v>2.94</v>
          </cell>
          <cell r="I35" t="str">
            <v>Romero y tomillo</v>
          </cell>
          <cell r="J35" t="str">
            <v>Gran Vía, 1</v>
          </cell>
          <cell r="K35" t="str">
            <v>Madrid</v>
          </cell>
          <cell r="M35" t="str">
            <v>28001</v>
          </cell>
          <cell r="N35" t="str">
            <v>Spain</v>
          </cell>
        </row>
        <row r="36">
          <cell r="A36">
            <v>10282</v>
          </cell>
          <cell r="B36" t="str">
            <v>ROMEY</v>
          </cell>
          <cell r="C36">
            <v>4</v>
          </cell>
          <cell r="D36">
            <v>35292</v>
          </cell>
          <cell r="E36">
            <v>35320</v>
          </cell>
          <cell r="F36">
            <v>35298</v>
          </cell>
          <cell r="G36">
            <v>1</v>
          </cell>
          <cell r="H36">
            <v>12.69</v>
          </cell>
          <cell r="I36" t="str">
            <v>Romero y tomillo</v>
          </cell>
          <cell r="J36" t="str">
            <v>Gran Vía, 1</v>
          </cell>
          <cell r="K36" t="str">
            <v>Madrid</v>
          </cell>
          <cell r="M36" t="str">
            <v>28001</v>
          </cell>
          <cell r="N36" t="str">
            <v>Spain</v>
          </cell>
        </row>
        <row r="37">
          <cell r="A37">
            <v>10283</v>
          </cell>
          <cell r="B37" t="str">
            <v>LILAS</v>
          </cell>
          <cell r="C37">
            <v>3</v>
          </cell>
          <cell r="D37">
            <v>35293</v>
          </cell>
          <cell r="E37">
            <v>35321</v>
          </cell>
          <cell r="F37">
            <v>35300</v>
          </cell>
          <cell r="G37">
            <v>3</v>
          </cell>
          <cell r="H37">
            <v>84.81</v>
          </cell>
          <cell r="I37" t="str">
            <v>LILA-Supermercado</v>
          </cell>
          <cell r="J37" t="str">
            <v>Carrera 52 con Ave. Bolívar #65-98 Llano Largo</v>
          </cell>
          <cell r="K37" t="str">
            <v>Barquisimeto</v>
          </cell>
          <cell r="L37" t="str">
            <v>Lara</v>
          </cell>
          <cell r="M37" t="str">
            <v>3508</v>
          </cell>
          <cell r="N37" t="str">
            <v>Venezuela</v>
          </cell>
        </row>
        <row r="38">
          <cell r="A38">
            <v>10284</v>
          </cell>
          <cell r="B38" t="str">
            <v>LEHMS</v>
          </cell>
          <cell r="C38">
            <v>4</v>
          </cell>
          <cell r="D38">
            <v>35296</v>
          </cell>
          <cell r="E38">
            <v>35324</v>
          </cell>
          <cell r="F38">
            <v>35304</v>
          </cell>
          <cell r="G38">
            <v>1</v>
          </cell>
          <cell r="H38">
            <v>76.56</v>
          </cell>
          <cell r="I38" t="str">
            <v>Lehmanns Marktstand</v>
          </cell>
          <cell r="J38" t="str">
            <v>Magazinweg 7</v>
          </cell>
          <cell r="K38" t="str">
            <v>Frankfurt a.M.</v>
          </cell>
          <cell r="M38" t="str">
            <v>60528</v>
          </cell>
          <cell r="N38" t="str">
            <v>Germany</v>
          </cell>
        </row>
        <row r="39">
          <cell r="A39">
            <v>10285</v>
          </cell>
          <cell r="B39" t="str">
            <v>QUICK</v>
          </cell>
          <cell r="C39">
            <v>1</v>
          </cell>
          <cell r="D39">
            <v>35297</v>
          </cell>
          <cell r="E39">
            <v>35325</v>
          </cell>
          <cell r="F39">
            <v>35303</v>
          </cell>
          <cell r="G39">
            <v>2</v>
          </cell>
          <cell r="H39">
            <v>76.83</v>
          </cell>
          <cell r="I39" t="str">
            <v>QUICK-Stop</v>
          </cell>
          <cell r="J39" t="str">
            <v>Taucherstraße 10</v>
          </cell>
          <cell r="K39" t="str">
            <v>Cunewalde</v>
          </cell>
          <cell r="M39" t="str">
            <v>01307</v>
          </cell>
          <cell r="N39" t="str">
            <v>Germany</v>
          </cell>
        </row>
        <row r="40">
          <cell r="A40">
            <v>10286</v>
          </cell>
          <cell r="B40" t="str">
            <v>QUICK</v>
          </cell>
          <cell r="C40">
            <v>8</v>
          </cell>
          <cell r="D40">
            <v>35298</v>
          </cell>
          <cell r="E40">
            <v>35326</v>
          </cell>
          <cell r="F40">
            <v>35307</v>
          </cell>
          <cell r="G40">
            <v>3</v>
          </cell>
          <cell r="H40">
            <v>229.24</v>
          </cell>
          <cell r="I40" t="str">
            <v>QUICK-Stop</v>
          </cell>
          <cell r="J40" t="str">
            <v>Taucherstraße 10</v>
          </cell>
          <cell r="K40" t="str">
            <v>Cunewalde</v>
          </cell>
          <cell r="M40" t="str">
            <v>01307</v>
          </cell>
          <cell r="N40" t="str">
            <v>Germany</v>
          </cell>
        </row>
        <row r="41">
          <cell r="A41">
            <v>10287</v>
          </cell>
          <cell r="B41" t="str">
            <v>RICAR</v>
          </cell>
          <cell r="C41">
            <v>8</v>
          </cell>
          <cell r="D41">
            <v>35299</v>
          </cell>
          <cell r="E41">
            <v>35327</v>
          </cell>
          <cell r="F41">
            <v>35305</v>
          </cell>
          <cell r="G41">
            <v>3</v>
          </cell>
          <cell r="H41">
            <v>12.76</v>
          </cell>
          <cell r="I41" t="str">
            <v>Ricardo Adocicados</v>
          </cell>
          <cell r="J41" t="str">
            <v>Av. Copacabana, 267</v>
          </cell>
          <cell r="K41" t="str">
            <v>Rio de Janeiro</v>
          </cell>
          <cell r="L41" t="str">
            <v>RJ</v>
          </cell>
          <cell r="M41" t="str">
            <v>02389-890</v>
          </cell>
          <cell r="N41" t="str">
            <v>Brazil</v>
          </cell>
        </row>
        <row r="42">
          <cell r="A42">
            <v>10288</v>
          </cell>
          <cell r="B42" t="str">
            <v>REGGC</v>
          </cell>
          <cell r="C42">
            <v>4</v>
          </cell>
          <cell r="D42">
            <v>35300</v>
          </cell>
          <cell r="E42">
            <v>35328</v>
          </cell>
          <cell r="F42">
            <v>35311</v>
          </cell>
          <cell r="G42">
            <v>1</v>
          </cell>
          <cell r="H42">
            <v>7.45</v>
          </cell>
          <cell r="I42" t="str">
            <v>Reggiani Caseifici</v>
          </cell>
          <cell r="J42" t="str">
            <v>Strada Provinciale 124</v>
          </cell>
          <cell r="K42" t="str">
            <v>Reggio Emilia</v>
          </cell>
          <cell r="M42" t="str">
            <v>42100</v>
          </cell>
          <cell r="N42" t="str">
            <v>Italy</v>
          </cell>
        </row>
        <row r="43">
          <cell r="A43">
            <v>10289</v>
          </cell>
          <cell r="B43" t="str">
            <v>BSBEV</v>
          </cell>
          <cell r="C43">
            <v>7</v>
          </cell>
          <cell r="D43">
            <v>35303</v>
          </cell>
          <cell r="E43">
            <v>35331</v>
          </cell>
          <cell r="F43">
            <v>35305</v>
          </cell>
          <cell r="G43">
            <v>3</v>
          </cell>
          <cell r="H43">
            <v>22.77</v>
          </cell>
          <cell r="I43" t="str">
            <v>B's Beverages</v>
          </cell>
          <cell r="J43" t="str">
            <v>Fauntleroy Circus</v>
          </cell>
          <cell r="K43" t="str">
            <v>London</v>
          </cell>
          <cell r="M43" t="str">
            <v>EC2 5NT</v>
          </cell>
          <cell r="N43" t="str">
            <v>UK</v>
          </cell>
        </row>
        <row r="44">
          <cell r="A44">
            <v>10290</v>
          </cell>
          <cell r="B44" t="str">
            <v>COMMI</v>
          </cell>
          <cell r="C44">
            <v>8</v>
          </cell>
          <cell r="D44">
            <v>35304</v>
          </cell>
          <cell r="E44">
            <v>35332</v>
          </cell>
          <cell r="F44">
            <v>35311</v>
          </cell>
          <cell r="G44">
            <v>1</v>
          </cell>
          <cell r="H44">
            <v>79.7</v>
          </cell>
          <cell r="I44" t="str">
            <v>Comércio Mineiro</v>
          </cell>
          <cell r="J44" t="str">
            <v>Av. dos Lusíadas, 23</v>
          </cell>
          <cell r="K44" t="str">
            <v>Sao Paulo</v>
          </cell>
          <cell r="L44" t="str">
            <v>SP</v>
          </cell>
          <cell r="M44" t="str">
            <v>05432-043</v>
          </cell>
          <cell r="N44" t="str">
            <v>Brazil</v>
          </cell>
        </row>
        <row r="45">
          <cell r="A45">
            <v>10291</v>
          </cell>
          <cell r="B45" t="str">
            <v>QUEDE</v>
          </cell>
          <cell r="C45">
            <v>6</v>
          </cell>
          <cell r="D45">
            <v>35304</v>
          </cell>
          <cell r="E45">
            <v>35332</v>
          </cell>
          <cell r="F45">
            <v>35312</v>
          </cell>
          <cell r="G45">
            <v>2</v>
          </cell>
          <cell r="H45">
            <v>6.4</v>
          </cell>
          <cell r="I45" t="str">
            <v>Que Delícia</v>
          </cell>
          <cell r="J45" t="str">
            <v>Rua da Panificadora, 12</v>
          </cell>
          <cell r="K45" t="str">
            <v>Rio de Janeiro</v>
          </cell>
          <cell r="L45" t="str">
            <v>RJ</v>
          </cell>
          <cell r="M45" t="str">
            <v>02389-673</v>
          </cell>
          <cell r="N45" t="str">
            <v>Brazil</v>
          </cell>
        </row>
        <row r="46">
          <cell r="A46">
            <v>10292</v>
          </cell>
          <cell r="B46" t="str">
            <v>TRADH</v>
          </cell>
          <cell r="C46">
            <v>1</v>
          </cell>
          <cell r="D46">
            <v>35305</v>
          </cell>
          <cell r="E46">
            <v>35333</v>
          </cell>
          <cell r="F46">
            <v>35310</v>
          </cell>
          <cell r="G46">
            <v>2</v>
          </cell>
          <cell r="H46">
            <v>1.35</v>
          </cell>
          <cell r="I46" t="str">
            <v>Tradiçao Hipermercados</v>
          </cell>
          <cell r="J46" t="str">
            <v>Av. Inês de Castro, 414</v>
          </cell>
          <cell r="K46" t="str">
            <v>Sao Paulo</v>
          </cell>
          <cell r="L46" t="str">
            <v>SP</v>
          </cell>
          <cell r="M46" t="str">
            <v>05634-030</v>
          </cell>
          <cell r="N46" t="str">
            <v>Brazil</v>
          </cell>
        </row>
        <row r="47">
          <cell r="A47">
            <v>10293</v>
          </cell>
          <cell r="B47" t="str">
            <v>TORTU</v>
          </cell>
          <cell r="C47">
            <v>1</v>
          </cell>
          <cell r="D47">
            <v>35306</v>
          </cell>
          <cell r="E47">
            <v>35334</v>
          </cell>
          <cell r="F47">
            <v>35319</v>
          </cell>
          <cell r="G47">
            <v>3</v>
          </cell>
          <cell r="H47">
            <v>21.18</v>
          </cell>
          <cell r="I47" t="str">
            <v>Tortuga Restaurante</v>
          </cell>
          <cell r="J47" t="str">
            <v>Avda. Azteca 123</v>
          </cell>
          <cell r="K47" t="str">
            <v>México D.F.</v>
          </cell>
          <cell r="M47" t="str">
            <v>05033</v>
          </cell>
          <cell r="N47" t="str">
            <v>Mexico</v>
          </cell>
        </row>
        <row r="48">
          <cell r="A48">
            <v>10294</v>
          </cell>
          <cell r="B48" t="str">
            <v>RATTC</v>
          </cell>
          <cell r="C48">
            <v>4</v>
          </cell>
          <cell r="D48">
            <v>35307</v>
          </cell>
          <cell r="E48">
            <v>35335</v>
          </cell>
          <cell r="F48">
            <v>35313</v>
          </cell>
          <cell r="G48">
            <v>2</v>
          </cell>
          <cell r="H48">
            <v>147.26</v>
          </cell>
          <cell r="I48" t="str">
            <v>Rattlesnake Canyon Grocery</v>
          </cell>
          <cell r="J48" t="str">
            <v>2817 Milton Dr.</v>
          </cell>
          <cell r="K48" t="str">
            <v>Albuquerque</v>
          </cell>
          <cell r="L48" t="str">
            <v>NM</v>
          </cell>
          <cell r="M48" t="str">
            <v>87110</v>
          </cell>
          <cell r="N48" t="str">
            <v>USA</v>
          </cell>
        </row>
        <row r="49">
          <cell r="A49">
            <v>10295</v>
          </cell>
          <cell r="B49" t="str">
            <v>VINET</v>
          </cell>
          <cell r="C49">
            <v>2</v>
          </cell>
          <cell r="D49">
            <v>35310</v>
          </cell>
          <cell r="E49">
            <v>35338</v>
          </cell>
          <cell r="F49">
            <v>35318</v>
          </cell>
          <cell r="G49">
            <v>2</v>
          </cell>
          <cell r="H49">
            <v>1.1499999999999999</v>
          </cell>
          <cell r="I49" t="str">
            <v>Vins et alcools Chevalier</v>
          </cell>
          <cell r="J49" t="str">
            <v>59 rue de l'Abbaye</v>
          </cell>
          <cell r="K49" t="str">
            <v>Reims</v>
          </cell>
          <cell r="M49" t="str">
            <v>51100</v>
          </cell>
          <cell r="N49" t="str">
            <v>France</v>
          </cell>
        </row>
        <row r="50">
          <cell r="A50">
            <v>10296</v>
          </cell>
          <cell r="B50" t="str">
            <v>LILAS</v>
          </cell>
          <cell r="C50">
            <v>6</v>
          </cell>
          <cell r="D50">
            <v>35311</v>
          </cell>
          <cell r="E50">
            <v>35339</v>
          </cell>
          <cell r="F50">
            <v>35319</v>
          </cell>
          <cell r="G50">
            <v>1</v>
          </cell>
          <cell r="H50">
            <v>0.12</v>
          </cell>
          <cell r="I50" t="str">
            <v>LILA-Supermercado</v>
          </cell>
          <cell r="J50" t="str">
            <v>Carrera 52 con Ave. Bolívar #65-98 Llano Largo</v>
          </cell>
          <cell r="K50" t="str">
            <v>Barquisimeto</v>
          </cell>
          <cell r="L50" t="str">
            <v>Lara</v>
          </cell>
          <cell r="M50" t="str">
            <v>3508</v>
          </cell>
          <cell r="N50" t="str">
            <v>Venezuela</v>
          </cell>
        </row>
        <row r="51">
          <cell r="A51">
            <v>10297</v>
          </cell>
          <cell r="B51" t="str">
            <v>BLONP</v>
          </cell>
          <cell r="C51">
            <v>5</v>
          </cell>
          <cell r="D51">
            <v>35312</v>
          </cell>
          <cell r="E51">
            <v>35354</v>
          </cell>
          <cell r="F51">
            <v>35318</v>
          </cell>
          <cell r="G51">
            <v>2</v>
          </cell>
          <cell r="H51">
            <v>5.74</v>
          </cell>
          <cell r="I51" t="str">
            <v>Blondel père et fils</v>
          </cell>
          <cell r="J51" t="str">
            <v>24, place Kléber</v>
          </cell>
          <cell r="K51" t="str">
            <v>Strasbourg</v>
          </cell>
          <cell r="M51" t="str">
            <v>67000</v>
          </cell>
          <cell r="N51" t="str">
            <v>France</v>
          </cell>
        </row>
        <row r="52">
          <cell r="A52">
            <v>10298</v>
          </cell>
          <cell r="B52" t="str">
            <v>HUNGO</v>
          </cell>
          <cell r="C52">
            <v>6</v>
          </cell>
          <cell r="D52">
            <v>35313</v>
          </cell>
          <cell r="E52">
            <v>35341</v>
          </cell>
          <cell r="F52">
            <v>35319</v>
          </cell>
          <cell r="G52">
            <v>2</v>
          </cell>
          <cell r="H52">
            <v>168.22</v>
          </cell>
          <cell r="I52" t="str">
            <v>Hungry Owl All-Night Grocers</v>
          </cell>
          <cell r="J52" t="str">
            <v>8 Johnstown Road</v>
          </cell>
          <cell r="K52" t="str">
            <v>Cork</v>
          </cell>
          <cell r="L52" t="str">
            <v>Co. Cork</v>
          </cell>
          <cell r="N52" t="str">
            <v>Ireland</v>
          </cell>
        </row>
        <row r="53">
          <cell r="A53">
            <v>10299</v>
          </cell>
          <cell r="B53" t="str">
            <v>RICAR</v>
          </cell>
          <cell r="C53">
            <v>4</v>
          </cell>
          <cell r="D53">
            <v>35314</v>
          </cell>
          <cell r="E53">
            <v>35342</v>
          </cell>
          <cell r="F53">
            <v>35321</v>
          </cell>
          <cell r="G53">
            <v>2</v>
          </cell>
          <cell r="H53">
            <v>29.76</v>
          </cell>
          <cell r="I53" t="str">
            <v>Ricardo Adocicados</v>
          </cell>
          <cell r="J53" t="str">
            <v>Av. Copacabana, 267</v>
          </cell>
          <cell r="K53" t="str">
            <v>Rio de Janeiro</v>
          </cell>
          <cell r="L53" t="str">
            <v>RJ</v>
          </cell>
          <cell r="M53" t="str">
            <v>02389-890</v>
          </cell>
          <cell r="N53" t="str">
            <v>Brazil</v>
          </cell>
        </row>
        <row r="54">
          <cell r="A54">
            <v>10300</v>
          </cell>
          <cell r="B54" t="str">
            <v>MAGAA</v>
          </cell>
          <cell r="C54">
            <v>2</v>
          </cell>
          <cell r="D54">
            <v>35317</v>
          </cell>
          <cell r="E54">
            <v>35345</v>
          </cell>
          <cell r="F54">
            <v>35326</v>
          </cell>
          <cell r="G54">
            <v>2</v>
          </cell>
          <cell r="H54">
            <v>17.68</v>
          </cell>
          <cell r="I54" t="str">
            <v>Magazzini Alimentari Riuniti</v>
          </cell>
          <cell r="J54" t="str">
            <v>Via Ludovico il Moro 22</v>
          </cell>
          <cell r="K54" t="str">
            <v>Bergamo</v>
          </cell>
          <cell r="M54" t="str">
            <v>24100</v>
          </cell>
          <cell r="N54" t="str">
            <v>Italy</v>
          </cell>
        </row>
        <row r="55">
          <cell r="A55">
            <v>10301</v>
          </cell>
          <cell r="B55" t="str">
            <v>WANDK</v>
          </cell>
          <cell r="C55">
            <v>8</v>
          </cell>
          <cell r="D55">
            <v>35317</v>
          </cell>
          <cell r="E55">
            <v>35345</v>
          </cell>
          <cell r="F55">
            <v>35325</v>
          </cell>
          <cell r="G55">
            <v>2</v>
          </cell>
          <cell r="H55">
            <v>45.08</v>
          </cell>
          <cell r="I55" t="str">
            <v>Die Wandernde Kuh</v>
          </cell>
          <cell r="J55" t="str">
            <v>Adenauerallee 900</v>
          </cell>
          <cell r="K55" t="str">
            <v>Stuttgart</v>
          </cell>
          <cell r="M55" t="str">
            <v>70563</v>
          </cell>
          <cell r="N55" t="str">
            <v>Germany</v>
          </cell>
        </row>
        <row r="56">
          <cell r="A56">
            <v>10302</v>
          </cell>
          <cell r="B56" t="str">
            <v>SUPRD</v>
          </cell>
          <cell r="C56">
            <v>4</v>
          </cell>
          <cell r="D56">
            <v>35318</v>
          </cell>
          <cell r="E56">
            <v>35346</v>
          </cell>
          <cell r="F56">
            <v>35347</v>
          </cell>
          <cell r="G56">
            <v>2</v>
          </cell>
          <cell r="H56">
            <v>6.27</v>
          </cell>
          <cell r="I56" t="str">
            <v>Suprêmes délices</v>
          </cell>
          <cell r="J56" t="str">
            <v>Boulevard Tirou, 255</v>
          </cell>
          <cell r="K56" t="str">
            <v>Charleroi</v>
          </cell>
          <cell r="M56" t="str">
            <v>B-6000</v>
          </cell>
          <cell r="N56" t="str">
            <v>Belgium</v>
          </cell>
        </row>
        <row r="57">
          <cell r="A57">
            <v>10303</v>
          </cell>
          <cell r="B57" t="str">
            <v>GODOS</v>
          </cell>
          <cell r="C57">
            <v>7</v>
          </cell>
          <cell r="D57">
            <v>35319</v>
          </cell>
          <cell r="E57">
            <v>35347</v>
          </cell>
          <cell r="F57">
            <v>35326</v>
          </cell>
          <cell r="G57">
            <v>2</v>
          </cell>
          <cell r="H57">
            <v>107.83</v>
          </cell>
          <cell r="I57" t="str">
            <v>Godos Cocina Típica</v>
          </cell>
          <cell r="J57" t="str">
            <v>C/ Romero, 33</v>
          </cell>
          <cell r="K57" t="str">
            <v>Sevilla</v>
          </cell>
          <cell r="M57" t="str">
            <v>41101</v>
          </cell>
          <cell r="N57" t="str">
            <v>Spain</v>
          </cell>
        </row>
        <row r="58">
          <cell r="A58">
            <v>10304</v>
          </cell>
          <cell r="B58" t="str">
            <v>TORTU</v>
          </cell>
          <cell r="C58">
            <v>1</v>
          </cell>
          <cell r="D58">
            <v>35320</v>
          </cell>
          <cell r="E58">
            <v>35348</v>
          </cell>
          <cell r="F58">
            <v>35325</v>
          </cell>
          <cell r="G58">
            <v>2</v>
          </cell>
          <cell r="H58">
            <v>63.79</v>
          </cell>
          <cell r="I58" t="str">
            <v>Tortuga Restaurante</v>
          </cell>
          <cell r="J58" t="str">
            <v>Avda. Azteca 123</v>
          </cell>
          <cell r="K58" t="str">
            <v>México D.F.</v>
          </cell>
          <cell r="M58" t="str">
            <v>05033</v>
          </cell>
          <cell r="N58" t="str">
            <v>Mexico</v>
          </cell>
        </row>
        <row r="59">
          <cell r="A59">
            <v>10305</v>
          </cell>
          <cell r="B59" t="str">
            <v>OLDWO</v>
          </cell>
          <cell r="C59">
            <v>8</v>
          </cell>
          <cell r="D59">
            <v>35321</v>
          </cell>
          <cell r="E59">
            <v>35349</v>
          </cell>
          <cell r="F59">
            <v>35347</v>
          </cell>
          <cell r="G59">
            <v>3</v>
          </cell>
          <cell r="H59">
            <v>257.62</v>
          </cell>
          <cell r="I59" t="str">
            <v>Old World Delicatessen</v>
          </cell>
          <cell r="J59" t="str">
            <v>2743 Bering St.</v>
          </cell>
          <cell r="K59" t="str">
            <v>Anchorage</v>
          </cell>
          <cell r="L59" t="str">
            <v>AK</v>
          </cell>
          <cell r="M59" t="str">
            <v>99508</v>
          </cell>
          <cell r="N59" t="str">
            <v>USA</v>
          </cell>
        </row>
        <row r="60">
          <cell r="A60">
            <v>10306</v>
          </cell>
          <cell r="B60" t="str">
            <v>ROMEY</v>
          </cell>
          <cell r="C60">
            <v>1</v>
          </cell>
          <cell r="D60">
            <v>35324</v>
          </cell>
          <cell r="E60">
            <v>35352</v>
          </cell>
          <cell r="F60">
            <v>35331</v>
          </cell>
          <cell r="G60">
            <v>3</v>
          </cell>
          <cell r="H60">
            <v>7.56</v>
          </cell>
          <cell r="I60" t="str">
            <v>Romero y tomillo</v>
          </cell>
          <cell r="J60" t="str">
            <v>Gran Vía, 1</v>
          </cell>
          <cell r="K60" t="str">
            <v>Madrid</v>
          </cell>
          <cell r="M60" t="str">
            <v>28001</v>
          </cell>
          <cell r="N60" t="str">
            <v>Spain</v>
          </cell>
        </row>
        <row r="61">
          <cell r="A61">
            <v>10307</v>
          </cell>
          <cell r="B61" t="str">
            <v>LONEP</v>
          </cell>
          <cell r="C61">
            <v>2</v>
          </cell>
          <cell r="D61">
            <v>35325</v>
          </cell>
          <cell r="E61">
            <v>35353</v>
          </cell>
          <cell r="F61">
            <v>35333</v>
          </cell>
          <cell r="G61">
            <v>2</v>
          </cell>
          <cell r="H61">
            <v>0.56000000000000005</v>
          </cell>
          <cell r="I61" t="str">
            <v>Lonesome Pine Restaurant</v>
          </cell>
          <cell r="J61" t="str">
            <v>89 Chiaroscuro Rd.</v>
          </cell>
          <cell r="K61" t="str">
            <v>Portland</v>
          </cell>
          <cell r="L61" t="str">
            <v>OR</v>
          </cell>
          <cell r="M61" t="str">
            <v>97219</v>
          </cell>
          <cell r="N61" t="str">
            <v>USA</v>
          </cell>
        </row>
        <row r="62">
          <cell r="A62">
            <v>10308</v>
          </cell>
          <cell r="B62" t="str">
            <v>ANATR</v>
          </cell>
          <cell r="C62">
            <v>7</v>
          </cell>
          <cell r="D62">
            <v>35326</v>
          </cell>
          <cell r="E62">
            <v>35354</v>
          </cell>
          <cell r="F62">
            <v>35332</v>
          </cell>
          <cell r="G62">
            <v>3</v>
          </cell>
          <cell r="H62">
            <v>1.61</v>
          </cell>
          <cell r="I62" t="str">
            <v>Ana Trujillo Emparedados y helados</v>
          </cell>
          <cell r="J62" t="str">
            <v>Avda. de la Constitución 2222</v>
          </cell>
          <cell r="K62" t="str">
            <v>México D.F.</v>
          </cell>
          <cell r="M62" t="str">
            <v>05021</v>
          </cell>
          <cell r="N62" t="str">
            <v>Mexico</v>
          </cell>
        </row>
        <row r="63">
          <cell r="A63">
            <v>10309</v>
          </cell>
          <cell r="B63" t="str">
            <v>HUNGO</v>
          </cell>
          <cell r="C63">
            <v>3</v>
          </cell>
          <cell r="D63">
            <v>35327</v>
          </cell>
          <cell r="E63">
            <v>35355</v>
          </cell>
          <cell r="F63">
            <v>35361</v>
          </cell>
          <cell r="G63">
            <v>1</v>
          </cell>
          <cell r="H63">
            <v>47.3</v>
          </cell>
          <cell r="I63" t="str">
            <v>Hungry Owl All-Night Grocers</v>
          </cell>
          <cell r="J63" t="str">
            <v>8 Johnstown Road</v>
          </cell>
          <cell r="K63" t="str">
            <v>Cork</v>
          </cell>
          <cell r="L63" t="str">
            <v>Co. Cork</v>
          </cell>
          <cell r="N63" t="str">
            <v>Ireland</v>
          </cell>
        </row>
        <row r="64">
          <cell r="A64">
            <v>10310</v>
          </cell>
          <cell r="B64" t="str">
            <v>THEBI</v>
          </cell>
          <cell r="C64">
            <v>8</v>
          </cell>
          <cell r="D64">
            <v>35328</v>
          </cell>
          <cell r="E64">
            <v>35356</v>
          </cell>
          <cell r="F64">
            <v>35335</v>
          </cell>
          <cell r="G64">
            <v>2</v>
          </cell>
          <cell r="H64">
            <v>17.52</v>
          </cell>
          <cell r="I64" t="str">
            <v>The Big Cheese</v>
          </cell>
          <cell r="J64" t="str">
            <v>89 Jefferson Way Suite 2</v>
          </cell>
          <cell r="K64" t="str">
            <v>Portland</v>
          </cell>
          <cell r="L64" t="str">
            <v>OR</v>
          </cell>
          <cell r="M64" t="str">
            <v>97201</v>
          </cell>
          <cell r="N64" t="str">
            <v>USA</v>
          </cell>
        </row>
        <row r="65">
          <cell r="A65">
            <v>10311</v>
          </cell>
          <cell r="B65" t="str">
            <v>DUMON</v>
          </cell>
          <cell r="C65">
            <v>1</v>
          </cell>
          <cell r="D65">
            <v>35328</v>
          </cell>
          <cell r="E65">
            <v>35342</v>
          </cell>
          <cell r="F65">
            <v>35334</v>
          </cell>
          <cell r="G65">
            <v>3</v>
          </cell>
          <cell r="H65">
            <v>24.69</v>
          </cell>
          <cell r="I65" t="str">
            <v>Du monde entier</v>
          </cell>
          <cell r="J65" t="str">
            <v>67, rue des Cinquante Otages</v>
          </cell>
          <cell r="K65" t="str">
            <v>Nantes</v>
          </cell>
          <cell r="M65" t="str">
            <v>44000</v>
          </cell>
          <cell r="N65" t="str">
            <v>France</v>
          </cell>
        </row>
        <row r="66">
          <cell r="A66">
            <v>10312</v>
          </cell>
          <cell r="B66" t="str">
            <v>WANDK</v>
          </cell>
          <cell r="C66">
            <v>2</v>
          </cell>
          <cell r="D66">
            <v>35331</v>
          </cell>
          <cell r="E66">
            <v>35359</v>
          </cell>
          <cell r="F66">
            <v>35341</v>
          </cell>
          <cell r="G66">
            <v>2</v>
          </cell>
          <cell r="H66">
            <v>40.26</v>
          </cell>
          <cell r="I66" t="str">
            <v>Die Wandernde Kuh</v>
          </cell>
          <cell r="J66" t="str">
            <v>Adenauerallee 900</v>
          </cell>
          <cell r="K66" t="str">
            <v>Stuttgart</v>
          </cell>
          <cell r="M66" t="str">
            <v>70563</v>
          </cell>
          <cell r="N66" t="str">
            <v>Germany</v>
          </cell>
        </row>
        <row r="67">
          <cell r="A67">
            <v>10313</v>
          </cell>
          <cell r="B67" t="str">
            <v>QUICK</v>
          </cell>
          <cell r="C67">
            <v>2</v>
          </cell>
          <cell r="D67">
            <v>35332</v>
          </cell>
          <cell r="E67">
            <v>35360</v>
          </cell>
          <cell r="F67">
            <v>35342</v>
          </cell>
          <cell r="G67">
            <v>2</v>
          </cell>
          <cell r="H67">
            <v>1.96</v>
          </cell>
          <cell r="I67" t="str">
            <v>QUICK-Stop</v>
          </cell>
          <cell r="J67" t="str">
            <v>Taucherstraße 10</v>
          </cell>
          <cell r="K67" t="str">
            <v>Cunewalde</v>
          </cell>
          <cell r="M67" t="str">
            <v>01307</v>
          </cell>
          <cell r="N67" t="str">
            <v>Germany</v>
          </cell>
        </row>
        <row r="68">
          <cell r="A68">
            <v>10314</v>
          </cell>
          <cell r="B68" t="str">
            <v>RATTC</v>
          </cell>
          <cell r="C68">
            <v>1</v>
          </cell>
          <cell r="D68">
            <v>35333</v>
          </cell>
          <cell r="E68">
            <v>35361</v>
          </cell>
          <cell r="F68">
            <v>35342</v>
          </cell>
          <cell r="G68">
            <v>2</v>
          </cell>
          <cell r="H68">
            <v>74.16</v>
          </cell>
          <cell r="I68" t="str">
            <v>Rattlesnake Canyon Grocery</v>
          </cell>
          <cell r="J68" t="str">
            <v>2817 Milton Dr.</v>
          </cell>
          <cell r="K68" t="str">
            <v>Albuquerque</v>
          </cell>
          <cell r="L68" t="str">
            <v>NM</v>
          </cell>
          <cell r="M68" t="str">
            <v>87110</v>
          </cell>
          <cell r="N68" t="str">
            <v>USA</v>
          </cell>
        </row>
        <row r="69">
          <cell r="A69">
            <v>10315</v>
          </cell>
          <cell r="B69" t="str">
            <v>ISLAT</v>
          </cell>
          <cell r="C69">
            <v>4</v>
          </cell>
          <cell r="D69">
            <v>35334</v>
          </cell>
          <cell r="E69">
            <v>35362</v>
          </cell>
          <cell r="F69">
            <v>35341</v>
          </cell>
          <cell r="G69">
            <v>2</v>
          </cell>
          <cell r="H69">
            <v>41.76</v>
          </cell>
          <cell r="I69" t="str">
            <v>Island Trading</v>
          </cell>
          <cell r="J69" t="str">
            <v>Garden House Crowther Way</v>
          </cell>
          <cell r="K69" t="str">
            <v>Cowes</v>
          </cell>
          <cell r="L69" t="str">
            <v>Isle of Wight</v>
          </cell>
          <cell r="M69" t="str">
            <v>PO31 7PJ</v>
          </cell>
          <cell r="N69" t="str">
            <v>UK</v>
          </cell>
        </row>
        <row r="70">
          <cell r="A70">
            <v>10316</v>
          </cell>
          <cell r="B70" t="str">
            <v>RATTC</v>
          </cell>
          <cell r="C70">
            <v>1</v>
          </cell>
          <cell r="D70">
            <v>35335</v>
          </cell>
          <cell r="E70">
            <v>35363</v>
          </cell>
          <cell r="F70">
            <v>35346</v>
          </cell>
          <cell r="G70">
            <v>3</v>
          </cell>
          <cell r="H70">
            <v>150.15</v>
          </cell>
          <cell r="I70" t="str">
            <v>Rattlesnake Canyon Grocery</v>
          </cell>
          <cell r="J70" t="str">
            <v>2817 Milton Dr.</v>
          </cell>
          <cell r="K70" t="str">
            <v>Albuquerque</v>
          </cell>
          <cell r="L70" t="str">
            <v>NM</v>
          </cell>
          <cell r="M70" t="str">
            <v>87110</v>
          </cell>
          <cell r="N70" t="str">
            <v>USA</v>
          </cell>
        </row>
        <row r="71">
          <cell r="A71">
            <v>10317</v>
          </cell>
          <cell r="B71" t="str">
            <v>LONEP</v>
          </cell>
          <cell r="C71">
            <v>6</v>
          </cell>
          <cell r="D71">
            <v>35338</v>
          </cell>
          <cell r="E71">
            <v>35366</v>
          </cell>
          <cell r="F71">
            <v>35348</v>
          </cell>
          <cell r="G71">
            <v>1</v>
          </cell>
          <cell r="H71">
            <v>12.69</v>
          </cell>
          <cell r="I71" t="str">
            <v>Lonesome Pine Restaurant</v>
          </cell>
          <cell r="J71" t="str">
            <v>89 Chiaroscuro Rd.</v>
          </cell>
          <cell r="K71" t="str">
            <v>Portland</v>
          </cell>
          <cell r="L71" t="str">
            <v>OR</v>
          </cell>
          <cell r="M71" t="str">
            <v>97219</v>
          </cell>
          <cell r="N71" t="str">
            <v>USA</v>
          </cell>
        </row>
        <row r="72">
          <cell r="A72">
            <v>10318</v>
          </cell>
          <cell r="B72" t="str">
            <v>ISLAT</v>
          </cell>
          <cell r="C72">
            <v>8</v>
          </cell>
          <cell r="D72">
            <v>35339</v>
          </cell>
          <cell r="E72">
            <v>35367</v>
          </cell>
          <cell r="F72">
            <v>35342</v>
          </cell>
          <cell r="G72">
            <v>2</v>
          </cell>
          <cell r="H72">
            <v>4.7300000000000004</v>
          </cell>
          <cell r="I72" t="str">
            <v>Island Trading</v>
          </cell>
          <cell r="J72" t="str">
            <v>Garden House Crowther Way</v>
          </cell>
          <cell r="K72" t="str">
            <v>Cowes</v>
          </cell>
          <cell r="L72" t="str">
            <v>Isle of Wight</v>
          </cell>
          <cell r="M72" t="str">
            <v>PO31 7PJ</v>
          </cell>
          <cell r="N72" t="str">
            <v>UK</v>
          </cell>
        </row>
        <row r="73">
          <cell r="A73">
            <v>10319</v>
          </cell>
          <cell r="B73" t="str">
            <v>TORTU</v>
          </cell>
          <cell r="C73">
            <v>7</v>
          </cell>
          <cell r="D73">
            <v>35340</v>
          </cell>
          <cell r="E73">
            <v>35368</v>
          </cell>
          <cell r="F73">
            <v>35349</v>
          </cell>
          <cell r="G73">
            <v>3</v>
          </cell>
          <cell r="H73">
            <v>64.5</v>
          </cell>
          <cell r="I73" t="str">
            <v>Tortuga Restaurante</v>
          </cell>
          <cell r="J73" t="str">
            <v>Avda. Azteca 123</v>
          </cell>
          <cell r="K73" t="str">
            <v>México D.F.</v>
          </cell>
          <cell r="M73" t="str">
            <v>05033</v>
          </cell>
          <cell r="N73" t="str">
            <v>Mexico</v>
          </cell>
        </row>
        <row r="74">
          <cell r="A74">
            <v>10320</v>
          </cell>
          <cell r="B74" t="str">
            <v>WARTH</v>
          </cell>
          <cell r="C74">
            <v>5</v>
          </cell>
          <cell r="D74">
            <v>35341</v>
          </cell>
          <cell r="E74">
            <v>35355</v>
          </cell>
          <cell r="F74">
            <v>35356</v>
          </cell>
          <cell r="G74">
            <v>3</v>
          </cell>
          <cell r="H74">
            <v>34.57</v>
          </cell>
          <cell r="I74" t="str">
            <v>Wartian Herkku</v>
          </cell>
          <cell r="J74" t="str">
            <v>Torikatu 38</v>
          </cell>
          <cell r="K74" t="str">
            <v>Oulu</v>
          </cell>
          <cell r="M74" t="str">
            <v>90110</v>
          </cell>
          <cell r="N74" t="str">
            <v>Finland</v>
          </cell>
        </row>
        <row r="75">
          <cell r="A75">
            <v>10321</v>
          </cell>
          <cell r="B75" t="str">
            <v>ISLAT</v>
          </cell>
          <cell r="C75">
            <v>3</v>
          </cell>
          <cell r="D75">
            <v>35341</v>
          </cell>
          <cell r="E75">
            <v>35369</v>
          </cell>
          <cell r="F75">
            <v>35349</v>
          </cell>
          <cell r="G75">
            <v>2</v>
          </cell>
          <cell r="H75">
            <v>3.43</v>
          </cell>
          <cell r="I75" t="str">
            <v>Island Trading</v>
          </cell>
          <cell r="J75" t="str">
            <v>Garden House Crowther Way</v>
          </cell>
          <cell r="K75" t="str">
            <v>Cowes</v>
          </cell>
          <cell r="L75" t="str">
            <v>Isle of Wight</v>
          </cell>
          <cell r="M75" t="str">
            <v>PO31 7PJ</v>
          </cell>
          <cell r="N75" t="str">
            <v>UK</v>
          </cell>
        </row>
        <row r="76">
          <cell r="A76">
            <v>10322</v>
          </cell>
          <cell r="B76" t="str">
            <v>PERIC</v>
          </cell>
          <cell r="C76">
            <v>7</v>
          </cell>
          <cell r="D76">
            <v>35342</v>
          </cell>
          <cell r="E76">
            <v>35370</v>
          </cell>
          <cell r="F76">
            <v>35361</v>
          </cell>
          <cell r="G76">
            <v>3</v>
          </cell>
          <cell r="H76">
            <v>0.4</v>
          </cell>
          <cell r="I76" t="str">
            <v>Pericles Comidas clásicas</v>
          </cell>
          <cell r="J76" t="str">
            <v>Calle Dr. Jorge Cash 321</v>
          </cell>
          <cell r="K76" t="str">
            <v>México D.F.</v>
          </cell>
          <cell r="M76" t="str">
            <v>05033</v>
          </cell>
          <cell r="N76" t="str">
            <v>Mexico</v>
          </cell>
        </row>
        <row r="77">
          <cell r="A77">
            <v>10323</v>
          </cell>
          <cell r="B77" t="str">
            <v>KOENE</v>
          </cell>
          <cell r="C77">
            <v>4</v>
          </cell>
          <cell r="D77">
            <v>35345</v>
          </cell>
          <cell r="E77">
            <v>35373</v>
          </cell>
          <cell r="F77">
            <v>35352</v>
          </cell>
          <cell r="G77">
            <v>1</v>
          </cell>
          <cell r="H77">
            <v>4.88</v>
          </cell>
          <cell r="I77" t="str">
            <v>Königlich Essen</v>
          </cell>
          <cell r="J77" t="str">
            <v>Maubelstr. 90</v>
          </cell>
          <cell r="K77" t="str">
            <v>Brandenburg</v>
          </cell>
          <cell r="M77" t="str">
            <v>14776</v>
          </cell>
          <cell r="N77" t="str">
            <v>Germany</v>
          </cell>
        </row>
        <row r="78">
          <cell r="A78">
            <v>10324</v>
          </cell>
          <cell r="B78" t="str">
            <v>SAVEA</v>
          </cell>
          <cell r="C78">
            <v>9</v>
          </cell>
          <cell r="D78">
            <v>35346</v>
          </cell>
          <cell r="E78">
            <v>35374</v>
          </cell>
          <cell r="F78">
            <v>35348</v>
          </cell>
          <cell r="G78">
            <v>1</v>
          </cell>
          <cell r="H78">
            <v>214.27</v>
          </cell>
          <cell r="I78" t="str">
            <v>Save-a-lot Markets</v>
          </cell>
          <cell r="J78" t="str">
            <v>187 Suffolk Ln.</v>
          </cell>
          <cell r="K78" t="str">
            <v>Boise</v>
          </cell>
          <cell r="L78" t="str">
            <v>ID</v>
          </cell>
          <cell r="M78" t="str">
            <v>83720</v>
          </cell>
          <cell r="N78" t="str">
            <v>USA</v>
          </cell>
        </row>
        <row r="79">
          <cell r="A79">
            <v>10325</v>
          </cell>
          <cell r="B79" t="str">
            <v>KOENE</v>
          </cell>
          <cell r="C79">
            <v>1</v>
          </cell>
          <cell r="D79">
            <v>35347</v>
          </cell>
          <cell r="E79">
            <v>35361</v>
          </cell>
          <cell r="F79">
            <v>35352</v>
          </cell>
          <cell r="G79">
            <v>3</v>
          </cell>
          <cell r="H79">
            <v>64.86</v>
          </cell>
          <cell r="I79" t="str">
            <v>Königlich Essen</v>
          </cell>
          <cell r="J79" t="str">
            <v>Maubelstr. 90</v>
          </cell>
          <cell r="K79" t="str">
            <v>Brandenburg</v>
          </cell>
          <cell r="M79" t="str">
            <v>14776</v>
          </cell>
          <cell r="N79" t="str">
            <v>Germany</v>
          </cell>
        </row>
        <row r="80">
          <cell r="A80">
            <v>10326</v>
          </cell>
          <cell r="B80" t="str">
            <v>BOLID</v>
          </cell>
          <cell r="C80">
            <v>4</v>
          </cell>
          <cell r="D80">
            <v>35348</v>
          </cell>
          <cell r="E80">
            <v>35376</v>
          </cell>
          <cell r="F80">
            <v>35352</v>
          </cell>
          <cell r="G80">
            <v>2</v>
          </cell>
          <cell r="H80">
            <v>77.92</v>
          </cell>
          <cell r="I80" t="str">
            <v>Bólido Comidas preparadas</v>
          </cell>
          <cell r="J80" t="str">
            <v>C/ Araquil, 67</v>
          </cell>
          <cell r="K80" t="str">
            <v>Madrid</v>
          </cell>
          <cell r="M80" t="str">
            <v>28023</v>
          </cell>
          <cell r="N80" t="str">
            <v>Spain</v>
          </cell>
        </row>
        <row r="81">
          <cell r="A81">
            <v>10327</v>
          </cell>
          <cell r="B81" t="str">
            <v>FOLKO</v>
          </cell>
          <cell r="C81">
            <v>2</v>
          </cell>
          <cell r="D81">
            <v>35349</v>
          </cell>
          <cell r="E81">
            <v>35377</v>
          </cell>
          <cell r="F81">
            <v>35352</v>
          </cell>
          <cell r="G81">
            <v>1</v>
          </cell>
          <cell r="H81">
            <v>63.36</v>
          </cell>
          <cell r="I81" t="str">
            <v>Folk och fä HB</v>
          </cell>
          <cell r="J81" t="str">
            <v>Åkergatan 24</v>
          </cell>
          <cell r="K81" t="str">
            <v>Bräcke</v>
          </cell>
          <cell r="M81" t="str">
            <v>S-844 67</v>
          </cell>
          <cell r="N81" t="str">
            <v>Sweden</v>
          </cell>
        </row>
        <row r="82">
          <cell r="A82">
            <v>10328</v>
          </cell>
          <cell r="B82" t="str">
            <v>FURIB</v>
          </cell>
          <cell r="C82">
            <v>4</v>
          </cell>
          <cell r="D82">
            <v>35352</v>
          </cell>
          <cell r="E82">
            <v>35380</v>
          </cell>
          <cell r="F82">
            <v>35355</v>
          </cell>
          <cell r="G82">
            <v>3</v>
          </cell>
          <cell r="H82">
            <v>87.03</v>
          </cell>
          <cell r="I82" t="str">
            <v>Furia Bacalhau e Frutos do Mar</v>
          </cell>
          <cell r="J82" t="str">
            <v>Jardim das rosas n. 32</v>
          </cell>
          <cell r="K82" t="str">
            <v>Lisboa</v>
          </cell>
          <cell r="M82" t="str">
            <v>1675</v>
          </cell>
          <cell r="N82" t="str">
            <v>Portugal</v>
          </cell>
        </row>
        <row r="83">
          <cell r="A83">
            <v>10329</v>
          </cell>
          <cell r="B83" t="str">
            <v>SPLIR</v>
          </cell>
          <cell r="C83">
            <v>4</v>
          </cell>
          <cell r="D83">
            <v>35353</v>
          </cell>
          <cell r="E83">
            <v>35395</v>
          </cell>
          <cell r="F83">
            <v>35361</v>
          </cell>
          <cell r="G83">
            <v>2</v>
          </cell>
          <cell r="H83">
            <v>191.67</v>
          </cell>
          <cell r="I83" t="str">
            <v>Split Rail Beer &amp; Ale</v>
          </cell>
          <cell r="J83" t="str">
            <v>P.O. Box 555</v>
          </cell>
          <cell r="K83" t="str">
            <v>Lander</v>
          </cell>
          <cell r="L83" t="str">
            <v>WY</v>
          </cell>
          <cell r="M83" t="str">
            <v>82520</v>
          </cell>
          <cell r="N83" t="str">
            <v>USA</v>
          </cell>
        </row>
        <row r="84">
          <cell r="A84">
            <v>10330</v>
          </cell>
          <cell r="B84" t="str">
            <v>LILAS</v>
          </cell>
          <cell r="C84">
            <v>3</v>
          </cell>
          <cell r="D84">
            <v>35354</v>
          </cell>
          <cell r="E84">
            <v>35382</v>
          </cell>
          <cell r="F84">
            <v>35366</v>
          </cell>
          <cell r="G84">
            <v>1</v>
          </cell>
          <cell r="H84">
            <v>12.75</v>
          </cell>
          <cell r="I84" t="str">
            <v>LILA-Supermercado</v>
          </cell>
          <cell r="J84" t="str">
            <v>Carrera 52 con Ave. Bolívar #65-98 Llano Largo</v>
          </cell>
          <cell r="K84" t="str">
            <v>Barquisimeto</v>
          </cell>
          <cell r="L84" t="str">
            <v>Lara</v>
          </cell>
          <cell r="M84" t="str">
            <v>3508</v>
          </cell>
          <cell r="N84" t="str">
            <v>Venezuela</v>
          </cell>
        </row>
        <row r="85">
          <cell r="A85">
            <v>10331</v>
          </cell>
          <cell r="B85" t="str">
            <v>BONAP</v>
          </cell>
          <cell r="C85">
            <v>9</v>
          </cell>
          <cell r="D85">
            <v>35354</v>
          </cell>
          <cell r="E85">
            <v>35396</v>
          </cell>
          <cell r="F85">
            <v>35359</v>
          </cell>
          <cell r="G85">
            <v>1</v>
          </cell>
          <cell r="H85">
            <v>10.19</v>
          </cell>
          <cell r="I85" t="str">
            <v>Bon app'</v>
          </cell>
          <cell r="J85" t="str">
            <v>12, rue des Bouchers</v>
          </cell>
          <cell r="K85" t="str">
            <v>Marseille</v>
          </cell>
          <cell r="M85" t="str">
            <v>13008</v>
          </cell>
          <cell r="N85" t="str">
            <v>France</v>
          </cell>
        </row>
        <row r="86">
          <cell r="A86">
            <v>10332</v>
          </cell>
          <cell r="B86" t="str">
            <v>MEREP</v>
          </cell>
          <cell r="C86">
            <v>3</v>
          </cell>
          <cell r="D86">
            <v>35355</v>
          </cell>
          <cell r="E86">
            <v>35397</v>
          </cell>
          <cell r="F86">
            <v>35359</v>
          </cell>
          <cell r="G86">
            <v>2</v>
          </cell>
          <cell r="H86">
            <v>52.84</v>
          </cell>
          <cell r="I86" t="str">
            <v>Mère Paillarde</v>
          </cell>
          <cell r="J86" t="str">
            <v>43 rue St. Laurent</v>
          </cell>
          <cell r="K86" t="str">
            <v>Montréal</v>
          </cell>
          <cell r="L86" t="str">
            <v>Québec</v>
          </cell>
          <cell r="M86" t="str">
            <v>H1J 1C3</v>
          </cell>
          <cell r="N86" t="str">
            <v>Canada</v>
          </cell>
        </row>
        <row r="87">
          <cell r="A87">
            <v>10333</v>
          </cell>
          <cell r="B87" t="str">
            <v>WARTH</v>
          </cell>
          <cell r="C87">
            <v>5</v>
          </cell>
          <cell r="D87">
            <v>35356</v>
          </cell>
          <cell r="E87">
            <v>35384</v>
          </cell>
          <cell r="F87">
            <v>35363</v>
          </cell>
          <cell r="G87">
            <v>3</v>
          </cell>
          <cell r="H87">
            <v>0.59</v>
          </cell>
          <cell r="I87" t="str">
            <v>Wartian Herkku</v>
          </cell>
          <cell r="J87" t="str">
            <v>Torikatu 38</v>
          </cell>
          <cell r="K87" t="str">
            <v>Oulu</v>
          </cell>
          <cell r="M87" t="str">
            <v>90110</v>
          </cell>
          <cell r="N87" t="str">
            <v>Finland</v>
          </cell>
        </row>
        <row r="88">
          <cell r="A88">
            <v>10334</v>
          </cell>
          <cell r="B88" t="str">
            <v>VICTE</v>
          </cell>
          <cell r="C88">
            <v>8</v>
          </cell>
          <cell r="D88">
            <v>35359</v>
          </cell>
          <cell r="E88">
            <v>35387</v>
          </cell>
          <cell r="F88">
            <v>35366</v>
          </cell>
          <cell r="G88">
            <v>2</v>
          </cell>
          <cell r="H88">
            <v>8.56</v>
          </cell>
          <cell r="I88" t="str">
            <v>Victuailles en stock</v>
          </cell>
          <cell r="J88" t="str">
            <v>2, rue du Commerce</v>
          </cell>
          <cell r="K88" t="str">
            <v>Lyon</v>
          </cell>
          <cell r="M88" t="str">
            <v>69004</v>
          </cell>
          <cell r="N88" t="str">
            <v>France</v>
          </cell>
        </row>
        <row r="89">
          <cell r="A89">
            <v>10335</v>
          </cell>
          <cell r="B89" t="str">
            <v>HUNGO</v>
          </cell>
          <cell r="C89">
            <v>7</v>
          </cell>
          <cell r="D89">
            <v>35360</v>
          </cell>
          <cell r="E89">
            <v>35388</v>
          </cell>
          <cell r="F89">
            <v>35362</v>
          </cell>
          <cell r="G89">
            <v>2</v>
          </cell>
          <cell r="H89">
            <v>42.11</v>
          </cell>
          <cell r="I89" t="str">
            <v>Hungry Owl All-Night Grocers</v>
          </cell>
          <cell r="J89" t="str">
            <v>8 Johnstown Road</v>
          </cell>
          <cell r="K89" t="str">
            <v>Cork</v>
          </cell>
          <cell r="L89" t="str">
            <v>Co. Cork</v>
          </cell>
          <cell r="N89" t="str">
            <v>Ireland</v>
          </cell>
        </row>
        <row r="90">
          <cell r="A90">
            <v>10336</v>
          </cell>
          <cell r="B90" t="str">
            <v>PRINI</v>
          </cell>
          <cell r="C90">
            <v>7</v>
          </cell>
          <cell r="D90">
            <v>35361</v>
          </cell>
          <cell r="E90">
            <v>35389</v>
          </cell>
          <cell r="F90">
            <v>35363</v>
          </cell>
          <cell r="G90">
            <v>2</v>
          </cell>
          <cell r="H90">
            <v>15.51</v>
          </cell>
          <cell r="I90" t="str">
            <v>Princesa Isabel Vinhos</v>
          </cell>
          <cell r="J90" t="str">
            <v>Estrada da saúde n. 58</v>
          </cell>
          <cell r="K90" t="str">
            <v>Lisboa</v>
          </cell>
          <cell r="M90" t="str">
            <v>1756</v>
          </cell>
          <cell r="N90" t="str">
            <v>Portugal</v>
          </cell>
        </row>
        <row r="91">
          <cell r="A91">
            <v>10337</v>
          </cell>
          <cell r="B91" t="str">
            <v>FRANK</v>
          </cell>
          <cell r="C91">
            <v>4</v>
          </cell>
          <cell r="D91">
            <v>35362</v>
          </cell>
          <cell r="E91">
            <v>35390</v>
          </cell>
          <cell r="F91">
            <v>35367</v>
          </cell>
          <cell r="G91">
            <v>3</v>
          </cell>
          <cell r="H91">
            <v>108.26</v>
          </cell>
          <cell r="I91" t="str">
            <v>Frankenversand</v>
          </cell>
          <cell r="J91" t="str">
            <v>Berliner Platz 43</v>
          </cell>
          <cell r="K91" t="str">
            <v>München</v>
          </cell>
          <cell r="M91" t="str">
            <v>80805</v>
          </cell>
          <cell r="N91" t="str">
            <v>Germany</v>
          </cell>
        </row>
        <row r="92">
          <cell r="A92">
            <v>10338</v>
          </cell>
          <cell r="B92" t="str">
            <v>OLDWO</v>
          </cell>
          <cell r="C92">
            <v>4</v>
          </cell>
          <cell r="D92">
            <v>35363</v>
          </cell>
          <cell r="E92">
            <v>35391</v>
          </cell>
          <cell r="F92">
            <v>35367</v>
          </cell>
          <cell r="G92">
            <v>3</v>
          </cell>
          <cell r="H92">
            <v>84.21</v>
          </cell>
          <cell r="I92" t="str">
            <v>Old World Delicatessen</v>
          </cell>
          <cell r="J92" t="str">
            <v>2743 Bering St.</v>
          </cell>
          <cell r="K92" t="str">
            <v>Anchorage</v>
          </cell>
          <cell r="L92" t="str">
            <v>AK</v>
          </cell>
          <cell r="M92" t="str">
            <v>99508</v>
          </cell>
          <cell r="N92" t="str">
            <v>USA</v>
          </cell>
        </row>
        <row r="93">
          <cell r="A93">
            <v>10339</v>
          </cell>
          <cell r="B93" t="str">
            <v>MEREP</v>
          </cell>
          <cell r="C93">
            <v>2</v>
          </cell>
          <cell r="D93">
            <v>35366</v>
          </cell>
          <cell r="E93">
            <v>35394</v>
          </cell>
          <cell r="F93">
            <v>35373</v>
          </cell>
          <cell r="G93">
            <v>2</v>
          </cell>
          <cell r="H93">
            <v>15.66</v>
          </cell>
          <cell r="I93" t="str">
            <v>Mère Paillarde</v>
          </cell>
          <cell r="J93" t="str">
            <v>43 rue St. Laurent</v>
          </cell>
          <cell r="K93" t="str">
            <v>Montréal</v>
          </cell>
          <cell r="L93" t="str">
            <v>Québec</v>
          </cell>
          <cell r="M93" t="str">
            <v>H1J 1C3</v>
          </cell>
          <cell r="N93" t="str">
            <v>Canada</v>
          </cell>
        </row>
        <row r="94">
          <cell r="A94">
            <v>10340</v>
          </cell>
          <cell r="B94" t="str">
            <v>BONAP</v>
          </cell>
          <cell r="C94">
            <v>1</v>
          </cell>
          <cell r="D94">
            <v>35367</v>
          </cell>
          <cell r="E94">
            <v>35395</v>
          </cell>
          <cell r="F94">
            <v>35377</v>
          </cell>
          <cell r="G94">
            <v>3</v>
          </cell>
          <cell r="H94">
            <v>166.31</v>
          </cell>
          <cell r="I94" t="str">
            <v>Bon app'</v>
          </cell>
          <cell r="J94" t="str">
            <v>12, rue des Bouchers</v>
          </cell>
          <cell r="K94" t="str">
            <v>Marseille</v>
          </cell>
          <cell r="M94" t="str">
            <v>13008</v>
          </cell>
          <cell r="N94" t="str">
            <v>France</v>
          </cell>
        </row>
        <row r="95">
          <cell r="A95">
            <v>10341</v>
          </cell>
          <cell r="B95" t="str">
            <v>SIMOB</v>
          </cell>
          <cell r="C95">
            <v>7</v>
          </cell>
          <cell r="D95">
            <v>35367</v>
          </cell>
          <cell r="E95">
            <v>35395</v>
          </cell>
          <cell r="F95">
            <v>35374</v>
          </cell>
          <cell r="G95">
            <v>3</v>
          </cell>
          <cell r="H95">
            <v>26.78</v>
          </cell>
          <cell r="I95" t="str">
            <v>Simons bistro</v>
          </cell>
          <cell r="J95" t="str">
            <v>Vinbæltet 34</v>
          </cell>
          <cell r="K95" t="str">
            <v>Kobenhavn</v>
          </cell>
          <cell r="M95" t="str">
            <v>1734</v>
          </cell>
          <cell r="N95" t="str">
            <v>Denmark</v>
          </cell>
        </row>
        <row r="96">
          <cell r="A96">
            <v>10342</v>
          </cell>
          <cell r="B96" t="str">
            <v>FRANK</v>
          </cell>
          <cell r="C96">
            <v>4</v>
          </cell>
          <cell r="D96">
            <v>35368</v>
          </cell>
          <cell r="E96">
            <v>35382</v>
          </cell>
          <cell r="F96">
            <v>35373</v>
          </cell>
          <cell r="G96">
            <v>2</v>
          </cell>
          <cell r="H96">
            <v>54.83</v>
          </cell>
          <cell r="I96" t="str">
            <v>Frankenversand</v>
          </cell>
          <cell r="J96" t="str">
            <v>Berliner Platz 43</v>
          </cell>
          <cell r="K96" t="str">
            <v>München</v>
          </cell>
          <cell r="M96" t="str">
            <v>80805</v>
          </cell>
          <cell r="N96" t="str">
            <v>Germany</v>
          </cell>
        </row>
        <row r="97">
          <cell r="A97">
            <v>10343</v>
          </cell>
          <cell r="B97" t="str">
            <v>LEHMS</v>
          </cell>
          <cell r="C97">
            <v>4</v>
          </cell>
          <cell r="D97">
            <v>35369</v>
          </cell>
          <cell r="E97">
            <v>35397</v>
          </cell>
          <cell r="F97">
            <v>35375</v>
          </cell>
          <cell r="G97">
            <v>1</v>
          </cell>
          <cell r="H97">
            <v>110.37</v>
          </cell>
          <cell r="I97" t="str">
            <v>Lehmanns Marktstand</v>
          </cell>
          <cell r="J97" t="str">
            <v>Magazinweg 7</v>
          </cell>
          <cell r="K97" t="str">
            <v>Frankfurt a.M.</v>
          </cell>
          <cell r="M97" t="str">
            <v>60528</v>
          </cell>
          <cell r="N97" t="str">
            <v>Germany</v>
          </cell>
        </row>
        <row r="98">
          <cell r="A98">
            <v>10344</v>
          </cell>
          <cell r="B98" t="str">
            <v>WHITC</v>
          </cell>
          <cell r="C98">
            <v>4</v>
          </cell>
          <cell r="D98">
            <v>35370</v>
          </cell>
          <cell r="E98">
            <v>35398</v>
          </cell>
          <cell r="F98">
            <v>35374</v>
          </cell>
          <cell r="G98">
            <v>2</v>
          </cell>
          <cell r="H98">
            <v>23.29</v>
          </cell>
          <cell r="I98" t="str">
            <v>White Clover Markets</v>
          </cell>
          <cell r="J98" t="str">
            <v>1029 - 12th Ave. S.</v>
          </cell>
          <cell r="K98" t="str">
            <v>Seattle</v>
          </cell>
          <cell r="L98" t="str">
            <v>WA</v>
          </cell>
          <cell r="M98" t="str">
            <v>98124</v>
          </cell>
          <cell r="N98" t="str">
            <v>USA</v>
          </cell>
        </row>
        <row r="99">
          <cell r="A99">
            <v>10345</v>
          </cell>
          <cell r="B99" t="str">
            <v>QUICK</v>
          </cell>
          <cell r="C99">
            <v>2</v>
          </cell>
          <cell r="D99">
            <v>35373</v>
          </cell>
          <cell r="E99">
            <v>35401</v>
          </cell>
          <cell r="F99">
            <v>35380</v>
          </cell>
          <cell r="G99">
            <v>2</v>
          </cell>
          <cell r="H99">
            <v>249.06</v>
          </cell>
          <cell r="I99" t="str">
            <v>QUICK-Stop</v>
          </cell>
          <cell r="J99" t="str">
            <v>Taucherstraße 10</v>
          </cell>
          <cell r="K99" t="str">
            <v>Cunewalde</v>
          </cell>
          <cell r="M99" t="str">
            <v>01307</v>
          </cell>
          <cell r="N99" t="str">
            <v>Germany</v>
          </cell>
        </row>
        <row r="100">
          <cell r="A100">
            <v>10346</v>
          </cell>
          <cell r="B100" t="str">
            <v>RATTC</v>
          </cell>
          <cell r="C100">
            <v>3</v>
          </cell>
          <cell r="D100">
            <v>35374</v>
          </cell>
          <cell r="E100">
            <v>35416</v>
          </cell>
          <cell r="F100">
            <v>35377</v>
          </cell>
          <cell r="G100">
            <v>3</v>
          </cell>
          <cell r="H100">
            <v>142.08000000000001</v>
          </cell>
          <cell r="I100" t="str">
            <v>Rattlesnake Canyon Grocery</v>
          </cell>
          <cell r="J100" t="str">
            <v>2817 Milton Dr.</v>
          </cell>
          <cell r="K100" t="str">
            <v>Albuquerque</v>
          </cell>
          <cell r="L100" t="str">
            <v>NM</v>
          </cell>
          <cell r="M100" t="str">
            <v>87110</v>
          </cell>
          <cell r="N100" t="str">
            <v>USA</v>
          </cell>
        </row>
        <row r="101">
          <cell r="A101">
            <v>10347</v>
          </cell>
          <cell r="B101" t="str">
            <v>FAMIA</v>
          </cell>
          <cell r="C101">
            <v>4</v>
          </cell>
          <cell r="D101">
            <v>35375</v>
          </cell>
          <cell r="E101">
            <v>35403</v>
          </cell>
          <cell r="F101">
            <v>35377</v>
          </cell>
          <cell r="G101">
            <v>3</v>
          </cell>
          <cell r="H101">
            <v>3.1</v>
          </cell>
          <cell r="I101" t="str">
            <v>Familia Arquibaldo</v>
          </cell>
          <cell r="J101" t="str">
            <v>Rua Orós, 92</v>
          </cell>
          <cell r="K101" t="str">
            <v>Sao Paulo</v>
          </cell>
          <cell r="L101" t="str">
            <v>SP</v>
          </cell>
          <cell r="M101" t="str">
            <v>05442-030</v>
          </cell>
          <cell r="N101" t="str">
            <v>Brazil</v>
          </cell>
        </row>
        <row r="102">
          <cell r="A102">
            <v>10348</v>
          </cell>
          <cell r="B102" t="str">
            <v>WANDK</v>
          </cell>
          <cell r="C102">
            <v>4</v>
          </cell>
          <cell r="D102">
            <v>35376</v>
          </cell>
          <cell r="E102">
            <v>35404</v>
          </cell>
          <cell r="F102">
            <v>35384</v>
          </cell>
          <cell r="G102">
            <v>2</v>
          </cell>
          <cell r="H102">
            <v>0.78</v>
          </cell>
          <cell r="I102" t="str">
            <v>Die Wandernde Kuh</v>
          </cell>
          <cell r="J102" t="str">
            <v>Adenauerallee 900</v>
          </cell>
          <cell r="K102" t="str">
            <v>Stuttgart</v>
          </cell>
          <cell r="M102" t="str">
            <v>70563</v>
          </cell>
          <cell r="N102" t="str">
            <v>Germany</v>
          </cell>
        </row>
        <row r="103">
          <cell r="A103">
            <v>10349</v>
          </cell>
          <cell r="B103" t="str">
            <v>SPLIR</v>
          </cell>
          <cell r="C103">
            <v>7</v>
          </cell>
          <cell r="D103">
            <v>35377</v>
          </cell>
          <cell r="E103">
            <v>35405</v>
          </cell>
          <cell r="F103">
            <v>35384</v>
          </cell>
          <cell r="G103">
            <v>1</v>
          </cell>
          <cell r="H103">
            <v>8.6300000000000008</v>
          </cell>
          <cell r="I103" t="str">
            <v>Split Rail Beer &amp; Ale</v>
          </cell>
          <cell r="J103" t="str">
            <v>P.O. Box 555</v>
          </cell>
          <cell r="K103" t="str">
            <v>Lander</v>
          </cell>
          <cell r="L103" t="str">
            <v>WY</v>
          </cell>
          <cell r="M103" t="str">
            <v>82520</v>
          </cell>
          <cell r="N103" t="str">
            <v>USA</v>
          </cell>
        </row>
        <row r="104">
          <cell r="A104">
            <v>10350</v>
          </cell>
          <cell r="B104" t="str">
            <v>LAMAI</v>
          </cell>
          <cell r="C104">
            <v>6</v>
          </cell>
          <cell r="D104">
            <v>35380</v>
          </cell>
          <cell r="E104">
            <v>35408</v>
          </cell>
          <cell r="F104">
            <v>35402</v>
          </cell>
          <cell r="G104">
            <v>2</v>
          </cell>
          <cell r="H104">
            <v>64.19</v>
          </cell>
          <cell r="I104" t="str">
            <v>La maison d'Asie</v>
          </cell>
          <cell r="J104" t="str">
            <v>1 rue Alsace-Lorraine</v>
          </cell>
          <cell r="K104" t="str">
            <v>Toulouse</v>
          </cell>
          <cell r="M104" t="str">
            <v>31000</v>
          </cell>
          <cell r="N104" t="str">
            <v>France</v>
          </cell>
        </row>
        <row r="105">
          <cell r="A105">
            <v>10351</v>
          </cell>
          <cell r="B105" t="str">
            <v>ERNSH</v>
          </cell>
          <cell r="C105">
            <v>1</v>
          </cell>
          <cell r="D105">
            <v>35380</v>
          </cell>
          <cell r="E105">
            <v>35408</v>
          </cell>
          <cell r="F105">
            <v>35389</v>
          </cell>
          <cell r="G105">
            <v>1</v>
          </cell>
          <cell r="H105">
            <v>162.33000000000001</v>
          </cell>
          <cell r="I105" t="str">
            <v>Ernst Handel</v>
          </cell>
          <cell r="J105" t="str">
            <v>Kirchgasse 6</v>
          </cell>
          <cell r="K105" t="str">
            <v>Graz</v>
          </cell>
          <cell r="M105" t="str">
            <v>8010</v>
          </cell>
          <cell r="N105" t="str">
            <v>Austria</v>
          </cell>
        </row>
        <row r="106">
          <cell r="A106">
            <v>10352</v>
          </cell>
          <cell r="B106" t="str">
            <v>FURIB</v>
          </cell>
          <cell r="C106">
            <v>3</v>
          </cell>
          <cell r="D106">
            <v>35381</v>
          </cell>
          <cell r="E106">
            <v>35395</v>
          </cell>
          <cell r="F106">
            <v>35387</v>
          </cell>
          <cell r="G106">
            <v>3</v>
          </cell>
          <cell r="H106">
            <v>1.3</v>
          </cell>
          <cell r="I106" t="str">
            <v>Furia Bacalhau e Frutos do Mar</v>
          </cell>
          <cell r="J106" t="str">
            <v>Jardim das rosas n. 32</v>
          </cell>
          <cell r="K106" t="str">
            <v>Lisboa</v>
          </cell>
          <cell r="M106" t="str">
            <v>1675</v>
          </cell>
          <cell r="N106" t="str">
            <v>Portugal</v>
          </cell>
        </row>
        <row r="107">
          <cell r="A107">
            <v>10353</v>
          </cell>
          <cell r="B107" t="str">
            <v>PICCO</v>
          </cell>
          <cell r="C107">
            <v>7</v>
          </cell>
          <cell r="D107">
            <v>35382</v>
          </cell>
          <cell r="E107">
            <v>35410</v>
          </cell>
          <cell r="F107">
            <v>35394</v>
          </cell>
          <cell r="G107">
            <v>3</v>
          </cell>
          <cell r="H107">
            <v>360.63</v>
          </cell>
          <cell r="I107" t="str">
            <v>Piccolo und mehr</v>
          </cell>
          <cell r="J107" t="str">
            <v>Geislweg 14</v>
          </cell>
          <cell r="K107" t="str">
            <v>Salzburg</v>
          </cell>
          <cell r="M107" t="str">
            <v>5020</v>
          </cell>
          <cell r="N107" t="str">
            <v>Austria</v>
          </cell>
        </row>
        <row r="108">
          <cell r="A108">
            <v>10354</v>
          </cell>
          <cell r="B108" t="str">
            <v>PERIC</v>
          </cell>
          <cell r="C108">
            <v>8</v>
          </cell>
          <cell r="D108">
            <v>35383</v>
          </cell>
          <cell r="E108">
            <v>35411</v>
          </cell>
          <cell r="F108">
            <v>35389</v>
          </cell>
          <cell r="G108">
            <v>3</v>
          </cell>
          <cell r="H108">
            <v>53.8</v>
          </cell>
          <cell r="I108" t="str">
            <v>Pericles Comidas clásicas</v>
          </cell>
          <cell r="J108" t="str">
            <v>Calle Dr. Jorge Cash 321</v>
          </cell>
          <cell r="K108" t="str">
            <v>México D.F.</v>
          </cell>
          <cell r="M108" t="str">
            <v>05033</v>
          </cell>
          <cell r="N108" t="str">
            <v>Mexico</v>
          </cell>
        </row>
        <row r="109">
          <cell r="A109">
            <v>10355</v>
          </cell>
          <cell r="B109" t="str">
            <v>AROUT</v>
          </cell>
          <cell r="C109">
            <v>6</v>
          </cell>
          <cell r="D109">
            <v>35384</v>
          </cell>
          <cell r="E109">
            <v>35412</v>
          </cell>
          <cell r="F109">
            <v>35389</v>
          </cell>
          <cell r="G109">
            <v>1</v>
          </cell>
          <cell r="H109">
            <v>41.95</v>
          </cell>
          <cell r="I109" t="str">
            <v>Around the Horn</v>
          </cell>
          <cell r="J109" t="str">
            <v>Brook Farm Stratford St. Mary</v>
          </cell>
          <cell r="K109" t="str">
            <v>Colchester</v>
          </cell>
          <cell r="L109" t="str">
            <v>Essex</v>
          </cell>
          <cell r="M109" t="str">
            <v>CO7 6JX</v>
          </cell>
          <cell r="N109" t="str">
            <v>UK</v>
          </cell>
        </row>
        <row r="110">
          <cell r="A110">
            <v>10356</v>
          </cell>
          <cell r="B110" t="str">
            <v>WANDK</v>
          </cell>
          <cell r="C110">
            <v>6</v>
          </cell>
          <cell r="D110">
            <v>35387</v>
          </cell>
          <cell r="E110">
            <v>35415</v>
          </cell>
          <cell r="F110">
            <v>35396</v>
          </cell>
          <cell r="G110">
            <v>2</v>
          </cell>
          <cell r="H110">
            <v>36.71</v>
          </cell>
          <cell r="I110" t="str">
            <v>Die Wandernde Kuh</v>
          </cell>
          <cell r="J110" t="str">
            <v>Adenauerallee 900</v>
          </cell>
          <cell r="K110" t="str">
            <v>Stuttgart</v>
          </cell>
          <cell r="M110" t="str">
            <v>70563</v>
          </cell>
          <cell r="N110" t="str">
            <v>Germany</v>
          </cell>
        </row>
        <row r="111">
          <cell r="A111">
            <v>10357</v>
          </cell>
          <cell r="B111" t="str">
            <v>LILAS</v>
          </cell>
          <cell r="C111">
            <v>1</v>
          </cell>
          <cell r="D111">
            <v>35388</v>
          </cell>
          <cell r="E111">
            <v>35416</v>
          </cell>
          <cell r="F111">
            <v>35401</v>
          </cell>
          <cell r="G111">
            <v>3</v>
          </cell>
          <cell r="H111">
            <v>34.880000000000003</v>
          </cell>
          <cell r="I111" t="str">
            <v>LILA-Supermercado</v>
          </cell>
          <cell r="J111" t="str">
            <v>Carrera 52 con Ave. Bolívar #65-98 Llano Largo</v>
          </cell>
          <cell r="K111" t="str">
            <v>Barquisimeto</v>
          </cell>
          <cell r="L111" t="str">
            <v>Lara</v>
          </cell>
          <cell r="M111" t="str">
            <v>3508</v>
          </cell>
          <cell r="N111" t="str">
            <v>Venezuela</v>
          </cell>
        </row>
        <row r="112">
          <cell r="A112">
            <v>10358</v>
          </cell>
          <cell r="B112" t="str">
            <v>LAMAI</v>
          </cell>
          <cell r="C112">
            <v>5</v>
          </cell>
          <cell r="D112">
            <v>35389</v>
          </cell>
          <cell r="E112">
            <v>35417</v>
          </cell>
          <cell r="F112">
            <v>35396</v>
          </cell>
          <cell r="G112">
            <v>1</v>
          </cell>
          <cell r="H112">
            <v>19.64</v>
          </cell>
          <cell r="I112" t="str">
            <v>La maison d'Asie</v>
          </cell>
          <cell r="J112" t="str">
            <v>1 rue Alsace-Lorraine</v>
          </cell>
          <cell r="K112" t="str">
            <v>Toulouse</v>
          </cell>
          <cell r="M112" t="str">
            <v>31000</v>
          </cell>
          <cell r="N112" t="str">
            <v>France</v>
          </cell>
        </row>
        <row r="113">
          <cell r="A113">
            <v>10359</v>
          </cell>
          <cell r="B113" t="str">
            <v>SEVES</v>
          </cell>
          <cell r="C113">
            <v>5</v>
          </cell>
          <cell r="D113">
            <v>35390</v>
          </cell>
          <cell r="E113">
            <v>35418</v>
          </cell>
          <cell r="F113">
            <v>35395</v>
          </cell>
          <cell r="G113">
            <v>3</v>
          </cell>
          <cell r="H113">
            <v>288.43</v>
          </cell>
          <cell r="I113" t="str">
            <v>Seven Seas Imports</v>
          </cell>
          <cell r="J113" t="str">
            <v>90 Wadhurst Rd.</v>
          </cell>
          <cell r="K113" t="str">
            <v>London</v>
          </cell>
          <cell r="M113" t="str">
            <v>OX15 4NB</v>
          </cell>
          <cell r="N113" t="str">
            <v>UK</v>
          </cell>
        </row>
        <row r="114">
          <cell r="A114">
            <v>10360</v>
          </cell>
          <cell r="B114" t="str">
            <v>BLONP</v>
          </cell>
          <cell r="C114">
            <v>4</v>
          </cell>
          <cell r="D114">
            <v>35391</v>
          </cell>
          <cell r="E114">
            <v>35419</v>
          </cell>
          <cell r="F114">
            <v>35401</v>
          </cell>
          <cell r="G114">
            <v>3</v>
          </cell>
          <cell r="H114">
            <v>131.69999999999999</v>
          </cell>
          <cell r="I114" t="str">
            <v>Blondel père et fils</v>
          </cell>
          <cell r="J114" t="str">
            <v>24, place Kléber</v>
          </cell>
          <cell r="K114" t="str">
            <v>Strasbourg</v>
          </cell>
          <cell r="M114" t="str">
            <v>67000</v>
          </cell>
          <cell r="N114" t="str">
            <v>France</v>
          </cell>
        </row>
        <row r="115">
          <cell r="A115">
            <v>10361</v>
          </cell>
          <cell r="B115" t="str">
            <v>QUICK</v>
          </cell>
          <cell r="C115">
            <v>1</v>
          </cell>
          <cell r="D115">
            <v>35391</v>
          </cell>
          <cell r="E115">
            <v>35419</v>
          </cell>
          <cell r="F115">
            <v>35402</v>
          </cell>
          <cell r="G115">
            <v>2</v>
          </cell>
          <cell r="H115">
            <v>183.17</v>
          </cell>
          <cell r="I115" t="str">
            <v>QUICK-Stop</v>
          </cell>
          <cell r="J115" t="str">
            <v>Taucherstraße 10</v>
          </cell>
          <cell r="K115" t="str">
            <v>Cunewalde</v>
          </cell>
          <cell r="M115" t="str">
            <v>01307</v>
          </cell>
          <cell r="N115" t="str">
            <v>Germany</v>
          </cell>
        </row>
        <row r="116">
          <cell r="A116">
            <v>10362</v>
          </cell>
          <cell r="B116" t="str">
            <v>BONAP</v>
          </cell>
          <cell r="C116">
            <v>3</v>
          </cell>
          <cell r="D116">
            <v>35394</v>
          </cell>
          <cell r="E116">
            <v>35422</v>
          </cell>
          <cell r="F116">
            <v>35397</v>
          </cell>
          <cell r="G116">
            <v>1</v>
          </cell>
          <cell r="H116">
            <v>96.04</v>
          </cell>
          <cell r="I116" t="str">
            <v>Bon app'</v>
          </cell>
          <cell r="J116" t="str">
            <v>12, rue des Bouchers</v>
          </cell>
          <cell r="K116" t="str">
            <v>Marseille</v>
          </cell>
          <cell r="M116" t="str">
            <v>13008</v>
          </cell>
          <cell r="N116" t="str">
            <v>France</v>
          </cell>
        </row>
        <row r="117">
          <cell r="A117">
            <v>10363</v>
          </cell>
          <cell r="B117" t="str">
            <v>DRACD</v>
          </cell>
          <cell r="C117">
            <v>4</v>
          </cell>
          <cell r="D117">
            <v>35395</v>
          </cell>
          <cell r="E117">
            <v>35423</v>
          </cell>
          <cell r="F117">
            <v>35403</v>
          </cell>
          <cell r="G117">
            <v>3</v>
          </cell>
          <cell r="H117">
            <v>30.54</v>
          </cell>
          <cell r="I117" t="str">
            <v>Drachenblut Delikatessen</v>
          </cell>
          <cell r="J117" t="str">
            <v>Walserweg 21</v>
          </cell>
          <cell r="K117" t="str">
            <v>Aachen</v>
          </cell>
          <cell r="M117" t="str">
            <v>52066</v>
          </cell>
          <cell r="N117" t="str">
            <v>Germany</v>
          </cell>
        </row>
        <row r="118">
          <cell r="A118">
            <v>10364</v>
          </cell>
          <cell r="B118" t="str">
            <v>EASTC</v>
          </cell>
          <cell r="C118">
            <v>1</v>
          </cell>
          <cell r="D118">
            <v>35395</v>
          </cell>
          <cell r="E118">
            <v>35437</v>
          </cell>
          <cell r="F118">
            <v>35403</v>
          </cell>
          <cell r="G118">
            <v>1</v>
          </cell>
          <cell r="H118">
            <v>71.97</v>
          </cell>
          <cell r="I118" t="str">
            <v>Eastern Connection</v>
          </cell>
          <cell r="J118" t="str">
            <v>35 King George</v>
          </cell>
          <cell r="K118" t="str">
            <v>London</v>
          </cell>
          <cell r="M118" t="str">
            <v>WX3 6FW</v>
          </cell>
          <cell r="N118" t="str">
            <v>UK</v>
          </cell>
        </row>
        <row r="119">
          <cell r="A119">
            <v>10365</v>
          </cell>
          <cell r="B119" t="str">
            <v>ANTON</v>
          </cell>
          <cell r="C119">
            <v>3</v>
          </cell>
          <cell r="D119">
            <v>35396</v>
          </cell>
          <cell r="E119">
            <v>35424</v>
          </cell>
          <cell r="F119">
            <v>35401</v>
          </cell>
          <cell r="G119">
            <v>2</v>
          </cell>
          <cell r="H119">
            <v>22</v>
          </cell>
          <cell r="I119" t="str">
            <v>Antonio Moreno Taquería</v>
          </cell>
          <cell r="J119" t="str">
            <v>Mataderos  2312</v>
          </cell>
          <cell r="K119" t="str">
            <v>México D.F.</v>
          </cell>
          <cell r="M119" t="str">
            <v>05023</v>
          </cell>
          <cell r="N119" t="str">
            <v>Mexico</v>
          </cell>
        </row>
        <row r="120">
          <cell r="A120">
            <v>10366</v>
          </cell>
          <cell r="B120" t="str">
            <v>GALED</v>
          </cell>
          <cell r="C120">
            <v>8</v>
          </cell>
          <cell r="D120">
            <v>35397</v>
          </cell>
          <cell r="E120">
            <v>35439</v>
          </cell>
          <cell r="F120">
            <v>35429</v>
          </cell>
          <cell r="G120">
            <v>2</v>
          </cell>
          <cell r="H120">
            <v>10.14</v>
          </cell>
          <cell r="I120" t="str">
            <v>Galería del gastronómo</v>
          </cell>
          <cell r="J120" t="str">
            <v>Rambla de Cataluña, 23</v>
          </cell>
          <cell r="K120" t="str">
            <v>Barcelona</v>
          </cell>
          <cell r="M120" t="str">
            <v>8022</v>
          </cell>
          <cell r="N120" t="str">
            <v>Spain</v>
          </cell>
        </row>
        <row r="121">
          <cell r="A121">
            <v>10367</v>
          </cell>
          <cell r="B121" t="str">
            <v>VAFFE</v>
          </cell>
          <cell r="C121">
            <v>7</v>
          </cell>
          <cell r="D121">
            <v>35397</v>
          </cell>
          <cell r="E121">
            <v>35425</v>
          </cell>
          <cell r="F121">
            <v>35401</v>
          </cell>
          <cell r="G121">
            <v>3</v>
          </cell>
          <cell r="H121">
            <v>13.55</v>
          </cell>
          <cell r="I121" t="str">
            <v>Vaffeljernet</v>
          </cell>
          <cell r="J121" t="str">
            <v>Smagsloget 45</v>
          </cell>
          <cell r="K121" t="str">
            <v>Århus</v>
          </cell>
          <cell r="M121" t="str">
            <v>8200</v>
          </cell>
          <cell r="N121" t="str">
            <v>Denmark</v>
          </cell>
        </row>
        <row r="122">
          <cell r="A122">
            <v>10368</v>
          </cell>
          <cell r="B122" t="str">
            <v>ERNSH</v>
          </cell>
          <cell r="C122">
            <v>2</v>
          </cell>
          <cell r="D122">
            <v>35398</v>
          </cell>
          <cell r="E122">
            <v>35426</v>
          </cell>
          <cell r="F122">
            <v>35401</v>
          </cell>
          <cell r="G122">
            <v>2</v>
          </cell>
          <cell r="H122">
            <v>101.95</v>
          </cell>
          <cell r="I122" t="str">
            <v>Ernst Handel</v>
          </cell>
          <cell r="J122" t="str">
            <v>Kirchgasse 6</v>
          </cell>
          <cell r="K122" t="str">
            <v>Graz</v>
          </cell>
          <cell r="M122" t="str">
            <v>8010</v>
          </cell>
          <cell r="N122" t="str">
            <v>Austria</v>
          </cell>
        </row>
        <row r="123">
          <cell r="A123">
            <v>10369</v>
          </cell>
          <cell r="B123" t="str">
            <v>SPLIR</v>
          </cell>
          <cell r="C123">
            <v>8</v>
          </cell>
          <cell r="D123">
            <v>35401</v>
          </cell>
          <cell r="E123">
            <v>35429</v>
          </cell>
          <cell r="F123">
            <v>35408</v>
          </cell>
          <cell r="G123">
            <v>2</v>
          </cell>
          <cell r="H123">
            <v>195.68</v>
          </cell>
          <cell r="I123" t="str">
            <v>Split Rail Beer &amp; Ale</v>
          </cell>
          <cell r="J123" t="str">
            <v>P.O. Box 555</v>
          </cell>
          <cell r="K123" t="str">
            <v>Lander</v>
          </cell>
          <cell r="L123" t="str">
            <v>WY</v>
          </cell>
          <cell r="M123" t="str">
            <v>82520</v>
          </cell>
          <cell r="N123" t="str">
            <v>USA</v>
          </cell>
        </row>
        <row r="124">
          <cell r="A124">
            <v>10370</v>
          </cell>
          <cell r="B124" t="str">
            <v>CHOPS</v>
          </cell>
          <cell r="C124">
            <v>6</v>
          </cell>
          <cell r="D124">
            <v>35402</v>
          </cell>
          <cell r="E124">
            <v>35430</v>
          </cell>
          <cell r="F124">
            <v>35426</v>
          </cell>
          <cell r="G124">
            <v>2</v>
          </cell>
          <cell r="H124">
            <v>1.17</v>
          </cell>
          <cell r="I124" t="str">
            <v>Chop-suey Chinese</v>
          </cell>
          <cell r="J124" t="str">
            <v>Hauptstr. 31</v>
          </cell>
          <cell r="K124" t="str">
            <v>Bern</v>
          </cell>
          <cell r="M124" t="str">
            <v>3012</v>
          </cell>
          <cell r="N124" t="str">
            <v>Switzerland</v>
          </cell>
        </row>
        <row r="125">
          <cell r="A125">
            <v>10371</v>
          </cell>
          <cell r="B125" t="str">
            <v>LAMAI</v>
          </cell>
          <cell r="C125">
            <v>1</v>
          </cell>
          <cell r="D125">
            <v>35402</v>
          </cell>
          <cell r="E125">
            <v>35430</v>
          </cell>
          <cell r="F125">
            <v>35423</v>
          </cell>
          <cell r="G125">
            <v>1</v>
          </cell>
          <cell r="H125">
            <v>0.45</v>
          </cell>
          <cell r="I125" t="str">
            <v>La maison d'Asie</v>
          </cell>
          <cell r="J125" t="str">
            <v>1 rue Alsace-Lorraine</v>
          </cell>
          <cell r="K125" t="str">
            <v>Toulouse</v>
          </cell>
          <cell r="M125" t="str">
            <v>31000</v>
          </cell>
          <cell r="N125" t="str">
            <v>France</v>
          </cell>
        </row>
        <row r="126">
          <cell r="A126">
            <v>10372</v>
          </cell>
          <cell r="B126" t="str">
            <v>QUEEN</v>
          </cell>
          <cell r="C126">
            <v>5</v>
          </cell>
          <cell r="D126">
            <v>35403</v>
          </cell>
          <cell r="E126">
            <v>35431</v>
          </cell>
          <cell r="F126">
            <v>35408</v>
          </cell>
          <cell r="G126">
            <v>2</v>
          </cell>
          <cell r="H126">
            <v>890.78</v>
          </cell>
          <cell r="I126" t="str">
            <v>Queen Cozinha</v>
          </cell>
          <cell r="J126" t="str">
            <v>Alameda dos Canàrios, 891</v>
          </cell>
          <cell r="K126" t="str">
            <v>Sao Paulo</v>
          </cell>
          <cell r="L126" t="str">
            <v>SP</v>
          </cell>
          <cell r="M126" t="str">
            <v>05487-020</v>
          </cell>
          <cell r="N126" t="str">
            <v>Brazil</v>
          </cell>
        </row>
        <row r="127">
          <cell r="A127">
            <v>10373</v>
          </cell>
          <cell r="B127" t="str">
            <v>HUNGO</v>
          </cell>
          <cell r="C127">
            <v>4</v>
          </cell>
          <cell r="D127">
            <v>35404</v>
          </cell>
          <cell r="E127">
            <v>35432</v>
          </cell>
          <cell r="F127">
            <v>35410</v>
          </cell>
          <cell r="G127">
            <v>3</v>
          </cell>
          <cell r="H127">
            <v>124.12</v>
          </cell>
          <cell r="I127" t="str">
            <v>Hungry Owl All-Night Grocers</v>
          </cell>
          <cell r="J127" t="str">
            <v>8 Johnstown Road</v>
          </cell>
          <cell r="K127" t="str">
            <v>Cork</v>
          </cell>
          <cell r="L127" t="str">
            <v>Co. Cork</v>
          </cell>
          <cell r="N127" t="str">
            <v>Ireland</v>
          </cell>
        </row>
        <row r="128">
          <cell r="A128">
            <v>10374</v>
          </cell>
          <cell r="B128" t="str">
            <v>WOLZA</v>
          </cell>
          <cell r="C128">
            <v>1</v>
          </cell>
          <cell r="D128">
            <v>35404</v>
          </cell>
          <cell r="E128">
            <v>35432</v>
          </cell>
          <cell r="F128">
            <v>35408</v>
          </cell>
          <cell r="G128">
            <v>3</v>
          </cell>
          <cell r="H128">
            <v>3.94</v>
          </cell>
          <cell r="I128" t="str">
            <v>Wolski Zajazd</v>
          </cell>
          <cell r="J128" t="str">
            <v>ul. Filtrowa 68</v>
          </cell>
          <cell r="K128" t="str">
            <v>Warszawa</v>
          </cell>
          <cell r="M128" t="str">
            <v>01-012</v>
          </cell>
          <cell r="N128" t="str">
            <v>Poland</v>
          </cell>
        </row>
        <row r="129">
          <cell r="A129">
            <v>10375</v>
          </cell>
          <cell r="B129" t="str">
            <v>HUNGC</v>
          </cell>
          <cell r="C129">
            <v>3</v>
          </cell>
          <cell r="D129">
            <v>35405</v>
          </cell>
          <cell r="E129">
            <v>35433</v>
          </cell>
          <cell r="F129">
            <v>35408</v>
          </cell>
          <cell r="G129">
            <v>2</v>
          </cell>
          <cell r="H129">
            <v>20.12</v>
          </cell>
          <cell r="I129" t="str">
            <v>Hungry Coyote Import Store</v>
          </cell>
          <cell r="J129" t="str">
            <v>City Center Plaza 516 Main St.</v>
          </cell>
          <cell r="K129" t="str">
            <v>Elgin</v>
          </cell>
          <cell r="L129" t="str">
            <v>OR</v>
          </cell>
          <cell r="M129" t="str">
            <v>97827</v>
          </cell>
          <cell r="N129" t="str">
            <v>USA</v>
          </cell>
        </row>
        <row r="130">
          <cell r="A130">
            <v>10376</v>
          </cell>
          <cell r="B130" t="str">
            <v>MEREP</v>
          </cell>
          <cell r="C130">
            <v>1</v>
          </cell>
          <cell r="D130">
            <v>35408</v>
          </cell>
          <cell r="E130">
            <v>35436</v>
          </cell>
          <cell r="F130">
            <v>35412</v>
          </cell>
          <cell r="G130">
            <v>2</v>
          </cell>
          <cell r="H130">
            <v>20.39</v>
          </cell>
          <cell r="I130" t="str">
            <v>Mère Paillarde</v>
          </cell>
          <cell r="J130" t="str">
            <v>43 rue St. Laurent</v>
          </cell>
          <cell r="K130" t="str">
            <v>Montréal</v>
          </cell>
          <cell r="L130" t="str">
            <v>Québec</v>
          </cell>
          <cell r="M130" t="str">
            <v>H1J 1C3</v>
          </cell>
          <cell r="N130" t="str">
            <v>Canada</v>
          </cell>
        </row>
        <row r="131">
          <cell r="A131">
            <v>10377</v>
          </cell>
          <cell r="B131" t="str">
            <v>SEVES</v>
          </cell>
          <cell r="C131">
            <v>1</v>
          </cell>
          <cell r="D131">
            <v>35408</v>
          </cell>
          <cell r="E131">
            <v>35436</v>
          </cell>
          <cell r="F131">
            <v>35412</v>
          </cell>
          <cell r="G131">
            <v>3</v>
          </cell>
          <cell r="H131">
            <v>22.21</v>
          </cell>
          <cell r="I131" t="str">
            <v>Seven Seas Imports</v>
          </cell>
          <cell r="J131" t="str">
            <v>90 Wadhurst Rd.</v>
          </cell>
          <cell r="K131" t="str">
            <v>London</v>
          </cell>
          <cell r="M131" t="str">
            <v>OX15 4NB</v>
          </cell>
          <cell r="N131" t="str">
            <v>UK</v>
          </cell>
        </row>
        <row r="132">
          <cell r="A132">
            <v>10378</v>
          </cell>
          <cell r="B132" t="str">
            <v>FOLKO</v>
          </cell>
          <cell r="C132">
            <v>5</v>
          </cell>
          <cell r="D132">
            <v>35409</v>
          </cell>
          <cell r="E132">
            <v>35437</v>
          </cell>
          <cell r="F132">
            <v>35418</v>
          </cell>
          <cell r="G132">
            <v>3</v>
          </cell>
          <cell r="H132">
            <v>5.44</v>
          </cell>
          <cell r="I132" t="str">
            <v>Folk och fä HB</v>
          </cell>
          <cell r="J132" t="str">
            <v>Åkergatan 24</v>
          </cell>
          <cell r="K132" t="str">
            <v>Bräcke</v>
          </cell>
          <cell r="M132" t="str">
            <v>S-844 67</v>
          </cell>
          <cell r="N132" t="str">
            <v>Sweden</v>
          </cell>
        </row>
        <row r="133">
          <cell r="A133">
            <v>10379</v>
          </cell>
          <cell r="B133" t="str">
            <v>QUEDE</v>
          </cell>
          <cell r="C133">
            <v>2</v>
          </cell>
          <cell r="D133">
            <v>35410</v>
          </cell>
          <cell r="E133">
            <v>35438</v>
          </cell>
          <cell r="F133">
            <v>35412</v>
          </cell>
          <cell r="G133">
            <v>1</v>
          </cell>
          <cell r="H133">
            <v>45.03</v>
          </cell>
          <cell r="I133" t="str">
            <v>Que Delícia</v>
          </cell>
          <cell r="J133" t="str">
            <v>Rua da Panificadora, 12</v>
          </cell>
          <cell r="K133" t="str">
            <v>Rio de Janeiro</v>
          </cell>
          <cell r="L133" t="str">
            <v>RJ</v>
          </cell>
          <cell r="M133" t="str">
            <v>02389-673</v>
          </cell>
          <cell r="N133" t="str">
            <v>Brazil</v>
          </cell>
        </row>
        <row r="134">
          <cell r="A134">
            <v>10380</v>
          </cell>
          <cell r="B134" t="str">
            <v>HUNGO</v>
          </cell>
          <cell r="C134">
            <v>8</v>
          </cell>
          <cell r="D134">
            <v>35411</v>
          </cell>
          <cell r="E134">
            <v>35439</v>
          </cell>
          <cell r="F134">
            <v>35446</v>
          </cell>
          <cell r="G134">
            <v>3</v>
          </cell>
          <cell r="H134">
            <v>35.03</v>
          </cell>
          <cell r="I134" t="str">
            <v>Hungry Owl All-Night Grocers</v>
          </cell>
          <cell r="J134" t="str">
            <v>8 Johnstown Road</v>
          </cell>
          <cell r="K134" t="str">
            <v>Cork</v>
          </cell>
          <cell r="L134" t="str">
            <v>Co. Cork</v>
          </cell>
          <cell r="N134" t="str">
            <v>Ireland</v>
          </cell>
        </row>
        <row r="135">
          <cell r="A135">
            <v>10381</v>
          </cell>
          <cell r="B135" t="str">
            <v>LILAS</v>
          </cell>
          <cell r="C135">
            <v>3</v>
          </cell>
          <cell r="D135">
            <v>35411</v>
          </cell>
          <cell r="E135">
            <v>35439</v>
          </cell>
          <cell r="F135">
            <v>35412</v>
          </cell>
          <cell r="G135">
            <v>3</v>
          </cell>
          <cell r="H135">
            <v>7.99</v>
          </cell>
          <cell r="I135" t="str">
            <v>LILA-Supermercado</v>
          </cell>
          <cell r="J135" t="str">
            <v>Carrera 52 con Ave. Bolívar #65-98 Llano Largo</v>
          </cell>
          <cell r="K135" t="str">
            <v>Barquisimeto</v>
          </cell>
          <cell r="L135" t="str">
            <v>Lara</v>
          </cell>
          <cell r="M135" t="str">
            <v>3508</v>
          </cell>
          <cell r="N135" t="str">
            <v>Venezuela</v>
          </cell>
        </row>
        <row r="136">
          <cell r="A136">
            <v>10382</v>
          </cell>
          <cell r="B136" t="str">
            <v>ERNSH</v>
          </cell>
          <cell r="C136">
            <v>4</v>
          </cell>
          <cell r="D136">
            <v>35412</v>
          </cell>
          <cell r="E136">
            <v>35440</v>
          </cell>
          <cell r="F136">
            <v>35415</v>
          </cell>
          <cell r="G136">
            <v>1</v>
          </cell>
          <cell r="H136">
            <v>94.77</v>
          </cell>
          <cell r="I136" t="str">
            <v>Ernst Handel</v>
          </cell>
          <cell r="J136" t="str">
            <v>Kirchgasse 6</v>
          </cell>
          <cell r="K136" t="str">
            <v>Graz</v>
          </cell>
          <cell r="M136" t="str">
            <v>8010</v>
          </cell>
          <cell r="N136" t="str">
            <v>Austria</v>
          </cell>
        </row>
        <row r="137">
          <cell r="A137">
            <v>10383</v>
          </cell>
          <cell r="B137" t="str">
            <v>AROUT</v>
          </cell>
          <cell r="C137">
            <v>8</v>
          </cell>
          <cell r="D137">
            <v>35415</v>
          </cell>
          <cell r="E137">
            <v>35443</v>
          </cell>
          <cell r="F137">
            <v>35417</v>
          </cell>
          <cell r="G137">
            <v>3</v>
          </cell>
          <cell r="H137">
            <v>34.24</v>
          </cell>
          <cell r="I137" t="str">
            <v>Around the Horn</v>
          </cell>
          <cell r="J137" t="str">
            <v>Brook Farm Stratford St. Mary</v>
          </cell>
          <cell r="K137" t="str">
            <v>Colchester</v>
          </cell>
          <cell r="L137" t="str">
            <v>Essex</v>
          </cell>
          <cell r="M137" t="str">
            <v>CO7 6JX</v>
          </cell>
          <cell r="N137" t="str">
            <v>UK</v>
          </cell>
        </row>
        <row r="138">
          <cell r="A138">
            <v>10384</v>
          </cell>
          <cell r="B138" t="str">
            <v>BERGS</v>
          </cell>
          <cell r="C138">
            <v>3</v>
          </cell>
          <cell r="D138">
            <v>35415</v>
          </cell>
          <cell r="E138">
            <v>35443</v>
          </cell>
          <cell r="F138">
            <v>35419</v>
          </cell>
          <cell r="G138">
            <v>3</v>
          </cell>
          <cell r="H138">
            <v>168.64</v>
          </cell>
          <cell r="I138" t="str">
            <v>Berglunds snabbköp</v>
          </cell>
          <cell r="J138" t="str">
            <v>Berguvsvägen  8</v>
          </cell>
          <cell r="K138" t="str">
            <v>Luleå</v>
          </cell>
          <cell r="M138" t="str">
            <v>S-958 22</v>
          </cell>
          <cell r="N138" t="str">
            <v>Sweden</v>
          </cell>
        </row>
        <row r="139">
          <cell r="A139">
            <v>10385</v>
          </cell>
          <cell r="B139" t="str">
            <v>SPLIR</v>
          </cell>
          <cell r="C139">
            <v>1</v>
          </cell>
          <cell r="D139">
            <v>35416</v>
          </cell>
          <cell r="E139">
            <v>35444</v>
          </cell>
          <cell r="F139">
            <v>35422</v>
          </cell>
          <cell r="G139">
            <v>2</v>
          </cell>
          <cell r="H139">
            <v>30.96</v>
          </cell>
          <cell r="I139" t="str">
            <v>Split Rail Beer &amp; Ale</v>
          </cell>
          <cell r="J139" t="str">
            <v>P.O. Box 555</v>
          </cell>
          <cell r="K139" t="str">
            <v>Lander</v>
          </cell>
          <cell r="L139" t="str">
            <v>WY</v>
          </cell>
          <cell r="M139" t="str">
            <v>82520</v>
          </cell>
          <cell r="N139" t="str">
            <v>USA</v>
          </cell>
        </row>
        <row r="140">
          <cell r="A140">
            <v>10386</v>
          </cell>
          <cell r="B140" t="str">
            <v>FAMIA</v>
          </cell>
          <cell r="C140">
            <v>9</v>
          </cell>
          <cell r="D140">
            <v>35417</v>
          </cell>
          <cell r="E140">
            <v>35431</v>
          </cell>
          <cell r="F140">
            <v>35424</v>
          </cell>
          <cell r="G140">
            <v>3</v>
          </cell>
          <cell r="H140">
            <v>13.99</v>
          </cell>
          <cell r="I140" t="str">
            <v>Familia Arquibaldo</v>
          </cell>
          <cell r="J140" t="str">
            <v>Rua Orós, 92</v>
          </cell>
          <cell r="K140" t="str">
            <v>Sao Paulo</v>
          </cell>
          <cell r="L140" t="str">
            <v>SP</v>
          </cell>
          <cell r="M140" t="str">
            <v>05442-030</v>
          </cell>
          <cell r="N140" t="str">
            <v>Brazil</v>
          </cell>
        </row>
        <row r="141">
          <cell r="A141">
            <v>10387</v>
          </cell>
          <cell r="B141" t="str">
            <v>SANTG</v>
          </cell>
          <cell r="C141">
            <v>1</v>
          </cell>
          <cell r="D141">
            <v>35417</v>
          </cell>
          <cell r="E141">
            <v>35445</v>
          </cell>
          <cell r="F141">
            <v>35419</v>
          </cell>
          <cell r="G141">
            <v>2</v>
          </cell>
          <cell r="H141">
            <v>93.63</v>
          </cell>
          <cell r="I141" t="str">
            <v>Santé Gourmet</v>
          </cell>
          <cell r="J141" t="str">
            <v>Erling Skakkes gate 78</v>
          </cell>
          <cell r="K141" t="str">
            <v>Stavern</v>
          </cell>
          <cell r="M141" t="str">
            <v>4110</v>
          </cell>
          <cell r="N141" t="str">
            <v>Norway</v>
          </cell>
        </row>
        <row r="142">
          <cell r="A142">
            <v>10388</v>
          </cell>
          <cell r="B142" t="str">
            <v>SEVES</v>
          </cell>
          <cell r="C142">
            <v>2</v>
          </cell>
          <cell r="D142">
            <v>35418</v>
          </cell>
          <cell r="E142">
            <v>35446</v>
          </cell>
          <cell r="F142">
            <v>35419</v>
          </cell>
          <cell r="G142">
            <v>1</v>
          </cell>
          <cell r="H142">
            <v>34.86</v>
          </cell>
          <cell r="I142" t="str">
            <v>Seven Seas Imports</v>
          </cell>
          <cell r="J142" t="str">
            <v>90 Wadhurst Rd.</v>
          </cell>
          <cell r="K142" t="str">
            <v>London</v>
          </cell>
          <cell r="M142" t="str">
            <v>OX15 4NB</v>
          </cell>
          <cell r="N142" t="str">
            <v>UK</v>
          </cell>
        </row>
        <row r="143">
          <cell r="A143">
            <v>10389</v>
          </cell>
          <cell r="B143" t="str">
            <v>BOTTM</v>
          </cell>
          <cell r="C143">
            <v>4</v>
          </cell>
          <cell r="D143">
            <v>35419</v>
          </cell>
          <cell r="E143">
            <v>35447</v>
          </cell>
          <cell r="F143">
            <v>35423</v>
          </cell>
          <cell r="G143">
            <v>2</v>
          </cell>
          <cell r="H143">
            <v>47.42</v>
          </cell>
          <cell r="I143" t="str">
            <v>Bottom-Dollar Markets</v>
          </cell>
          <cell r="J143" t="str">
            <v>23 Tsawassen Blvd.</v>
          </cell>
          <cell r="K143" t="str">
            <v>Tsawassen</v>
          </cell>
          <cell r="L143" t="str">
            <v>BC</v>
          </cell>
          <cell r="M143" t="str">
            <v>T2F 8M4</v>
          </cell>
          <cell r="N143" t="str">
            <v>Canada</v>
          </cell>
        </row>
        <row r="144">
          <cell r="A144">
            <v>10390</v>
          </cell>
          <cell r="B144" t="str">
            <v>ERNSH</v>
          </cell>
          <cell r="C144">
            <v>6</v>
          </cell>
          <cell r="D144">
            <v>35422</v>
          </cell>
          <cell r="E144">
            <v>35450</v>
          </cell>
          <cell r="F144">
            <v>35425</v>
          </cell>
          <cell r="G144">
            <v>1</v>
          </cell>
          <cell r="H144">
            <v>126.38</v>
          </cell>
          <cell r="I144" t="str">
            <v>Ernst Handel</v>
          </cell>
          <cell r="J144" t="str">
            <v>Kirchgasse 6</v>
          </cell>
          <cell r="K144" t="str">
            <v>Graz</v>
          </cell>
          <cell r="M144" t="str">
            <v>8010</v>
          </cell>
          <cell r="N144" t="str">
            <v>Austria</v>
          </cell>
        </row>
        <row r="145">
          <cell r="A145">
            <v>10391</v>
          </cell>
          <cell r="B145" t="str">
            <v>DRACD</v>
          </cell>
          <cell r="C145">
            <v>3</v>
          </cell>
          <cell r="D145">
            <v>35422</v>
          </cell>
          <cell r="E145">
            <v>35450</v>
          </cell>
          <cell r="F145">
            <v>35430</v>
          </cell>
          <cell r="G145">
            <v>3</v>
          </cell>
          <cell r="H145">
            <v>5.45</v>
          </cell>
          <cell r="I145" t="str">
            <v>Drachenblut Delikatessen</v>
          </cell>
          <cell r="J145" t="str">
            <v>Walserweg 21</v>
          </cell>
          <cell r="K145" t="str">
            <v>Aachen</v>
          </cell>
          <cell r="M145" t="str">
            <v>52066</v>
          </cell>
          <cell r="N145" t="str">
            <v>Germany</v>
          </cell>
        </row>
        <row r="146">
          <cell r="A146">
            <v>10392</v>
          </cell>
          <cell r="B146" t="str">
            <v>PICCO</v>
          </cell>
          <cell r="C146">
            <v>2</v>
          </cell>
          <cell r="D146">
            <v>35423</v>
          </cell>
          <cell r="E146">
            <v>35451</v>
          </cell>
          <cell r="F146">
            <v>35431</v>
          </cell>
          <cell r="G146">
            <v>3</v>
          </cell>
          <cell r="H146">
            <v>122.46</v>
          </cell>
          <cell r="I146" t="str">
            <v>Piccolo und mehr</v>
          </cell>
          <cell r="J146" t="str">
            <v>Geislweg 14</v>
          </cell>
          <cell r="K146" t="str">
            <v>Salzburg</v>
          </cell>
          <cell r="M146" t="str">
            <v>5020</v>
          </cell>
          <cell r="N146" t="str">
            <v>Austria</v>
          </cell>
        </row>
        <row r="147">
          <cell r="A147">
            <v>10393</v>
          </cell>
          <cell r="B147" t="str">
            <v>SAVEA</v>
          </cell>
          <cell r="C147">
            <v>1</v>
          </cell>
          <cell r="D147">
            <v>35424</v>
          </cell>
          <cell r="E147">
            <v>35452</v>
          </cell>
          <cell r="F147">
            <v>35433</v>
          </cell>
          <cell r="G147">
            <v>3</v>
          </cell>
          <cell r="H147">
            <v>126.56</v>
          </cell>
          <cell r="I147" t="str">
            <v>Save-a-lot Markets</v>
          </cell>
          <cell r="J147" t="str">
            <v>187 Suffolk Ln.</v>
          </cell>
          <cell r="K147" t="str">
            <v>Boise</v>
          </cell>
          <cell r="L147" t="str">
            <v>ID</v>
          </cell>
          <cell r="M147" t="str">
            <v>83720</v>
          </cell>
          <cell r="N147" t="str">
            <v>USA</v>
          </cell>
        </row>
        <row r="148">
          <cell r="A148">
            <v>10394</v>
          </cell>
          <cell r="B148" t="str">
            <v>HUNGC</v>
          </cell>
          <cell r="C148">
            <v>1</v>
          </cell>
          <cell r="D148">
            <v>35424</v>
          </cell>
          <cell r="E148">
            <v>35452</v>
          </cell>
          <cell r="F148">
            <v>35433</v>
          </cell>
          <cell r="G148">
            <v>3</v>
          </cell>
          <cell r="H148">
            <v>30.34</v>
          </cell>
          <cell r="I148" t="str">
            <v>Hungry Coyote Import Store</v>
          </cell>
          <cell r="J148" t="str">
            <v>City Center Plaza 516 Main St.</v>
          </cell>
          <cell r="K148" t="str">
            <v>Elgin</v>
          </cell>
          <cell r="L148" t="str">
            <v>OR</v>
          </cell>
          <cell r="M148" t="str">
            <v>97827</v>
          </cell>
          <cell r="N148" t="str">
            <v>USA</v>
          </cell>
        </row>
        <row r="149">
          <cell r="A149">
            <v>10395</v>
          </cell>
          <cell r="B149" t="str">
            <v>HILAA</v>
          </cell>
          <cell r="C149">
            <v>6</v>
          </cell>
          <cell r="D149">
            <v>35425</v>
          </cell>
          <cell r="E149">
            <v>35453</v>
          </cell>
          <cell r="F149">
            <v>35433</v>
          </cell>
          <cell r="G149">
            <v>1</v>
          </cell>
          <cell r="H149">
            <v>184.41</v>
          </cell>
          <cell r="I149" t="str">
            <v>HILARION-Abastos</v>
          </cell>
          <cell r="J149" t="str">
            <v>Carrera 22 con Ave. Carlos Soublette #8-35</v>
          </cell>
          <cell r="K149" t="str">
            <v>San Cristóbal</v>
          </cell>
          <cell r="L149" t="str">
            <v>Táchira</v>
          </cell>
          <cell r="M149" t="str">
            <v>5022</v>
          </cell>
          <cell r="N149" t="str">
            <v>Venezuela</v>
          </cell>
        </row>
        <row r="150">
          <cell r="A150">
            <v>10396</v>
          </cell>
          <cell r="B150" t="str">
            <v>FRANK</v>
          </cell>
          <cell r="C150">
            <v>1</v>
          </cell>
          <cell r="D150">
            <v>35426</v>
          </cell>
          <cell r="E150">
            <v>35440</v>
          </cell>
          <cell r="F150">
            <v>35436</v>
          </cell>
          <cell r="G150">
            <v>3</v>
          </cell>
          <cell r="H150">
            <v>135.35</v>
          </cell>
          <cell r="I150" t="str">
            <v>Frankenversand</v>
          </cell>
          <cell r="J150" t="str">
            <v>Berliner Platz 43</v>
          </cell>
          <cell r="K150" t="str">
            <v>München</v>
          </cell>
          <cell r="M150" t="str">
            <v>80805</v>
          </cell>
          <cell r="N150" t="str">
            <v>Germany</v>
          </cell>
        </row>
        <row r="151">
          <cell r="A151">
            <v>10397</v>
          </cell>
          <cell r="B151" t="str">
            <v>PRINI</v>
          </cell>
          <cell r="C151">
            <v>5</v>
          </cell>
          <cell r="D151">
            <v>35426</v>
          </cell>
          <cell r="E151">
            <v>35454</v>
          </cell>
          <cell r="F151">
            <v>35432</v>
          </cell>
          <cell r="G151">
            <v>1</v>
          </cell>
          <cell r="H151">
            <v>60.26</v>
          </cell>
          <cell r="I151" t="str">
            <v>Princesa Isabel Vinhos</v>
          </cell>
          <cell r="J151" t="str">
            <v>Estrada da saúde n. 58</v>
          </cell>
          <cell r="K151" t="str">
            <v>Lisboa</v>
          </cell>
          <cell r="M151" t="str">
            <v>1756</v>
          </cell>
          <cell r="N151" t="str">
            <v>Portugal</v>
          </cell>
        </row>
        <row r="152">
          <cell r="A152">
            <v>10398</v>
          </cell>
          <cell r="B152" t="str">
            <v>SAVEA</v>
          </cell>
          <cell r="C152">
            <v>2</v>
          </cell>
          <cell r="D152">
            <v>35429</v>
          </cell>
          <cell r="E152">
            <v>35457</v>
          </cell>
          <cell r="F152">
            <v>35439</v>
          </cell>
          <cell r="G152">
            <v>3</v>
          </cell>
          <cell r="H152">
            <v>89.16</v>
          </cell>
          <cell r="I152" t="str">
            <v>Save-a-lot Markets</v>
          </cell>
          <cell r="J152" t="str">
            <v>187 Suffolk Ln.</v>
          </cell>
          <cell r="K152" t="str">
            <v>Boise</v>
          </cell>
          <cell r="L152" t="str">
            <v>ID</v>
          </cell>
          <cell r="M152" t="str">
            <v>83720</v>
          </cell>
          <cell r="N152" t="str">
            <v>USA</v>
          </cell>
        </row>
        <row r="153">
          <cell r="A153">
            <v>10399</v>
          </cell>
          <cell r="B153" t="str">
            <v>VAFFE</v>
          </cell>
          <cell r="C153">
            <v>8</v>
          </cell>
          <cell r="D153">
            <v>35430</v>
          </cell>
          <cell r="E153">
            <v>35444</v>
          </cell>
          <cell r="F153">
            <v>35438</v>
          </cell>
          <cell r="G153">
            <v>3</v>
          </cell>
          <cell r="H153">
            <v>27.36</v>
          </cell>
          <cell r="I153" t="str">
            <v>Vaffeljernet</v>
          </cell>
          <cell r="J153" t="str">
            <v>Smagsloget 45</v>
          </cell>
          <cell r="K153" t="str">
            <v>Århus</v>
          </cell>
          <cell r="M153" t="str">
            <v>8200</v>
          </cell>
          <cell r="N153" t="str">
            <v>Denmark</v>
          </cell>
        </row>
        <row r="154">
          <cell r="A154">
            <v>10400</v>
          </cell>
          <cell r="B154" t="str">
            <v>EASTC</v>
          </cell>
          <cell r="C154">
            <v>1</v>
          </cell>
          <cell r="D154">
            <v>35431</v>
          </cell>
          <cell r="E154">
            <v>35459</v>
          </cell>
          <cell r="F154">
            <v>35446</v>
          </cell>
          <cell r="G154">
            <v>3</v>
          </cell>
          <cell r="H154">
            <v>83.93</v>
          </cell>
          <cell r="I154" t="str">
            <v>Eastern Connection</v>
          </cell>
          <cell r="J154" t="str">
            <v>35 King George</v>
          </cell>
          <cell r="K154" t="str">
            <v>London</v>
          </cell>
          <cell r="M154" t="str">
            <v>WX3 6FW</v>
          </cell>
          <cell r="N154" t="str">
            <v>UK</v>
          </cell>
        </row>
        <row r="155">
          <cell r="A155">
            <v>10401</v>
          </cell>
          <cell r="B155" t="str">
            <v>RATTC</v>
          </cell>
          <cell r="C155">
            <v>1</v>
          </cell>
          <cell r="D155">
            <v>35431</v>
          </cell>
          <cell r="E155">
            <v>35459</v>
          </cell>
          <cell r="F155">
            <v>35440</v>
          </cell>
          <cell r="G155">
            <v>1</v>
          </cell>
          <cell r="H155">
            <v>12.51</v>
          </cell>
          <cell r="I155" t="str">
            <v>Rattlesnake Canyon Grocery</v>
          </cell>
          <cell r="J155" t="str">
            <v>2817 Milton Dr.</v>
          </cell>
          <cell r="K155" t="str">
            <v>Albuquerque</v>
          </cell>
          <cell r="L155" t="str">
            <v>NM</v>
          </cell>
          <cell r="M155" t="str">
            <v>87110</v>
          </cell>
          <cell r="N155" t="str">
            <v>USA</v>
          </cell>
        </row>
        <row r="156">
          <cell r="A156">
            <v>10402</v>
          </cell>
          <cell r="B156" t="str">
            <v>ERNSH</v>
          </cell>
          <cell r="C156">
            <v>8</v>
          </cell>
          <cell r="D156">
            <v>35432</v>
          </cell>
          <cell r="E156">
            <v>35474</v>
          </cell>
          <cell r="F156">
            <v>35440</v>
          </cell>
          <cell r="G156">
            <v>2</v>
          </cell>
          <cell r="H156">
            <v>67.88</v>
          </cell>
          <cell r="I156" t="str">
            <v>Ernst Handel</v>
          </cell>
          <cell r="J156" t="str">
            <v>Kirchgasse 6</v>
          </cell>
          <cell r="K156" t="str">
            <v>Graz</v>
          </cell>
          <cell r="M156" t="str">
            <v>8010</v>
          </cell>
          <cell r="N156" t="str">
            <v>Austria</v>
          </cell>
        </row>
        <row r="157">
          <cell r="A157">
            <v>10403</v>
          </cell>
          <cell r="B157" t="str">
            <v>ERNSH</v>
          </cell>
          <cell r="C157">
            <v>4</v>
          </cell>
          <cell r="D157">
            <v>35433</v>
          </cell>
          <cell r="E157">
            <v>35461</v>
          </cell>
          <cell r="F157">
            <v>35439</v>
          </cell>
          <cell r="G157">
            <v>3</v>
          </cell>
          <cell r="H157">
            <v>73.790000000000006</v>
          </cell>
          <cell r="I157" t="str">
            <v>Ernst Handel</v>
          </cell>
          <cell r="J157" t="str">
            <v>Kirchgasse 6</v>
          </cell>
          <cell r="K157" t="str">
            <v>Graz</v>
          </cell>
          <cell r="M157" t="str">
            <v>8010</v>
          </cell>
          <cell r="N157" t="str">
            <v>Austria</v>
          </cell>
        </row>
        <row r="158">
          <cell r="A158">
            <v>10404</v>
          </cell>
          <cell r="B158" t="str">
            <v>MAGAA</v>
          </cell>
          <cell r="C158">
            <v>2</v>
          </cell>
          <cell r="D158">
            <v>35433</v>
          </cell>
          <cell r="E158">
            <v>35461</v>
          </cell>
          <cell r="F158">
            <v>35438</v>
          </cell>
          <cell r="G158">
            <v>1</v>
          </cell>
          <cell r="H158">
            <v>155.97</v>
          </cell>
          <cell r="I158" t="str">
            <v>Magazzini Alimentari Riuniti</v>
          </cell>
          <cell r="J158" t="str">
            <v>Via Ludovico il Moro 22</v>
          </cell>
          <cell r="K158" t="str">
            <v>Bergamo</v>
          </cell>
          <cell r="M158" t="str">
            <v>24100</v>
          </cell>
          <cell r="N158" t="str">
            <v>Italy</v>
          </cell>
        </row>
        <row r="159">
          <cell r="A159">
            <v>10405</v>
          </cell>
          <cell r="B159" t="str">
            <v>LINOD</v>
          </cell>
          <cell r="C159">
            <v>1</v>
          </cell>
          <cell r="D159">
            <v>35436</v>
          </cell>
          <cell r="E159">
            <v>35464</v>
          </cell>
          <cell r="F159">
            <v>35452</v>
          </cell>
          <cell r="G159">
            <v>1</v>
          </cell>
          <cell r="H159">
            <v>34.82</v>
          </cell>
          <cell r="I159" t="str">
            <v>LINO-Delicateses</v>
          </cell>
          <cell r="J159" t="str">
            <v>Ave. 5 de Mayo Porlamar</v>
          </cell>
          <cell r="K159" t="str">
            <v>I. de Margarita</v>
          </cell>
          <cell r="L159" t="str">
            <v>Nueva Esparta</v>
          </cell>
          <cell r="M159" t="str">
            <v>4980</v>
          </cell>
          <cell r="N159" t="str">
            <v>Venezuela</v>
          </cell>
        </row>
        <row r="160">
          <cell r="A160">
            <v>10406</v>
          </cell>
          <cell r="B160" t="str">
            <v>QUEEN</v>
          </cell>
          <cell r="C160">
            <v>7</v>
          </cell>
          <cell r="D160">
            <v>35437</v>
          </cell>
          <cell r="E160">
            <v>35479</v>
          </cell>
          <cell r="F160">
            <v>35443</v>
          </cell>
          <cell r="G160">
            <v>1</v>
          </cell>
          <cell r="H160">
            <v>108.04</v>
          </cell>
          <cell r="I160" t="str">
            <v>Queen Cozinha</v>
          </cell>
          <cell r="J160" t="str">
            <v>Alameda dos Canàrios, 891</v>
          </cell>
          <cell r="K160" t="str">
            <v>Sao Paulo</v>
          </cell>
          <cell r="L160" t="str">
            <v>SP</v>
          </cell>
          <cell r="M160" t="str">
            <v>05487-020</v>
          </cell>
          <cell r="N160" t="str">
            <v>Brazil</v>
          </cell>
        </row>
        <row r="161">
          <cell r="A161">
            <v>10407</v>
          </cell>
          <cell r="B161" t="str">
            <v>OTTIK</v>
          </cell>
          <cell r="C161">
            <v>2</v>
          </cell>
          <cell r="D161">
            <v>35437</v>
          </cell>
          <cell r="E161">
            <v>35465</v>
          </cell>
          <cell r="F161">
            <v>35460</v>
          </cell>
          <cell r="G161">
            <v>2</v>
          </cell>
          <cell r="H161">
            <v>91.48</v>
          </cell>
          <cell r="I161" t="str">
            <v>Ottilies Käseladen</v>
          </cell>
          <cell r="J161" t="str">
            <v>Mehrheimerstr. 369</v>
          </cell>
          <cell r="K161" t="str">
            <v>Köln</v>
          </cell>
          <cell r="M161" t="str">
            <v>50739</v>
          </cell>
          <cell r="N161" t="str">
            <v>Germany</v>
          </cell>
        </row>
        <row r="162">
          <cell r="A162">
            <v>10408</v>
          </cell>
          <cell r="B162" t="str">
            <v>FOLIG</v>
          </cell>
          <cell r="C162">
            <v>8</v>
          </cell>
          <cell r="D162">
            <v>35438</v>
          </cell>
          <cell r="E162">
            <v>35466</v>
          </cell>
          <cell r="F162">
            <v>35444</v>
          </cell>
          <cell r="G162">
            <v>1</v>
          </cell>
          <cell r="H162">
            <v>11.26</v>
          </cell>
          <cell r="I162" t="str">
            <v>Folies gourmandes</v>
          </cell>
          <cell r="J162" t="str">
            <v>184, chaussée de Tournai</v>
          </cell>
          <cell r="K162" t="str">
            <v>Lille</v>
          </cell>
          <cell r="M162" t="str">
            <v>59000</v>
          </cell>
          <cell r="N162" t="str">
            <v>France</v>
          </cell>
        </row>
        <row r="163">
          <cell r="A163">
            <v>10409</v>
          </cell>
          <cell r="B163" t="str">
            <v>OCEAN</v>
          </cell>
          <cell r="C163">
            <v>3</v>
          </cell>
          <cell r="D163">
            <v>35439</v>
          </cell>
          <cell r="E163">
            <v>35467</v>
          </cell>
          <cell r="F163">
            <v>35444</v>
          </cell>
          <cell r="G163">
            <v>1</v>
          </cell>
          <cell r="H163">
            <v>29.83</v>
          </cell>
          <cell r="I163" t="str">
            <v>Océano Atlántico Ltda.</v>
          </cell>
          <cell r="J163" t="str">
            <v>Ing. Gustavo Moncada 8585 Piso 20-A</v>
          </cell>
          <cell r="K163" t="str">
            <v>Buenos Aires</v>
          </cell>
          <cell r="M163" t="str">
            <v>1010</v>
          </cell>
          <cell r="N163" t="str">
            <v>Argentina</v>
          </cell>
        </row>
        <row r="164">
          <cell r="A164">
            <v>10410</v>
          </cell>
          <cell r="B164" t="str">
            <v>BOTTM</v>
          </cell>
          <cell r="C164">
            <v>3</v>
          </cell>
          <cell r="D164">
            <v>35440</v>
          </cell>
          <cell r="E164">
            <v>35468</v>
          </cell>
          <cell r="F164">
            <v>35445</v>
          </cell>
          <cell r="G164">
            <v>3</v>
          </cell>
          <cell r="H164">
            <v>2.4</v>
          </cell>
          <cell r="I164" t="str">
            <v>Bottom-Dollar Markets</v>
          </cell>
          <cell r="J164" t="str">
            <v>23 Tsawassen Blvd.</v>
          </cell>
          <cell r="K164" t="str">
            <v>Tsawassen</v>
          </cell>
          <cell r="L164" t="str">
            <v>BC</v>
          </cell>
          <cell r="M164" t="str">
            <v>T2F 8M4</v>
          </cell>
          <cell r="N164" t="str">
            <v>Canada</v>
          </cell>
        </row>
        <row r="165">
          <cell r="A165">
            <v>10411</v>
          </cell>
          <cell r="B165" t="str">
            <v>BOTTM</v>
          </cell>
          <cell r="C165">
            <v>9</v>
          </cell>
          <cell r="D165">
            <v>35440</v>
          </cell>
          <cell r="E165">
            <v>35468</v>
          </cell>
          <cell r="F165">
            <v>35451</v>
          </cell>
          <cell r="G165">
            <v>3</v>
          </cell>
          <cell r="H165">
            <v>23.65</v>
          </cell>
          <cell r="I165" t="str">
            <v>Bottom-Dollar Markets</v>
          </cell>
          <cell r="J165" t="str">
            <v>23 Tsawassen Blvd.</v>
          </cell>
          <cell r="K165" t="str">
            <v>Tsawassen</v>
          </cell>
          <cell r="L165" t="str">
            <v>BC</v>
          </cell>
          <cell r="M165" t="str">
            <v>T2F 8M4</v>
          </cell>
          <cell r="N165" t="str">
            <v>Canada</v>
          </cell>
        </row>
        <row r="166">
          <cell r="A166">
            <v>10412</v>
          </cell>
          <cell r="B166" t="str">
            <v>WARTH</v>
          </cell>
          <cell r="C166">
            <v>8</v>
          </cell>
          <cell r="D166">
            <v>35443</v>
          </cell>
          <cell r="E166">
            <v>35471</v>
          </cell>
          <cell r="F166">
            <v>35445</v>
          </cell>
          <cell r="G166">
            <v>2</v>
          </cell>
          <cell r="H166">
            <v>3.77</v>
          </cell>
          <cell r="I166" t="str">
            <v>Wartian Herkku</v>
          </cell>
          <cell r="J166" t="str">
            <v>Torikatu 38</v>
          </cell>
          <cell r="K166" t="str">
            <v>Oulu</v>
          </cell>
          <cell r="M166" t="str">
            <v>90110</v>
          </cell>
          <cell r="N166" t="str">
            <v>Finland</v>
          </cell>
        </row>
        <row r="167">
          <cell r="A167">
            <v>10413</v>
          </cell>
          <cell r="B167" t="str">
            <v>LAMAI</v>
          </cell>
          <cell r="C167">
            <v>3</v>
          </cell>
          <cell r="D167">
            <v>35444</v>
          </cell>
          <cell r="E167">
            <v>35472</v>
          </cell>
          <cell r="F167">
            <v>35446</v>
          </cell>
          <cell r="G167">
            <v>2</v>
          </cell>
          <cell r="H167">
            <v>95.66</v>
          </cell>
          <cell r="I167" t="str">
            <v>La maison d'Asie</v>
          </cell>
          <cell r="J167" t="str">
            <v>1 rue Alsace-Lorraine</v>
          </cell>
          <cell r="K167" t="str">
            <v>Toulouse</v>
          </cell>
          <cell r="M167" t="str">
            <v>31000</v>
          </cell>
          <cell r="N167" t="str">
            <v>France</v>
          </cell>
        </row>
        <row r="168">
          <cell r="A168">
            <v>10414</v>
          </cell>
          <cell r="B168" t="str">
            <v>FAMIA</v>
          </cell>
          <cell r="C168">
            <v>2</v>
          </cell>
          <cell r="D168">
            <v>35444</v>
          </cell>
          <cell r="E168">
            <v>35472</v>
          </cell>
          <cell r="F168">
            <v>35447</v>
          </cell>
          <cell r="G168">
            <v>3</v>
          </cell>
          <cell r="H168">
            <v>21.48</v>
          </cell>
          <cell r="I168" t="str">
            <v>Familia Arquibaldo</v>
          </cell>
          <cell r="J168" t="str">
            <v>Rua Orós, 92</v>
          </cell>
          <cell r="K168" t="str">
            <v>Sao Paulo</v>
          </cell>
          <cell r="L168" t="str">
            <v>SP</v>
          </cell>
          <cell r="M168" t="str">
            <v>05442-030</v>
          </cell>
          <cell r="N168" t="str">
            <v>Brazil</v>
          </cell>
        </row>
        <row r="169">
          <cell r="A169">
            <v>10415</v>
          </cell>
          <cell r="B169" t="str">
            <v>HUNGC</v>
          </cell>
          <cell r="C169">
            <v>3</v>
          </cell>
          <cell r="D169">
            <v>35445</v>
          </cell>
          <cell r="E169">
            <v>35473</v>
          </cell>
          <cell r="F169">
            <v>35454</v>
          </cell>
          <cell r="G169">
            <v>1</v>
          </cell>
          <cell r="H169">
            <v>0.2</v>
          </cell>
          <cell r="I169" t="str">
            <v>Hungry Coyote Import Store</v>
          </cell>
          <cell r="J169" t="str">
            <v>City Center Plaza 516 Main St.</v>
          </cell>
          <cell r="K169" t="str">
            <v>Elgin</v>
          </cell>
          <cell r="L169" t="str">
            <v>OR</v>
          </cell>
          <cell r="M169" t="str">
            <v>97827</v>
          </cell>
          <cell r="N169" t="str">
            <v>USA</v>
          </cell>
        </row>
        <row r="170">
          <cell r="A170">
            <v>10416</v>
          </cell>
          <cell r="B170" t="str">
            <v>WARTH</v>
          </cell>
          <cell r="C170">
            <v>8</v>
          </cell>
          <cell r="D170">
            <v>35446</v>
          </cell>
          <cell r="E170">
            <v>35474</v>
          </cell>
          <cell r="F170">
            <v>35457</v>
          </cell>
          <cell r="G170">
            <v>3</v>
          </cell>
          <cell r="H170">
            <v>22.72</v>
          </cell>
          <cell r="I170" t="str">
            <v>Wartian Herkku</v>
          </cell>
          <cell r="J170" t="str">
            <v>Torikatu 38</v>
          </cell>
          <cell r="K170" t="str">
            <v>Oulu</v>
          </cell>
          <cell r="M170" t="str">
            <v>90110</v>
          </cell>
          <cell r="N170" t="str">
            <v>Finland</v>
          </cell>
        </row>
        <row r="171">
          <cell r="A171">
            <v>10417</v>
          </cell>
          <cell r="B171" t="str">
            <v>SIMOB</v>
          </cell>
          <cell r="C171">
            <v>4</v>
          </cell>
          <cell r="D171">
            <v>35446</v>
          </cell>
          <cell r="E171">
            <v>35474</v>
          </cell>
          <cell r="F171">
            <v>35458</v>
          </cell>
          <cell r="G171">
            <v>3</v>
          </cell>
          <cell r="H171">
            <v>70.290000000000006</v>
          </cell>
          <cell r="I171" t="str">
            <v>Simons bistro</v>
          </cell>
          <cell r="J171" t="str">
            <v>Vinbæltet 34</v>
          </cell>
          <cell r="K171" t="str">
            <v>Kobenhavn</v>
          </cell>
          <cell r="M171" t="str">
            <v>1734</v>
          </cell>
          <cell r="N171" t="str">
            <v>Denmark</v>
          </cell>
        </row>
        <row r="172">
          <cell r="A172">
            <v>10418</v>
          </cell>
          <cell r="B172" t="str">
            <v>QUICK</v>
          </cell>
          <cell r="C172">
            <v>4</v>
          </cell>
          <cell r="D172">
            <v>35447</v>
          </cell>
          <cell r="E172">
            <v>35475</v>
          </cell>
          <cell r="F172">
            <v>35454</v>
          </cell>
          <cell r="G172">
            <v>1</v>
          </cell>
          <cell r="H172">
            <v>17.55</v>
          </cell>
          <cell r="I172" t="str">
            <v>QUICK-Stop</v>
          </cell>
          <cell r="J172" t="str">
            <v>Taucherstraße 10</v>
          </cell>
          <cell r="K172" t="str">
            <v>Cunewalde</v>
          </cell>
          <cell r="M172" t="str">
            <v>01307</v>
          </cell>
          <cell r="N172" t="str">
            <v>Germany</v>
          </cell>
        </row>
        <row r="173">
          <cell r="A173">
            <v>10419</v>
          </cell>
          <cell r="B173" t="str">
            <v>RICSU</v>
          </cell>
          <cell r="C173">
            <v>4</v>
          </cell>
          <cell r="D173">
            <v>35450</v>
          </cell>
          <cell r="E173">
            <v>35478</v>
          </cell>
          <cell r="F173">
            <v>35460</v>
          </cell>
          <cell r="G173">
            <v>2</v>
          </cell>
          <cell r="H173">
            <v>137.35</v>
          </cell>
          <cell r="I173" t="str">
            <v>Richter Supermarkt</v>
          </cell>
          <cell r="J173" t="str">
            <v>Starenweg 5</v>
          </cell>
          <cell r="K173" t="str">
            <v>Genève</v>
          </cell>
          <cell r="M173" t="str">
            <v>1204</v>
          </cell>
          <cell r="N173" t="str">
            <v>Switzerland</v>
          </cell>
        </row>
        <row r="174">
          <cell r="A174">
            <v>10420</v>
          </cell>
          <cell r="B174" t="str">
            <v>WELLI</v>
          </cell>
          <cell r="C174">
            <v>3</v>
          </cell>
          <cell r="D174">
            <v>35451</v>
          </cell>
          <cell r="E174">
            <v>35479</v>
          </cell>
          <cell r="F174">
            <v>35457</v>
          </cell>
          <cell r="G174">
            <v>1</v>
          </cell>
          <cell r="H174">
            <v>44.12</v>
          </cell>
          <cell r="I174" t="str">
            <v>Wellington Importadora</v>
          </cell>
          <cell r="J174" t="str">
            <v>Rua do Mercado, 12</v>
          </cell>
          <cell r="K174" t="str">
            <v>Resende</v>
          </cell>
          <cell r="L174" t="str">
            <v>SP</v>
          </cell>
          <cell r="M174" t="str">
            <v>08737-363</v>
          </cell>
          <cell r="N174" t="str">
            <v>Brazil</v>
          </cell>
        </row>
        <row r="175">
          <cell r="A175">
            <v>10421</v>
          </cell>
          <cell r="B175" t="str">
            <v>QUEDE</v>
          </cell>
          <cell r="C175">
            <v>8</v>
          </cell>
          <cell r="D175">
            <v>35451</v>
          </cell>
          <cell r="E175">
            <v>35493</v>
          </cell>
          <cell r="F175">
            <v>35457</v>
          </cell>
          <cell r="G175">
            <v>1</v>
          </cell>
          <cell r="H175">
            <v>99.23</v>
          </cell>
          <cell r="I175" t="str">
            <v>Que Delícia</v>
          </cell>
          <cell r="J175" t="str">
            <v>Rua da Panificadora, 12</v>
          </cell>
          <cell r="K175" t="str">
            <v>Rio de Janeiro</v>
          </cell>
          <cell r="L175" t="str">
            <v>RJ</v>
          </cell>
          <cell r="M175" t="str">
            <v>02389-673</v>
          </cell>
          <cell r="N175" t="str">
            <v>Brazil</v>
          </cell>
        </row>
        <row r="176">
          <cell r="A176">
            <v>10422</v>
          </cell>
          <cell r="B176" t="str">
            <v>FRANS</v>
          </cell>
          <cell r="C176">
            <v>2</v>
          </cell>
          <cell r="D176">
            <v>35452</v>
          </cell>
          <cell r="E176">
            <v>35480</v>
          </cell>
          <cell r="F176">
            <v>35461</v>
          </cell>
          <cell r="G176">
            <v>1</v>
          </cell>
          <cell r="H176">
            <v>3.02</v>
          </cell>
          <cell r="I176" t="str">
            <v>Franchi S.p.A.</v>
          </cell>
          <cell r="J176" t="str">
            <v>Via Monte Bianco 34</v>
          </cell>
          <cell r="K176" t="str">
            <v>Torino</v>
          </cell>
          <cell r="M176" t="str">
            <v>10100</v>
          </cell>
          <cell r="N176" t="str">
            <v>Italy</v>
          </cell>
        </row>
        <row r="177">
          <cell r="A177">
            <v>10423</v>
          </cell>
          <cell r="B177" t="str">
            <v>GOURL</v>
          </cell>
          <cell r="C177">
            <v>6</v>
          </cell>
          <cell r="D177">
            <v>35453</v>
          </cell>
          <cell r="E177">
            <v>35467</v>
          </cell>
          <cell r="F177">
            <v>35485</v>
          </cell>
          <cell r="G177">
            <v>3</v>
          </cell>
          <cell r="H177">
            <v>24.5</v>
          </cell>
          <cell r="I177" t="str">
            <v>Gourmet Lanchonetes</v>
          </cell>
          <cell r="J177" t="str">
            <v>Av. Brasil, 442</v>
          </cell>
          <cell r="K177" t="str">
            <v>Campinas</v>
          </cell>
          <cell r="L177" t="str">
            <v>SP</v>
          </cell>
          <cell r="M177" t="str">
            <v>04876-786</v>
          </cell>
          <cell r="N177" t="str">
            <v>Brazil</v>
          </cell>
        </row>
        <row r="178">
          <cell r="A178">
            <v>10424</v>
          </cell>
          <cell r="B178" t="str">
            <v>MEREP</v>
          </cell>
          <cell r="C178">
            <v>7</v>
          </cell>
          <cell r="D178">
            <v>35453</v>
          </cell>
          <cell r="E178">
            <v>35481</v>
          </cell>
          <cell r="F178">
            <v>35457</v>
          </cell>
          <cell r="G178">
            <v>2</v>
          </cell>
          <cell r="H178">
            <v>370.61</v>
          </cell>
          <cell r="I178" t="str">
            <v>Mère Paillarde</v>
          </cell>
          <cell r="J178" t="str">
            <v>43 rue St. Laurent</v>
          </cell>
          <cell r="K178" t="str">
            <v>Montréal</v>
          </cell>
          <cell r="L178" t="str">
            <v>Québec</v>
          </cell>
          <cell r="M178" t="str">
            <v>H1J 1C3</v>
          </cell>
          <cell r="N178" t="str">
            <v>Canada</v>
          </cell>
        </row>
        <row r="179">
          <cell r="A179">
            <v>10425</v>
          </cell>
          <cell r="B179" t="str">
            <v>LAMAI</v>
          </cell>
          <cell r="C179">
            <v>6</v>
          </cell>
          <cell r="D179">
            <v>35454</v>
          </cell>
          <cell r="E179">
            <v>35482</v>
          </cell>
          <cell r="F179">
            <v>35475</v>
          </cell>
          <cell r="G179">
            <v>2</v>
          </cell>
          <cell r="H179">
            <v>7.93</v>
          </cell>
          <cell r="I179" t="str">
            <v>La maison d'Asie</v>
          </cell>
          <cell r="J179" t="str">
            <v>1 rue Alsace-Lorraine</v>
          </cell>
          <cell r="K179" t="str">
            <v>Toulouse</v>
          </cell>
          <cell r="M179" t="str">
            <v>31000</v>
          </cell>
          <cell r="N179" t="str">
            <v>France</v>
          </cell>
        </row>
        <row r="180">
          <cell r="A180">
            <v>10426</v>
          </cell>
          <cell r="B180" t="str">
            <v>GALED</v>
          </cell>
          <cell r="C180">
            <v>4</v>
          </cell>
          <cell r="D180">
            <v>35457</v>
          </cell>
          <cell r="E180">
            <v>35485</v>
          </cell>
          <cell r="F180">
            <v>35467</v>
          </cell>
          <cell r="G180">
            <v>1</v>
          </cell>
          <cell r="H180">
            <v>18.690000000000001</v>
          </cell>
          <cell r="I180" t="str">
            <v>Galería del gastronómo</v>
          </cell>
          <cell r="J180" t="str">
            <v>Rambla de Cataluña, 23</v>
          </cell>
          <cell r="K180" t="str">
            <v>Barcelona</v>
          </cell>
          <cell r="M180" t="str">
            <v>8022</v>
          </cell>
          <cell r="N180" t="str">
            <v>Spain</v>
          </cell>
        </row>
        <row r="181">
          <cell r="A181">
            <v>10427</v>
          </cell>
          <cell r="B181" t="str">
            <v>PICCO</v>
          </cell>
          <cell r="C181">
            <v>4</v>
          </cell>
          <cell r="D181">
            <v>35457</v>
          </cell>
          <cell r="E181">
            <v>35485</v>
          </cell>
          <cell r="F181">
            <v>35492</v>
          </cell>
          <cell r="G181">
            <v>2</v>
          </cell>
          <cell r="H181">
            <v>31.29</v>
          </cell>
          <cell r="I181" t="str">
            <v>Piccolo und mehr</v>
          </cell>
          <cell r="J181" t="str">
            <v>Geislweg 14</v>
          </cell>
          <cell r="K181" t="str">
            <v>Salzburg</v>
          </cell>
          <cell r="M181" t="str">
            <v>5020</v>
          </cell>
          <cell r="N181" t="str">
            <v>Austria</v>
          </cell>
        </row>
        <row r="182">
          <cell r="A182">
            <v>10428</v>
          </cell>
          <cell r="B182" t="str">
            <v>REGGC</v>
          </cell>
          <cell r="C182">
            <v>7</v>
          </cell>
          <cell r="D182">
            <v>35458</v>
          </cell>
          <cell r="E182">
            <v>35486</v>
          </cell>
          <cell r="F182">
            <v>35465</v>
          </cell>
          <cell r="G182">
            <v>1</v>
          </cell>
          <cell r="H182">
            <v>11.09</v>
          </cell>
          <cell r="I182" t="str">
            <v>Reggiani Caseifici</v>
          </cell>
          <cell r="J182" t="str">
            <v>Strada Provinciale 124</v>
          </cell>
          <cell r="K182" t="str">
            <v>Reggio Emilia</v>
          </cell>
          <cell r="M182" t="str">
            <v>42100</v>
          </cell>
          <cell r="N182" t="str">
            <v>Italy</v>
          </cell>
        </row>
        <row r="183">
          <cell r="A183">
            <v>10429</v>
          </cell>
          <cell r="B183" t="str">
            <v>HUNGO</v>
          </cell>
          <cell r="C183">
            <v>3</v>
          </cell>
          <cell r="D183">
            <v>35459</v>
          </cell>
          <cell r="E183">
            <v>35501</v>
          </cell>
          <cell r="F183">
            <v>35468</v>
          </cell>
          <cell r="G183">
            <v>2</v>
          </cell>
          <cell r="H183">
            <v>56.63</v>
          </cell>
          <cell r="I183" t="str">
            <v>Hungry Owl All-Night Grocers</v>
          </cell>
          <cell r="J183" t="str">
            <v>8 Johnstown Road</v>
          </cell>
          <cell r="K183" t="str">
            <v>Cork</v>
          </cell>
          <cell r="L183" t="str">
            <v>Co. Cork</v>
          </cell>
          <cell r="N183" t="str">
            <v>Ireland</v>
          </cell>
        </row>
        <row r="184">
          <cell r="A184">
            <v>10430</v>
          </cell>
          <cell r="B184" t="str">
            <v>ERNSH</v>
          </cell>
          <cell r="C184">
            <v>4</v>
          </cell>
          <cell r="D184">
            <v>35460</v>
          </cell>
          <cell r="E184">
            <v>35474</v>
          </cell>
          <cell r="F184">
            <v>35464</v>
          </cell>
          <cell r="G184">
            <v>1</v>
          </cell>
          <cell r="H184">
            <v>458.78</v>
          </cell>
          <cell r="I184" t="str">
            <v>Ernst Handel</v>
          </cell>
          <cell r="J184" t="str">
            <v>Kirchgasse 6</v>
          </cell>
          <cell r="K184" t="str">
            <v>Graz</v>
          </cell>
          <cell r="M184" t="str">
            <v>8010</v>
          </cell>
          <cell r="N184" t="str">
            <v>Austria</v>
          </cell>
        </row>
        <row r="185">
          <cell r="A185">
            <v>10431</v>
          </cell>
          <cell r="B185" t="str">
            <v>BOTTM</v>
          </cell>
          <cell r="C185">
            <v>4</v>
          </cell>
          <cell r="D185">
            <v>35460</v>
          </cell>
          <cell r="E185">
            <v>35474</v>
          </cell>
          <cell r="F185">
            <v>35468</v>
          </cell>
          <cell r="G185">
            <v>2</v>
          </cell>
          <cell r="H185">
            <v>44.17</v>
          </cell>
          <cell r="I185" t="str">
            <v>Bottom-Dollar Markets</v>
          </cell>
          <cell r="J185" t="str">
            <v>23 Tsawassen Blvd.</v>
          </cell>
          <cell r="K185" t="str">
            <v>Tsawassen</v>
          </cell>
          <cell r="L185" t="str">
            <v>BC</v>
          </cell>
          <cell r="M185" t="str">
            <v>T2F 8M4</v>
          </cell>
          <cell r="N185" t="str">
            <v>Canada</v>
          </cell>
        </row>
        <row r="186">
          <cell r="A186">
            <v>10432</v>
          </cell>
          <cell r="B186" t="str">
            <v>SPLIR</v>
          </cell>
          <cell r="C186">
            <v>3</v>
          </cell>
          <cell r="D186">
            <v>35461</v>
          </cell>
          <cell r="E186">
            <v>35475</v>
          </cell>
          <cell r="F186">
            <v>35468</v>
          </cell>
          <cell r="G186">
            <v>2</v>
          </cell>
          <cell r="H186">
            <v>4.34</v>
          </cell>
          <cell r="I186" t="str">
            <v>Split Rail Beer &amp; Ale</v>
          </cell>
          <cell r="J186" t="str">
            <v>P.O. Box 555</v>
          </cell>
          <cell r="K186" t="str">
            <v>Lander</v>
          </cell>
          <cell r="L186" t="str">
            <v>WY</v>
          </cell>
          <cell r="M186" t="str">
            <v>82520</v>
          </cell>
          <cell r="N186" t="str">
            <v>USA</v>
          </cell>
        </row>
        <row r="187">
          <cell r="A187">
            <v>10433</v>
          </cell>
          <cell r="B187" t="str">
            <v>PRINI</v>
          </cell>
          <cell r="C187">
            <v>3</v>
          </cell>
          <cell r="D187">
            <v>35464</v>
          </cell>
          <cell r="E187">
            <v>35492</v>
          </cell>
          <cell r="F187">
            <v>35493</v>
          </cell>
          <cell r="G187">
            <v>3</v>
          </cell>
          <cell r="H187">
            <v>73.83</v>
          </cell>
          <cell r="I187" t="str">
            <v>Princesa Isabel Vinhos</v>
          </cell>
          <cell r="J187" t="str">
            <v>Estrada da saúde n. 58</v>
          </cell>
          <cell r="K187" t="str">
            <v>Lisboa</v>
          </cell>
          <cell r="M187" t="str">
            <v>1756</v>
          </cell>
          <cell r="N187" t="str">
            <v>Portugal</v>
          </cell>
        </row>
        <row r="188">
          <cell r="A188">
            <v>10434</v>
          </cell>
          <cell r="B188" t="str">
            <v>FOLKO</v>
          </cell>
          <cell r="C188">
            <v>3</v>
          </cell>
          <cell r="D188">
            <v>35464</v>
          </cell>
          <cell r="E188">
            <v>35492</v>
          </cell>
          <cell r="F188">
            <v>35474</v>
          </cell>
          <cell r="G188">
            <v>2</v>
          </cell>
          <cell r="H188">
            <v>17.920000000000002</v>
          </cell>
          <cell r="I188" t="str">
            <v>Folk och fä HB</v>
          </cell>
          <cell r="J188" t="str">
            <v>Åkergatan 24</v>
          </cell>
          <cell r="K188" t="str">
            <v>Bräcke</v>
          </cell>
          <cell r="M188" t="str">
            <v>S-844 67</v>
          </cell>
          <cell r="N188" t="str">
            <v>Sweden</v>
          </cell>
        </row>
        <row r="189">
          <cell r="A189">
            <v>10435</v>
          </cell>
          <cell r="B189" t="str">
            <v>CONSH</v>
          </cell>
          <cell r="C189">
            <v>8</v>
          </cell>
          <cell r="D189">
            <v>35465</v>
          </cell>
          <cell r="E189">
            <v>35507</v>
          </cell>
          <cell r="F189">
            <v>35468</v>
          </cell>
          <cell r="G189">
            <v>2</v>
          </cell>
          <cell r="H189">
            <v>9.2100000000000009</v>
          </cell>
          <cell r="I189" t="str">
            <v>Consolidated Holdings</v>
          </cell>
          <cell r="J189" t="str">
            <v>Berkeley Gardens 12  Brewery</v>
          </cell>
          <cell r="K189" t="str">
            <v>London</v>
          </cell>
          <cell r="M189" t="str">
            <v>WX1 6LT</v>
          </cell>
          <cell r="N189" t="str">
            <v>UK</v>
          </cell>
        </row>
        <row r="190">
          <cell r="A190">
            <v>10436</v>
          </cell>
          <cell r="B190" t="str">
            <v>BLONP</v>
          </cell>
          <cell r="C190">
            <v>3</v>
          </cell>
          <cell r="D190">
            <v>35466</v>
          </cell>
          <cell r="E190">
            <v>35494</v>
          </cell>
          <cell r="F190">
            <v>35472</v>
          </cell>
          <cell r="G190">
            <v>2</v>
          </cell>
          <cell r="H190">
            <v>156.66</v>
          </cell>
          <cell r="I190" t="str">
            <v>Blondel père et fils</v>
          </cell>
          <cell r="J190" t="str">
            <v>24, place Kléber</v>
          </cell>
          <cell r="K190" t="str">
            <v>Strasbourg</v>
          </cell>
          <cell r="M190" t="str">
            <v>67000</v>
          </cell>
          <cell r="N190" t="str">
            <v>France</v>
          </cell>
        </row>
        <row r="191">
          <cell r="A191">
            <v>10437</v>
          </cell>
          <cell r="B191" t="str">
            <v>WARTH</v>
          </cell>
          <cell r="C191">
            <v>8</v>
          </cell>
          <cell r="D191">
            <v>35466</v>
          </cell>
          <cell r="E191">
            <v>35494</v>
          </cell>
          <cell r="F191">
            <v>35473</v>
          </cell>
          <cell r="G191">
            <v>1</v>
          </cell>
          <cell r="H191">
            <v>19.97</v>
          </cell>
          <cell r="I191" t="str">
            <v>Wartian Herkku</v>
          </cell>
          <cell r="J191" t="str">
            <v>Torikatu 38</v>
          </cell>
          <cell r="K191" t="str">
            <v>Oulu</v>
          </cell>
          <cell r="M191" t="str">
            <v>90110</v>
          </cell>
          <cell r="N191" t="str">
            <v>Finland</v>
          </cell>
        </row>
        <row r="192">
          <cell r="A192">
            <v>10438</v>
          </cell>
          <cell r="B192" t="str">
            <v>TOMSP</v>
          </cell>
          <cell r="C192">
            <v>3</v>
          </cell>
          <cell r="D192">
            <v>35467</v>
          </cell>
          <cell r="E192">
            <v>35495</v>
          </cell>
          <cell r="F192">
            <v>35475</v>
          </cell>
          <cell r="G192">
            <v>2</v>
          </cell>
          <cell r="H192">
            <v>8.24</v>
          </cell>
          <cell r="I192" t="str">
            <v>Toms Spezialitäten</v>
          </cell>
          <cell r="J192" t="str">
            <v>Luisenstr. 48</v>
          </cell>
          <cell r="K192" t="str">
            <v>Münster</v>
          </cell>
          <cell r="M192" t="str">
            <v>44087</v>
          </cell>
          <cell r="N192" t="str">
            <v>Germany</v>
          </cell>
        </row>
        <row r="193">
          <cell r="A193">
            <v>10439</v>
          </cell>
          <cell r="B193" t="str">
            <v>MEREP</v>
          </cell>
          <cell r="C193">
            <v>6</v>
          </cell>
          <cell r="D193">
            <v>35468</v>
          </cell>
          <cell r="E193">
            <v>35496</v>
          </cell>
          <cell r="F193">
            <v>35471</v>
          </cell>
          <cell r="G193">
            <v>3</v>
          </cell>
          <cell r="H193">
            <v>4.07</v>
          </cell>
          <cell r="I193" t="str">
            <v>Mère Paillarde</v>
          </cell>
          <cell r="J193" t="str">
            <v>43 rue St. Laurent</v>
          </cell>
          <cell r="K193" t="str">
            <v>Montréal</v>
          </cell>
          <cell r="L193" t="str">
            <v>Québec</v>
          </cell>
          <cell r="M193" t="str">
            <v>H1J 1C3</v>
          </cell>
          <cell r="N193" t="str">
            <v>Canada</v>
          </cell>
        </row>
        <row r="194">
          <cell r="A194">
            <v>10440</v>
          </cell>
          <cell r="B194" t="str">
            <v>SAVEA</v>
          </cell>
          <cell r="C194">
            <v>4</v>
          </cell>
          <cell r="D194">
            <v>35471</v>
          </cell>
          <cell r="E194">
            <v>35499</v>
          </cell>
          <cell r="F194">
            <v>35489</v>
          </cell>
          <cell r="G194">
            <v>2</v>
          </cell>
          <cell r="H194">
            <v>86.53</v>
          </cell>
          <cell r="I194" t="str">
            <v>Save-a-lot Markets</v>
          </cell>
          <cell r="J194" t="str">
            <v>187 Suffolk Ln.</v>
          </cell>
          <cell r="K194" t="str">
            <v>Boise</v>
          </cell>
          <cell r="L194" t="str">
            <v>ID</v>
          </cell>
          <cell r="M194" t="str">
            <v>83720</v>
          </cell>
          <cell r="N194" t="str">
            <v>USA</v>
          </cell>
        </row>
        <row r="195">
          <cell r="A195">
            <v>10441</v>
          </cell>
          <cell r="B195" t="str">
            <v>OLDWO</v>
          </cell>
          <cell r="C195">
            <v>3</v>
          </cell>
          <cell r="D195">
            <v>35471</v>
          </cell>
          <cell r="E195">
            <v>35513</v>
          </cell>
          <cell r="F195">
            <v>35503</v>
          </cell>
          <cell r="G195">
            <v>2</v>
          </cell>
          <cell r="H195">
            <v>73.02</v>
          </cell>
          <cell r="I195" t="str">
            <v>Old World Delicatessen</v>
          </cell>
          <cell r="J195" t="str">
            <v>2743 Bering St.</v>
          </cell>
          <cell r="K195" t="str">
            <v>Anchorage</v>
          </cell>
          <cell r="L195" t="str">
            <v>AK</v>
          </cell>
          <cell r="M195" t="str">
            <v>99508</v>
          </cell>
          <cell r="N195" t="str">
            <v>USA</v>
          </cell>
        </row>
        <row r="196">
          <cell r="A196">
            <v>10442</v>
          </cell>
          <cell r="B196" t="str">
            <v>ERNSH</v>
          </cell>
          <cell r="C196">
            <v>3</v>
          </cell>
          <cell r="D196">
            <v>35472</v>
          </cell>
          <cell r="E196">
            <v>35500</v>
          </cell>
          <cell r="F196">
            <v>35479</v>
          </cell>
          <cell r="G196">
            <v>2</v>
          </cell>
          <cell r="H196">
            <v>47.94</v>
          </cell>
          <cell r="I196" t="str">
            <v>Ernst Handel</v>
          </cell>
          <cell r="J196" t="str">
            <v>Kirchgasse 6</v>
          </cell>
          <cell r="K196" t="str">
            <v>Graz</v>
          </cell>
          <cell r="M196" t="str">
            <v>8010</v>
          </cell>
          <cell r="N196" t="str">
            <v>Austria</v>
          </cell>
        </row>
        <row r="197">
          <cell r="A197">
            <v>10443</v>
          </cell>
          <cell r="B197" t="str">
            <v>REGGC</v>
          </cell>
          <cell r="C197">
            <v>8</v>
          </cell>
          <cell r="D197">
            <v>35473</v>
          </cell>
          <cell r="E197">
            <v>35501</v>
          </cell>
          <cell r="F197">
            <v>35475</v>
          </cell>
          <cell r="G197">
            <v>1</v>
          </cell>
          <cell r="H197">
            <v>13.95</v>
          </cell>
          <cell r="I197" t="str">
            <v>Reggiani Caseifici</v>
          </cell>
          <cell r="J197" t="str">
            <v>Strada Provinciale 124</v>
          </cell>
          <cell r="K197" t="str">
            <v>Reggio Emilia</v>
          </cell>
          <cell r="M197" t="str">
            <v>42100</v>
          </cell>
          <cell r="N197" t="str">
            <v>Italy</v>
          </cell>
        </row>
        <row r="198">
          <cell r="A198">
            <v>10444</v>
          </cell>
          <cell r="B198" t="str">
            <v>BERGS</v>
          </cell>
          <cell r="C198">
            <v>3</v>
          </cell>
          <cell r="D198">
            <v>35473</v>
          </cell>
          <cell r="E198">
            <v>35501</v>
          </cell>
          <cell r="F198">
            <v>35482</v>
          </cell>
          <cell r="G198">
            <v>3</v>
          </cell>
          <cell r="H198">
            <v>3.5</v>
          </cell>
          <cell r="I198" t="str">
            <v>Berglunds snabbköp</v>
          </cell>
          <cell r="J198" t="str">
            <v>Berguvsvägen  8</v>
          </cell>
          <cell r="K198" t="str">
            <v>Luleå</v>
          </cell>
          <cell r="M198" t="str">
            <v>S-958 22</v>
          </cell>
          <cell r="N198" t="str">
            <v>Sweden</v>
          </cell>
        </row>
        <row r="199">
          <cell r="A199">
            <v>10445</v>
          </cell>
          <cell r="B199" t="str">
            <v>BERGS</v>
          </cell>
          <cell r="C199">
            <v>3</v>
          </cell>
          <cell r="D199">
            <v>35474</v>
          </cell>
          <cell r="E199">
            <v>35502</v>
          </cell>
          <cell r="F199">
            <v>35481</v>
          </cell>
          <cell r="G199">
            <v>1</v>
          </cell>
          <cell r="H199">
            <v>9.3000000000000007</v>
          </cell>
          <cell r="I199" t="str">
            <v>Berglunds snabbköp</v>
          </cell>
          <cell r="J199" t="str">
            <v>Berguvsvägen  8</v>
          </cell>
          <cell r="K199" t="str">
            <v>Luleå</v>
          </cell>
          <cell r="M199" t="str">
            <v>S-958 22</v>
          </cell>
          <cell r="N199" t="str">
            <v>Sweden</v>
          </cell>
        </row>
        <row r="200">
          <cell r="A200">
            <v>10446</v>
          </cell>
          <cell r="B200" t="str">
            <v>TOMSP</v>
          </cell>
          <cell r="C200">
            <v>6</v>
          </cell>
          <cell r="D200">
            <v>35475</v>
          </cell>
          <cell r="E200">
            <v>35503</v>
          </cell>
          <cell r="F200">
            <v>35480</v>
          </cell>
          <cell r="G200">
            <v>1</v>
          </cell>
          <cell r="H200">
            <v>14.68</v>
          </cell>
          <cell r="I200" t="str">
            <v>Toms Spezialitäten</v>
          </cell>
          <cell r="J200" t="str">
            <v>Luisenstr. 48</v>
          </cell>
          <cell r="K200" t="str">
            <v>Münster</v>
          </cell>
          <cell r="M200" t="str">
            <v>44087</v>
          </cell>
          <cell r="N200" t="str">
            <v>Germany</v>
          </cell>
        </row>
        <row r="201">
          <cell r="A201">
            <v>10447</v>
          </cell>
          <cell r="B201" t="str">
            <v>RICAR</v>
          </cell>
          <cell r="C201">
            <v>4</v>
          </cell>
          <cell r="D201">
            <v>35475</v>
          </cell>
          <cell r="E201">
            <v>35503</v>
          </cell>
          <cell r="F201">
            <v>35496</v>
          </cell>
          <cell r="G201">
            <v>2</v>
          </cell>
          <cell r="H201">
            <v>68.66</v>
          </cell>
          <cell r="I201" t="str">
            <v>Ricardo Adocicados</v>
          </cell>
          <cell r="J201" t="str">
            <v>Av. Copacabana, 267</v>
          </cell>
          <cell r="K201" t="str">
            <v>Rio de Janeiro</v>
          </cell>
          <cell r="L201" t="str">
            <v>RJ</v>
          </cell>
          <cell r="M201" t="str">
            <v>02389-890</v>
          </cell>
          <cell r="N201" t="str">
            <v>Brazil</v>
          </cell>
        </row>
        <row r="202">
          <cell r="A202">
            <v>10448</v>
          </cell>
          <cell r="B202" t="str">
            <v>RANCH</v>
          </cell>
          <cell r="C202">
            <v>4</v>
          </cell>
          <cell r="D202">
            <v>35478</v>
          </cell>
          <cell r="E202">
            <v>35506</v>
          </cell>
          <cell r="F202">
            <v>35485</v>
          </cell>
          <cell r="G202">
            <v>2</v>
          </cell>
          <cell r="H202">
            <v>38.82</v>
          </cell>
          <cell r="I202" t="str">
            <v>Rancho grande</v>
          </cell>
          <cell r="J202" t="str">
            <v>Av. del Libertador 900</v>
          </cell>
          <cell r="K202" t="str">
            <v>Buenos Aires</v>
          </cell>
          <cell r="M202" t="str">
            <v>1010</v>
          </cell>
          <cell r="N202" t="str">
            <v>Argentina</v>
          </cell>
        </row>
        <row r="203">
          <cell r="A203">
            <v>10449</v>
          </cell>
          <cell r="B203" t="str">
            <v>BLONP</v>
          </cell>
          <cell r="C203">
            <v>3</v>
          </cell>
          <cell r="D203">
            <v>35479</v>
          </cell>
          <cell r="E203">
            <v>35507</v>
          </cell>
          <cell r="F203">
            <v>35488</v>
          </cell>
          <cell r="G203">
            <v>2</v>
          </cell>
          <cell r="H203">
            <v>53.3</v>
          </cell>
          <cell r="I203" t="str">
            <v>Blondel père et fils</v>
          </cell>
          <cell r="J203" t="str">
            <v>24, place Kléber</v>
          </cell>
          <cell r="K203" t="str">
            <v>Strasbourg</v>
          </cell>
          <cell r="M203" t="str">
            <v>67000</v>
          </cell>
          <cell r="N203" t="str">
            <v>France</v>
          </cell>
        </row>
        <row r="204">
          <cell r="A204">
            <v>10450</v>
          </cell>
          <cell r="B204" t="str">
            <v>VICTE</v>
          </cell>
          <cell r="C204">
            <v>8</v>
          </cell>
          <cell r="D204">
            <v>35480</v>
          </cell>
          <cell r="E204">
            <v>35508</v>
          </cell>
          <cell r="F204">
            <v>35500</v>
          </cell>
          <cell r="G204">
            <v>2</v>
          </cell>
          <cell r="H204">
            <v>7.23</v>
          </cell>
          <cell r="I204" t="str">
            <v>Victuailles en stock</v>
          </cell>
          <cell r="J204" t="str">
            <v>2, rue du Commerce</v>
          </cell>
          <cell r="K204" t="str">
            <v>Lyon</v>
          </cell>
          <cell r="M204" t="str">
            <v>69004</v>
          </cell>
          <cell r="N204" t="str">
            <v>France</v>
          </cell>
        </row>
        <row r="205">
          <cell r="A205">
            <v>10451</v>
          </cell>
          <cell r="B205" t="str">
            <v>QUICK</v>
          </cell>
          <cell r="C205">
            <v>4</v>
          </cell>
          <cell r="D205">
            <v>35480</v>
          </cell>
          <cell r="E205">
            <v>35494</v>
          </cell>
          <cell r="F205">
            <v>35501</v>
          </cell>
          <cell r="G205">
            <v>3</v>
          </cell>
          <cell r="H205">
            <v>189.09</v>
          </cell>
          <cell r="I205" t="str">
            <v>QUICK-Stop</v>
          </cell>
          <cell r="J205" t="str">
            <v>Taucherstraße 10</v>
          </cell>
          <cell r="K205" t="str">
            <v>Cunewalde</v>
          </cell>
          <cell r="M205" t="str">
            <v>01307</v>
          </cell>
          <cell r="N205" t="str">
            <v>Germany</v>
          </cell>
        </row>
        <row r="206">
          <cell r="A206">
            <v>10452</v>
          </cell>
          <cell r="B206" t="str">
            <v>SAVEA</v>
          </cell>
          <cell r="C206">
            <v>8</v>
          </cell>
          <cell r="D206">
            <v>35481</v>
          </cell>
          <cell r="E206">
            <v>35509</v>
          </cell>
          <cell r="F206">
            <v>35487</v>
          </cell>
          <cell r="G206">
            <v>1</v>
          </cell>
          <cell r="H206">
            <v>140.26</v>
          </cell>
          <cell r="I206" t="str">
            <v>Save-a-lot Markets</v>
          </cell>
          <cell r="J206" t="str">
            <v>187 Suffolk Ln.</v>
          </cell>
          <cell r="K206" t="str">
            <v>Boise</v>
          </cell>
          <cell r="L206" t="str">
            <v>ID</v>
          </cell>
          <cell r="M206" t="str">
            <v>83720</v>
          </cell>
          <cell r="N206" t="str">
            <v>USA</v>
          </cell>
        </row>
        <row r="207">
          <cell r="A207">
            <v>10453</v>
          </cell>
          <cell r="B207" t="str">
            <v>AROUT</v>
          </cell>
          <cell r="C207">
            <v>1</v>
          </cell>
          <cell r="D207">
            <v>35482</v>
          </cell>
          <cell r="E207">
            <v>35510</v>
          </cell>
          <cell r="F207">
            <v>35487</v>
          </cell>
          <cell r="G207">
            <v>2</v>
          </cell>
          <cell r="H207">
            <v>25.36</v>
          </cell>
          <cell r="I207" t="str">
            <v>Around the Horn</v>
          </cell>
          <cell r="J207" t="str">
            <v>Brook Farm Stratford St. Mary</v>
          </cell>
          <cell r="K207" t="str">
            <v>Colchester</v>
          </cell>
          <cell r="L207" t="str">
            <v>Essex</v>
          </cell>
          <cell r="M207" t="str">
            <v>CO7 6JX</v>
          </cell>
          <cell r="N207" t="str">
            <v>UK</v>
          </cell>
        </row>
        <row r="208">
          <cell r="A208">
            <v>10454</v>
          </cell>
          <cell r="B208" t="str">
            <v>LAMAI</v>
          </cell>
          <cell r="C208">
            <v>4</v>
          </cell>
          <cell r="D208">
            <v>35482</v>
          </cell>
          <cell r="E208">
            <v>35510</v>
          </cell>
          <cell r="F208">
            <v>35486</v>
          </cell>
          <cell r="G208">
            <v>3</v>
          </cell>
          <cell r="H208">
            <v>2.74</v>
          </cell>
          <cell r="I208" t="str">
            <v>La maison d'Asie</v>
          </cell>
          <cell r="J208" t="str">
            <v>1 rue Alsace-Lorraine</v>
          </cell>
          <cell r="K208" t="str">
            <v>Toulouse</v>
          </cell>
          <cell r="M208" t="str">
            <v>31000</v>
          </cell>
          <cell r="N208" t="str">
            <v>France</v>
          </cell>
        </row>
        <row r="209">
          <cell r="A209">
            <v>10455</v>
          </cell>
          <cell r="B209" t="str">
            <v>WARTH</v>
          </cell>
          <cell r="C209">
            <v>8</v>
          </cell>
          <cell r="D209">
            <v>35485</v>
          </cell>
          <cell r="E209">
            <v>35527</v>
          </cell>
          <cell r="F209">
            <v>35492</v>
          </cell>
          <cell r="G209">
            <v>2</v>
          </cell>
          <cell r="H209">
            <v>180.45</v>
          </cell>
          <cell r="I209" t="str">
            <v>Wartian Herkku</v>
          </cell>
          <cell r="J209" t="str">
            <v>Torikatu 38</v>
          </cell>
          <cell r="K209" t="str">
            <v>Oulu</v>
          </cell>
          <cell r="M209" t="str">
            <v>90110</v>
          </cell>
          <cell r="N209" t="str">
            <v>Finland</v>
          </cell>
        </row>
        <row r="210">
          <cell r="A210">
            <v>10456</v>
          </cell>
          <cell r="B210" t="str">
            <v>KOENE</v>
          </cell>
          <cell r="C210">
            <v>8</v>
          </cell>
          <cell r="D210">
            <v>35486</v>
          </cell>
          <cell r="E210">
            <v>35528</v>
          </cell>
          <cell r="F210">
            <v>35489</v>
          </cell>
          <cell r="G210">
            <v>2</v>
          </cell>
          <cell r="H210">
            <v>8.1199999999999992</v>
          </cell>
          <cell r="I210" t="str">
            <v>Königlich Essen</v>
          </cell>
          <cell r="J210" t="str">
            <v>Maubelstr. 90</v>
          </cell>
          <cell r="K210" t="str">
            <v>Brandenburg</v>
          </cell>
          <cell r="M210" t="str">
            <v>14776</v>
          </cell>
          <cell r="N210" t="str">
            <v>Germany</v>
          </cell>
        </row>
        <row r="211">
          <cell r="A211">
            <v>10457</v>
          </cell>
          <cell r="B211" t="str">
            <v>KOENE</v>
          </cell>
          <cell r="C211">
            <v>2</v>
          </cell>
          <cell r="D211">
            <v>35486</v>
          </cell>
          <cell r="E211">
            <v>35514</v>
          </cell>
          <cell r="F211">
            <v>35492</v>
          </cell>
          <cell r="G211">
            <v>1</v>
          </cell>
          <cell r="H211">
            <v>11.57</v>
          </cell>
          <cell r="I211" t="str">
            <v>Königlich Essen</v>
          </cell>
          <cell r="J211" t="str">
            <v>Maubelstr. 90</v>
          </cell>
          <cell r="K211" t="str">
            <v>Brandenburg</v>
          </cell>
          <cell r="M211" t="str">
            <v>14776</v>
          </cell>
          <cell r="N211" t="str">
            <v>Germany</v>
          </cell>
        </row>
        <row r="212">
          <cell r="A212">
            <v>10458</v>
          </cell>
          <cell r="B212" t="str">
            <v>SUPRD</v>
          </cell>
          <cell r="C212">
            <v>7</v>
          </cell>
          <cell r="D212">
            <v>35487</v>
          </cell>
          <cell r="E212">
            <v>35515</v>
          </cell>
          <cell r="F212">
            <v>35493</v>
          </cell>
          <cell r="G212">
            <v>3</v>
          </cell>
          <cell r="H212">
            <v>147.06</v>
          </cell>
          <cell r="I212" t="str">
            <v>Suprêmes délices</v>
          </cell>
          <cell r="J212" t="str">
            <v>Boulevard Tirou, 255</v>
          </cell>
          <cell r="K212" t="str">
            <v>Charleroi</v>
          </cell>
          <cell r="M212" t="str">
            <v>B-6000</v>
          </cell>
          <cell r="N212" t="str">
            <v>Belgium</v>
          </cell>
        </row>
        <row r="213">
          <cell r="A213">
            <v>10459</v>
          </cell>
          <cell r="B213" t="str">
            <v>VICTE</v>
          </cell>
          <cell r="C213">
            <v>4</v>
          </cell>
          <cell r="D213">
            <v>35488</v>
          </cell>
          <cell r="E213">
            <v>35516</v>
          </cell>
          <cell r="F213">
            <v>35489</v>
          </cell>
          <cell r="G213">
            <v>2</v>
          </cell>
          <cell r="H213">
            <v>25.09</v>
          </cell>
          <cell r="I213" t="str">
            <v>Victuailles en stock</v>
          </cell>
          <cell r="J213" t="str">
            <v>2, rue du Commerce</v>
          </cell>
          <cell r="K213" t="str">
            <v>Lyon</v>
          </cell>
          <cell r="M213" t="str">
            <v>69004</v>
          </cell>
          <cell r="N213" t="str">
            <v>France</v>
          </cell>
        </row>
        <row r="214">
          <cell r="A214">
            <v>10460</v>
          </cell>
          <cell r="B214" t="str">
            <v>FOLKO</v>
          </cell>
          <cell r="C214">
            <v>8</v>
          </cell>
          <cell r="D214">
            <v>35489</v>
          </cell>
          <cell r="E214">
            <v>35517</v>
          </cell>
          <cell r="F214">
            <v>35492</v>
          </cell>
          <cell r="G214">
            <v>1</v>
          </cell>
          <cell r="H214">
            <v>16.27</v>
          </cell>
          <cell r="I214" t="str">
            <v>Folk och fä HB</v>
          </cell>
          <cell r="J214" t="str">
            <v>Åkergatan 24</v>
          </cell>
          <cell r="K214" t="str">
            <v>Bräcke</v>
          </cell>
          <cell r="M214" t="str">
            <v>S-844 67</v>
          </cell>
          <cell r="N214" t="str">
            <v>Sweden</v>
          </cell>
        </row>
        <row r="215">
          <cell r="A215">
            <v>10461</v>
          </cell>
          <cell r="B215" t="str">
            <v>LILAS</v>
          </cell>
          <cell r="C215">
            <v>1</v>
          </cell>
          <cell r="D215">
            <v>35489</v>
          </cell>
          <cell r="E215">
            <v>35517</v>
          </cell>
          <cell r="F215">
            <v>35494</v>
          </cell>
          <cell r="G215">
            <v>3</v>
          </cell>
          <cell r="H215">
            <v>148.61000000000001</v>
          </cell>
          <cell r="I215" t="str">
            <v>LILA-Supermercado</v>
          </cell>
          <cell r="J215" t="str">
            <v>Carrera 52 con Ave. Bolívar #65-98 Llano Largo</v>
          </cell>
          <cell r="K215" t="str">
            <v>Barquisimeto</v>
          </cell>
          <cell r="L215" t="str">
            <v>Lara</v>
          </cell>
          <cell r="M215" t="str">
            <v>3508</v>
          </cell>
          <cell r="N215" t="str">
            <v>Venezuela</v>
          </cell>
        </row>
        <row r="216">
          <cell r="A216">
            <v>10462</v>
          </cell>
          <cell r="B216" t="str">
            <v>CONSH</v>
          </cell>
          <cell r="C216">
            <v>2</v>
          </cell>
          <cell r="D216">
            <v>35492</v>
          </cell>
          <cell r="E216">
            <v>35520</v>
          </cell>
          <cell r="F216">
            <v>35507</v>
          </cell>
          <cell r="G216">
            <v>1</v>
          </cell>
          <cell r="H216">
            <v>6.17</v>
          </cell>
          <cell r="I216" t="str">
            <v>Consolidated Holdings</v>
          </cell>
          <cell r="J216" t="str">
            <v>Berkeley Gardens 12  Brewery</v>
          </cell>
          <cell r="K216" t="str">
            <v>London</v>
          </cell>
          <cell r="M216" t="str">
            <v>WX1 6LT</v>
          </cell>
          <cell r="N216" t="str">
            <v>UK</v>
          </cell>
        </row>
        <row r="217">
          <cell r="A217">
            <v>10463</v>
          </cell>
          <cell r="B217" t="str">
            <v>SUPRD</v>
          </cell>
          <cell r="C217">
            <v>5</v>
          </cell>
          <cell r="D217">
            <v>35493</v>
          </cell>
          <cell r="E217">
            <v>35521</v>
          </cell>
          <cell r="F217">
            <v>35495</v>
          </cell>
          <cell r="G217">
            <v>3</v>
          </cell>
          <cell r="H217">
            <v>14.78</v>
          </cell>
          <cell r="I217" t="str">
            <v>Suprêmes délices</v>
          </cell>
          <cell r="J217" t="str">
            <v>Boulevard Tirou, 255</v>
          </cell>
          <cell r="K217" t="str">
            <v>Charleroi</v>
          </cell>
          <cell r="M217" t="str">
            <v>B-6000</v>
          </cell>
          <cell r="N217" t="str">
            <v>Belgium</v>
          </cell>
        </row>
        <row r="218">
          <cell r="A218">
            <v>10464</v>
          </cell>
          <cell r="B218" t="str">
            <v>FURIB</v>
          </cell>
          <cell r="C218">
            <v>4</v>
          </cell>
          <cell r="D218">
            <v>35493</v>
          </cell>
          <cell r="E218">
            <v>35521</v>
          </cell>
          <cell r="F218">
            <v>35503</v>
          </cell>
          <cell r="G218">
            <v>2</v>
          </cell>
          <cell r="H218">
            <v>89</v>
          </cell>
          <cell r="I218" t="str">
            <v>Furia Bacalhau e Frutos do Mar</v>
          </cell>
          <cell r="J218" t="str">
            <v>Jardim das rosas n. 32</v>
          </cell>
          <cell r="K218" t="str">
            <v>Lisboa</v>
          </cell>
          <cell r="M218" t="str">
            <v>1675</v>
          </cell>
          <cell r="N218" t="str">
            <v>Portugal</v>
          </cell>
        </row>
        <row r="219">
          <cell r="A219">
            <v>10465</v>
          </cell>
          <cell r="B219" t="str">
            <v>VAFFE</v>
          </cell>
          <cell r="C219">
            <v>1</v>
          </cell>
          <cell r="D219">
            <v>35494</v>
          </cell>
          <cell r="E219">
            <v>35522</v>
          </cell>
          <cell r="F219">
            <v>35503</v>
          </cell>
          <cell r="G219">
            <v>3</v>
          </cell>
          <cell r="H219">
            <v>145.04</v>
          </cell>
          <cell r="I219" t="str">
            <v>Vaffeljernet</v>
          </cell>
          <cell r="J219" t="str">
            <v>Smagsloget 45</v>
          </cell>
          <cell r="K219" t="str">
            <v>Århus</v>
          </cell>
          <cell r="M219" t="str">
            <v>8200</v>
          </cell>
          <cell r="N219" t="str">
            <v>Denmark</v>
          </cell>
        </row>
        <row r="220">
          <cell r="A220">
            <v>10466</v>
          </cell>
          <cell r="B220" t="str">
            <v>COMMI</v>
          </cell>
          <cell r="C220">
            <v>4</v>
          </cell>
          <cell r="D220">
            <v>35495</v>
          </cell>
          <cell r="E220">
            <v>35523</v>
          </cell>
          <cell r="F220">
            <v>35502</v>
          </cell>
          <cell r="G220">
            <v>1</v>
          </cell>
          <cell r="H220">
            <v>11.93</v>
          </cell>
          <cell r="I220" t="str">
            <v>Comércio Mineiro</v>
          </cell>
          <cell r="J220" t="str">
            <v>Av. dos Lusíadas, 23</v>
          </cell>
          <cell r="K220" t="str">
            <v>Sao Paulo</v>
          </cell>
          <cell r="L220" t="str">
            <v>SP</v>
          </cell>
          <cell r="M220" t="str">
            <v>05432-043</v>
          </cell>
          <cell r="N220" t="str">
            <v>Brazil</v>
          </cell>
        </row>
        <row r="221">
          <cell r="A221">
            <v>10467</v>
          </cell>
          <cell r="B221" t="str">
            <v>MAGAA</v>
          </cell>
          <cell r="C221">
            <v>8</v>
          </cell>
          <cell r="D221">
            <v>35495</v>
          </cell>
          <cell r="E221">
            <v>35523</v>
          </cell>
          <cell r="F221">
            <v>35500</v>
          </cell>
          <cell r="G221">
            <v>2</v>
          </cell>
          <cell r="H221">
            <v>4.93</v>
          </cell>
          <cell r="I221" t="str">
            <v>Magazzini Alimentari Riuniti</v>
          </cell>
          <cell r="J221" t="str">
            <v>Via Ludovico il Moro 22</v>
          </cell>
          <cell r="K221" t="str">
            <v>Bergamo</v>
          </cell>
          <cell r="M221" t="str">
            <v>24100</v>
          </cell>
          <cell r="N221" t="str">
            <v>Italy</v>
          </cell>
        </row>
        <row r="222">
          <cell r="A222">
            <v>10468</v>
          </cell>
          <cell r="B222" t="str">
            <v>KOENE</v>
          </cell>
          <cell r="C222">
            <v>3</v>
          </cell>
          <cell r="D222">
            <v>35496</v>
          </cell>
          <cell r="E222">
            <v>35524</v>
          </cell>
          <cell r="F222">
            <v>35501</v>
          </cell>
          <cell r="G222">
            <v>3</v>
          </cell>
          <cell r="H222">
            <v>44.12</v>
          </cell>
          <cell r="I222" t="str">
            <v>Königlich Essen</v>
          </cell>
          <cell r="J222" t="str">
            <v>Maubelstr. 90</v>
          </cell>
          <cell r="K222" t="str">
            <v>Brandenburg</v>
          </cell>
          <cell r="M222" t="str">
            <v>14776</v>
          </cell>
          <cell r="N222" t="str">
            <v>Germany</v>
          </cell>
        </row>
        <row r="223">
          <cell r="A223">
            <v>10469</v>
          </cell>
          <cell r="B223" t="str">
            <v>WHITC</v>
          </cell>
          <cell r="C223">
            <v>1</v>
          </cell>
          <cell r="D223">
            <v>35499</v>
          </cell>
          <cell r="E223">
            <v>35527</v>
          </cell>
          <cell r="F223">
            <v>35503</v>
          </cell>
          <cell r="G223">
            <v>1</v>
          </cell>
          <cell r="H223">
            <v>60.18</v>
          </cell>
          <cell r="I223" t="str">
            <v>White Clover Markets</v>
          </cell>
          <cell r="J223" t="str">
            <v>1029 - 12th Ave. S.</v>
          </cell>
          <cell r="K223" t="str">
            <v>Seattle</v>
          </cell>
          <cell r="L223" t="str">
            <v>WA</v>
          </cell>
          <cell r="M223" t="str">
            <v>98124</v>
          </cell>
          <cell r="N223" t="str">
            <v>USA</v>
          </cell>
        </row>
        <row r="224">
          <cell r="A224">
            <v>10470</v>
          </cell>
          <cell r="B224" t="str">
            <v>BONAP</v>
          </cell>
          <cell r="C224">
            <v>4</v>
          </cell>
          <cell r="D224">
            <v>35500</v>
          </cell>
          <cell r="E224">
            <v>35528</v>
          </cell>
          <cell r="F224">
            <v>35503</v>
          </cell>
          <cell r="G224">
            <v>2</v>
          </cell>
          <cell r="H224">
            <v>64.56</v>
          </cell>
          <cell r="I224" t="str">
            <v>Bon app'</v>
          </cell>
          <cell r="J224" t="str">
            <v>12, rue des Bouchers</v>
          </cell>
          <cell r="K224" t="str">
            <v>Marseille</v>
          </cell>
          <cell r="M224" t="str">
            <v>13008</v>
          </cell>
          <cell r="N224" t="str">
            <v>France</v>
          </cell>
        </row>
        <row r="225">
          <cell r="A225">
            <v>10471</v>
          </cell>
          <cell r="B225" t="str">
            <v>BSBEV</v>
          </cell>
          <cell r="C225">
            <v>2</v>
          </cell>
          <cell r="D225">
            <v>35500</v>
          </cell>
          <cell r="E225">
            <v>35528</v>
          </cell>
          <cell r="F225">
            <v>35507</v>
          </cell>
          <cell r="G225">
            <v>3</v>
          </cell>
          <cell r="H225">
            <v>45.59</v>
          </cell>
          <cell r="I225" t="str">
            <v>B's Beverages</v>
          </cell>
          <cell r="J225" t="str">
            <v>Fauntleroy Circus</v>
          </cell>
          <cell r="K225" t="str">
            <v>London</v>
          </cell>
          <cell r="M225" t="str">
            <v>EC2 5NT</v>
          </cell>
          <cell r="N225" t="str">
            <v>UK</v>
          </cell>
        </row>
        <row r="226">
          <cell r="A226">
            <v>10472</v>
          </cell>
          <cell r="B226" t="str">
            <v>SEVES</v>
          </cell>
          <cell r="C226">
            <v>8</v>
          </cell>
          <cell r="D226">
            <v>35501</v>
          </cell>
          <cell r="E226">
            <v>35529</v>
          </cell>
          <cell r="F226">
            <v>35508</v>
          </cell>
          <cell r="G226">
            <v>1</v>
          </cell>
          <cell r="H226">
            <v>4.2</v>
          </cell>
          <cell r="I226" t="str">
            <v>Seven Seas Imports</v>
          </cell>
          <cell r="J226" t="str">
            <v>90 Wadhurst Rd.</v>
          </cell>
          <cell r="K226" t="str">
            <v>London</v>
          </cell>
          <cell r="M226" t="str">
            <v>OX15 4NB</v>
          </cell>
          <cell r="N226" t="str">
            <v>UK</v>
          </cell>
        </row>
        <row r="227">
          <cell r="A227">
            <v>10473</v>
          </cell>
          <cell r="B227" t="str">
            <v>ISLAT</v>
          </cell>
          <cell r="C227">
            <v>1</v>
          </cell>
          <cell r="D227">
            <v>35502</v>
          </cell>
          <cell r="E227">
            <v>35516</v>
          </cell>
          <cell r="F227">
            <v>35510</v>
          </cell>
          <cell r="G227">
            <v>3</v>
          </cell>
          <cell r="H227">
            <v>16.37</v>
          </cell>
          <cell r="I227" t="str">
            <v>Island Trading</v>
          </cell>
          <cell r="J227" t="str">
            <v>Garden House Crowther Way</v>
          </cell>
          <cell r="K227" t="str">
            <v>Cowes</v>
          </cell>
          <cell r="L227" t="str">
            <v>Isle of Wight</v>
          </cell>
          <cell r="M227" t="str">
            <v>PO31 7PJ</v>
          </cell>
          <cell r="N227" t="str">
            <v>UK</v>
          </cell>
        </row>
        <row r="228">
          <cell r="A228">
            <v>10474</v>
          </cell>
          <cell r="B228" t="str">
            <v>PERIC</v>
          </cell>
          <cell r="C228">
            <v>5</v>
          </cell>
          <cell r="D228">
            <v>35502</v>
          </cell>
          <cell r="E228">
            <v>35530</v>
          </cell>
          <cell r="F228">
            <v>35510</v>
          </cell>
          <cell r="G228">
            <v>2</v>
          </cell>
          <cell r="H228">
            <v>83.49</v>
          </cell>
          <cell r="I228" t="str">
            <v>Pericles Comidas clásicas</v>
          </cell>
          <cell r="J228" t="str">
            <v>Calle Dr. Jorge Cash 321</v>
          </cell>
          <cell r="K228" t="str">
            <v>México D.F.</v>
          </cell>
          <cell r="M228" t="str">
            <v>05033</v>
          </cell>
          <cell r="N228" t="str">
            <v>Mexico</v>
          </cell>
        </row>
        <row r="229">
          <cell r="A229">
            <v>10475</v>
          </cell>
          <cell r="B229" t="str">
            <v>SUPRD</v>
          </cell>
          <cell r="C229">
            <v>9</v>
          </cell>
          <cell r="D229">
            <v>35503</v>
          </cell>
          <cell r="E229">
            <v>35531</v>
          </cell>
          <cell r="F229">
            <v>35524</v>
          </cell>
          <cell r="G229">
            <v>1</v>
          </cell>
          <cell r="H229">
            <v>68.52</v>
          </cell>
          <cell r="I229" t="str">
            <v>Suprêmes délices</v>
          </cell>
          <cell r="J229" t="str">
            <v>Boulevard Tirou, 255</v>
          </cell>
          <cell r="K229" t="str">
            <v>Charleroi</v>
          </cell>
          <cell r="M229" t="str">
            <v>B-6000</v>
          </cell>
          <cell r="N229" t="str">
            <v>Belgium</v>
          </cell>
        </row>
        <row r="230">
          <cell r="A230">
            <v>10476</v>
          </cell>
          <cell r="B230" t="str">
            <v>HILAA</v>
          </cell>
          <cell r="C230">
            <v>8</v>
          </cell>
          <cell r="D230">
            <v>35506</v>
          </cell>
          <cell r="E230">
            <v>35534</v>
          </cell>
          <cell r="F230">
            <v>35513</v>
          </cell>
          <cell r="G230">
            <v>3</v>
          </cell>
          <cell r="H230">
            <v>4.41</v>
          </cell>
          <cell r="I230" t="str">
            <v>HILARION-Abastos</v>
          </cell>
          <cell r="J230" t="str">
            <v>Carrera 22 con Ave. Carlos Soublette #8-35</v>
          </cell>
          <cell r="K230" t="str">
            <v>San Cristóbal</v>
          </cell>
          <cell r="L230" t="str">
            <v>Táchira</v>
          </cell>
          <cell r="M230" t="str">
            <v>5022</v>
          </cell>
          <cell r="N230" t="str">
            <v>Venezuela</v>
          </cell>
        </row>
        <row r="231">
          <cell r="A231">
            <v>10477</v>
          </cell>
          <cell r="B231" t="str">
            <v>PRINI</v>
          </cell>
          <cell r="C231">
            <v>5</v>
          </cell>
          <cell r="D231">
            <v>35506</v>
          </cell>
          <cell r="E231">
            <v>35534</v>
          </cell>
          <cell r="F231">
            <v>35514</v>
          </cell>
          <cell r="G231">
            <v>2</v>
          </cell>
          <cell r="H231">
            <v>13.02</v>
          </cell>
          <cell r="I231" t="str">
            <v>Princesa Isabel Vinhos</v>
          </cell>
          <cell r="J231" t="str">
            <v>Estrada da saúde n. 58</v>
          </cell>
          <cell r="K231" t="str">
            <v>Lisboa</v>
          </cell>
          <cell r="M231" t="str">
            <v>1756</v>
          </cell>
          <cell r="N231" t="str">
            <v>Portugal</v>
          </cell>
        </row>
        <row r="232">
          <cell r="A232">
            <v>10478</v>
          </cell>
          <cell r="B232" t="str">
            <v>VICTE</v>
          </cell>
          <cell r="C232">
            <v>2</v>
          </cell>
          <cell r="D232">
            <v>35507</v>
          </cell>
          <cell r="E232">
            <v>35521</v>
          </cell>
          <cell r="F232">
            <v>35515</v>
          </cell>
          <cell r="G232">
            <v>3</v>
          </cell>
          <cell r="H232">
            <v>4.8099999999999996</v>
          </cell>
          <cell r="I232" t="str">
            <v>Victuailles en stock</v>
          </cell>
          <cell r="J232" t="str">
            <v>2, rue du Commerce</v>
          </cell>
          <cell r="K232" t="str">
            <v>Lyon</v>
          </cell>
          <cell r="M232" t="str">
            <v>69004</v>
          </cell>
          <cell r="N232" t="str">
            <v>France</v>
          </cell>
        </row>
        <row r="233">
          <cell r="A233">
            <v>10479</v>
          </cell>
          <cell r="B233" t="str">
            <v>RATTC</v>
          </cell>
          <cell r="C233">
            <v>3</v>
          </cell>
          <cell r="D233">
            <v>35508</v>
          </cell>
          <cell r="E233">
            <v>35536</v>
          </cell>
          <cell r="F233">
            <v>35510</v>
          </cell>
          <cell r="G233">
            <v>3</v>
          </cell>
          <cell r="H233">
            <v>708.95</v>
          </cell>
          <cell r="I233" t="str">
            <v>Rattlesnake Canyon Grocery</v>
          </cell>
          <cell r="J233" t="str">
            <v>2817 Milton Dr.</v>
          </cell>
          <cell r="K233" t="str">
            <v>Albuquerque</v>
          </cell>
          <cell r="L233" t="str">
            <v>NM</v>
          </cell>
          <cell r="M233" t="str">
            <v>87110</v>
          </cell>
          <cell r="N233" t="str">
            <v>USA</v>
          </cell>
        </row>
        <row r="234">
          <cell r="A234">
            <v>10480</v>
          </cell>
          <cell r="B234" t="str">
            <v>FOLIG</v>
          </cell>
          <cell r="C234">
            <v>6</v>
          </cell>
          <cell r="D234">
            <v>35509</v>
          </cell>
          <cell r="E234">
            <v>35537</v>
          </cell>
          <cell r="F234">
            <v>35513</v>
          </cell>
          <cell r="G234">
            <v>2</v>
          </cell>
          <cell r="H234">
            <v>1.35</v>
          </cell>
          <cell r="I234" t="str">
            <v>Folies gourmandes</v>
          </cell>
          <cell r="J234" t="str">
            <v>184, chaussée de Tournai</v>
          </cell>
          <cell r="K234" t="str">
            <v>Lille</v>
          </cell>
          <cell r="M234" t="str">
            <v>59000</v>
          </cell>
          <cell r="N234" t="str">
            <v>France</v>
          </cell>
        </row>
        <row r="235">
          <cell r="A235">
            <v>10481</v>
          </cell>
          <cell r="B235" t="str">
            <v>RICAR</v>
          </cell>
          <cell r="C235">
            <v>8</v>
          </cell>
          <cell r="D235">
            <v>35509</v>
          </cell>
          <cell r="E235">
            <v>35537</v>
          </cell>
          <cell r="F235">
            <v>35514</v>
          </cell>
          <cell r="G235">
            <v>2</v>
          </cell>
          <cell r="H235">
            <v>64.33</v>
          </cell>
          <cell r="I235" t="str">
            <v>Ricardo Adocicados</v>
          </cell>
          <cell r="J235" t="str">
            <v>Av. Copacabana, 267</v>
          </cell>
          <cell r="K235" t="str">
            <v>Rio de Janeiro</v>
          </cell>
          <cell r="L235" t="str">
            <v>RJ</v>
          </cell>
          <cell r="M235" t="str">
            <v>02389-890</v>
          </cell>
          <cell r="N235" t="str">
            <v>Brazil</v>
          </cell>
        </row>
        <row r="236">
          <cell r="A236">
            <v>10482</v>
          </cell>
          <cell r="B236" t="str">
            <v>LAZYK</v>
          </cell>
          <cell r="C236">
            <v>1</v>
          </cell>
          <cell r="D236">
            <v>35510</v>
          </cell>
          <cell r="E236">
            <v>35538</v>
          </cell>
          <cell r="F236">
            <v>35530</v>
          </cell>
          <cell r="G236">
            <v>3</v>
          </cell>
          <cell r="H236">
            <v>7.48</v>
          </cell>
          <cell r="I236" t="str">
            <v>Lazy K Kountry Store</v>
          </cell>
          <cell r="J236" t="str">
            <v>12 Orchestra Terrace</v>
          </cell>
          <cell r="K236" t="str">
            <v>Walla Walla</v>
          </cell>
          <cell r="L236" t="str">
            <v>WA</v>
          </cell>
          <cell r="M236" t="str">
            <v>99362</v>
          </cell>
          <cell r="N236" t="str">
            <v>USA</v>
          </cell>
        </row>
        <row r="237">
          <cell r="A237">
            <v>10483</v>
          </cell>
          <cell r="B237" t="str">
            <v>WHITC</v>
          </cell>
          <cell r="C237">
            <v>7</v>
          </cell>
          <cell r="D237">
            <v>35513</v>
          </cell>
          <cell r="E237">
            <v>35541</v>
          </cell>
          <cell r="F237">
            <v>35545</v>
          </cell>
          <cell r="G237">
            <v>2</v>
          </cell>
          <cell r="H237">
            <v>15.28</v>
          </cell>
          <cell r="I237" t="str">
            <v>White Clover Markets</v>
          </cell>
          <cell r="J237" t="str">
            <v>1029 - 12th Ave. S.</v>
          </cell>
          <cell r="K237" t="str">
            <v>Seattle</v>
          </cell>
          <cell r="L237" t="str">
            <v>WA</v>
          </cell>
          <cell r="M237" t="str">
            <v>98124</v>
          </cell>
          <cell r="N237" t="str">
            <v>USA</v>
          </cell>
        </row>
        <row r="238">
          <cell r="A238">
            <v>10484</v>
          </cell>
          <cell r="B238" t="str">
            <v>BSBEV</v>
          </cell>
          <cell r="C238">
            <v>3</v>
          </cell>
          <cell r="D238">
            <v>35513</v>
          </cell>
          <cell r="E238">
            <v>35541</v>
          </cell>
          <cell r="F238">
            <v>35521</v>
          </cell>
          <cell r="G238">
            <v>3</v>
          </cell>
          <cell r="H238">
            <v>6.88</v>
          </cell>
          <cell r="I238" t="str">
            <v>B's Beverages</v>
          </cell>
          <cell r="J238" t="str">
            <v>Fauntleroy Circus</v>
          </cell>
          <cell r="K238" t="str">
            <v>London</v>
          </cell>
          <cell r="M238" t="str">
            <v>EC2 5NT</v>
          </cell>
          <cell r="N238" t="str">
            <v>UK</v>
          </cell>
        </row>
        <row r="239">
          <cell r="A239">
            <v>10485</v>
          </cell>
          <cell r="B239" t="str">
            <v>LINOD</v>
          </cell>
          <cell r="C239">
            <v>4</v>
          </cell>
          <cell r="D239">
            <v>35514</v>
          </cell>
          <cell r="E239">
            <v>35528</v>
          </cell>
          <cell r="F239">
            <v>35520</v>
          </cell>
          <cell r="G239">
            <v>2</v>
          </cell>
          <cell r="H239">
            <v>64.45</v>
          </cell>
          <cell r="I239" t="str">
            <v>LINO-Delicateses</v>
          </cell>
          <cell r="J239" t="str">
            <v>Ave. 5 de Mayo Porlamar</v>
          </cell>
          <cell r="K239" t="str">
            <v>I. de Margarita</v>
          </cell>
          <cell r="L239" t="str">
            <v>Nueva Esparta</v>
          </cell>
          <cell r="M239" t="str">
            <v>4980</v>
          </cell>
          <cell r="N239" t="str">
            <v>Venezuela</v>
          </cell>
        </row>
        <row r="240">
          <cell r="A240">
            <v>10486</v>
          </cell>
          <cell r="B240" t="str">
            <v>HILAA</v>
          </cell>
          <cell r="C240">
            <v>1</v>
          </cell>
          <cell r="D240">
            <v>35515</v>
          </cell>
          <cell r="E240">
            <v>35543</v>
          </cell>
          <cell r="F240">
            <v>35522</v>
          </cell>
          <cell r="G240">
            <v>2</v>
          </cell>
          <cell r="H240">
            <v>30.53</v>
          </cell>
          <cell r="I240" t="str">
            <v>HILARION-Abastos</v>
          </cell>
          <cell r="J240" t="str">
            <v>Carrera 22 con Ave. Carlos Soublette #8-35</v>
          </cell>
          <cell r="K240" t="str">
            <v>San Cristóbal</v>
          </cell>
          <cell r="L240" t="str">
            <v>Táchira</v>
          </cell>
          <cell r="M240" t="str">
            <v>5022</v>
          </cell>
          <cell r="N240" t="str">
            <v>Venezuela</v>
          </cell>
        </row>
        <row r="241">
          <cell r="A241">
            <v>10487</v>
          </cell>
          <cell r="B241" t="str">
            <v>QUEEN</v>
          </cell>
          <cell r="C241">
            <v>2</v>
          </cell>
          <cell r="D241">
            <v>35515</v>
          </cell>
          <cell r="E241">
            <v>35543</v>
          </cell>
          <cell r="F241">
            <v>35517</v>
          </cell>
          <cell r="G241">
            <v>2</v>
          </cell>
          <cell r="H241">
            <v>71.069999999999993</v>
          </cell>
          <cell r="I241" t="str">
            <v>Queen Cozinha</v>
          </cell>
          <cell r="J241" t="str">
            <v>Alameda dos Canàrios, 891</v>
          </cell>
          <cell r="K241" t="str">
            <v>Sao Paulo</v>
          </cell>
          <cell r="L241" t="str">
            <v>SP</v>
          </cell>
          <cell r="M241" t="str">
            <v>05487-020</v>
          </cell>
          <cell r="N241" t="str">
            <v>Brazil</v>
          </cell>
        </row>
        <row r="242">
          <cell r="A242">
            <v>10488</v>
          </cell>
          <cell r="B242" t="str">
            <v>FRANK</v>
          </cell>
          <cell r="C242">
            <v>8</v>
          </cell>
          <cell r="D242">
            <v>35516</v>
          </cell>
          <cell r="E242">
            <v>35544</v>
          </cell>
          <cell r="F242">
            <v>35522</v>
          </cell>
          <cell r="G242">
            <v>2</v>
          </cell>
          <cell r="H242">
            <v>4.93</v>
          </cell>
          <cell r="I242" t="str">
            <v>Frankenversand</v>
          </cell>
          <cell r="J242" t="str">
            <v>Berliner Platz 43</v>
          </cell>
          <cell r="K242" t="str">
            <v>München</v>
          </cell>
          <cell r="M242" t="str">
            <v>80805</v>
          </cell>
          <cell r="N242" t="str">
            <v>Germany</v>
          </cell>
        </row>
        <row r="243">
          <cell r="A243">
            <v>10489</v>
          </cell>
          <cell r="B243" t="str">
            <v>PICCO</v>
          </cell>
          <cell r="C243">
            <v>6</v>
          </cell>
          <cell r="D243">
            <v>35517</v>
          </cell>
          <cell r="E243">
            <v>35545</v>
          </cell>
          <cell r="F243">
            <v>35529</v>
          </cell>
          <cell r="G243">
            <v>2</v>
          </cell>
          <cell r="H243">
            <v>5.29</v>
          </cell>
          <cell r="I243" t="str">
            <v>Piccolo und mehr</v>
          </cell>
          <cell r="J243" t="str">
            <v>Geislweg 14</v>
          </cell>
          <cell r="K243" t="str">
            <v>Salzburg</v>
          </cell>
          <cell r="M243" t="str">
            <v>5020</v>
          </cell>
          <cell r="N243" t="str">
            <v>Austria</v>
          </cell>
        </row>
        <row r="244">
          <cell r="A244">
            <v>10490</v>
          </cell>
          <cell r="B244" t="str">
            <v>HILAA</v>
          </cell>
          <cell r="C244">
            <v>7</v>
          </cell>
          <cell r="D244">
            <v>35520</v>
          </cell>
          <cell r="E244">
            <v>35548</v>
          </cell>
          <cell r="F244">
            <v>35523</v>
          </cell>
          <cell r="G244">
            <v>2</v>
          </cell>
          <cell r="H244">
            <v>210.19</v>
          </cell>
          <cell r="I244" t="str">
            <v>HILARION-Abastos</v>
          </cell>
          <cell r="J244" t="str">
            <v>Carrera 22 con Ave. Carlos Soublette #8-35</v>
          </cell>
          <cell r="K244" t="str">
            <v>San Cristóbal</v>
          </cell>
          <cell r="L244" t="str">
            <v>Táchira</v>
          </cell>
          <cell r="M244" t="str">
            <v>5022</v>
          </cell>
          <cell r="N244" t="str">
            <v>Venezuela</v>
          </cell>
        </row>
        <row r="245">
          <cell r="A245">
            <v>10491</v>
          </cell>
          <cell r="B245" t="str">
            <v>FURIB</v>
          </cell>
          <cell r="C245">
            <v>8</v>
          </cell>
          <cell r="D245">
            <v>35520</v>
          </cell>
          <cell r="E245">
            <v>35548</v>
          </cell>
          <cell r="F245">
            <v>35528</v>
          </cell>
          <cell r="G245">
            <v>3</v>
          </cell>
          <cell r="H245">
            <v>16.96</v>
          </cell>
          <cell r="I245" t="str">
            <v>Furia Bacalhau e Frutos do Mar</v>
          </cell>
          <cell r="J245" t="str">
            <v>Jardim das rosas n. 32</v>
          </cell>
          <cell r="K245" t="str">
            <v>Lisboa</v>
          </cell>
          <cell r="M245" t="str">
            <v>1675</v>
          </cell>
          <cell r="N245" t="str">
            <v>Portugal</v>
          </cell>
        </row>
        <row r="246">
          <cell r="A246">
            <v>10492</v>
          </cell>
          <cell r="B246" t="str">
            <v>BOTTM</v>
          </cell>
          <cell r="C246">
            <v>3</v>
          </cell>
          <cell r="D246">
            <v>35521</v>
          </cell>
          <cell r="E246">
            <v>35549</v>
          </cell>
          <cell r="F246">
            <v>35531</v>
          </cell>
          <cell r="G246">
            <v>1</v>
          </cell>
          <cell r="H246">
            <v>62.89</v>
          </cell>
          <cell r="I246" t="str">
            <v>Bottom-Dollar Markets</v>
          </cell>
          <cell r="J246" t="str">
            <v>23 Tsawassen Blvd.</v>
          </cell>
          <cell r="K246" t="str">
            <v>Tsawassen</v>
          </cell>
          <cell r="L246" t="str">
            <v>BC</v>
          </cell>
          <cell r="M246" t="str">
            <v>T2F 8M4</v>
          </cell>
          <cell r="N246" t="str">
            <v>Canada</v>
          </cell>
        </row>
        <row r="247">
          <cell r="A247">
            <v>10493</v>
          </cell>
          <cell r="B247" t="str">
            <v>LAMAI</v>
          </cell>
          <cell r="C247">
            <v>4</v>
          </cell>
          <cell r="D247">
            <v>35522</v>
          </cell>
          <cell r="E247">
            <v>35550</v>
          </cell>
          <cell r="F247">
            <v>35530</v>
          </cell>
          <cell r="G247">
            <v>3</v>
          </cell>
          <cell r="H247">
            <v>10.64</v>
          </cell>
          <cell r="I247" t="str">
            <v>La maison d'Asie</v>
          </cell>
          <cell r="J247" t="str">
            <v>1 rue Alsace-Lorraine</v>
          </cell>
          <cell r="K247" t="str">
            <v>Toulouse</v>
          </cell>
          <cell r="M247" t="str">
            <v>31000</v>
          </cell>
          <cell r="N247" t="str">
            <v>France</v>
          </cell>
        </row>
        <row r="248">
          <cell r="A248">
            <v>10494</v>
          </cell>
          <cell r="B248" t="str">
            <v>COMMI</v>
          </cell>
          <cell r="C248">
            <v>4</v>
          </cell>
          <cell r="D248">
            <v>35522</v>
          </cell>
          <cell r="E248">
            <v>35550</v>
          </cell>
          <cell r="F248">
            <v>35529</v>
          </cell>
          <cell r="G248">
            <v>2</v>
          </cell>
          <cell r="H248">
            <v>65.989999999999995</v>
          </cell>
          <cell r="I248" t="str">
            <v>Comércio Mineiro</v>
          </cell>
          <cell r="J248" t="str">
            <v>Av. dos Lusíadas, 23</v>
          </cell>
          <cell r="K248" t="str">
            <v>Sao Paulo</v>
          </cell>
          <cell r="L248" t="str">
            <v>SP</v>
          </cell>
          <cell r="M248" t="str">
            <v>05432-043</v>
          </cell>
          <cell r="N248" t="str">
            <v>Brazil</v>
          </cell>
        </row>
        <row r="249">
          <cell r="A249">
            <v>10495</v>
          </cell>
          <cell r="B249" t="str">
            <v>LAUGB</v>
          </cell>
          <cell r="C249">
            <v>3</v>
          </cell>
          <cell r="D249">
            <v>35523</v>
          </cell>
          <cell r="E249">
            <v>35551</v>
          </cell>
          <cell r="F249">
            <v>35531</v>
          </cell>
          <cell r="G249">
            <v>3</v>
          </cell>
          <cell r="H249">
            <v>4.6500000000000004</v>
          </cell>
          <cell r="I249" t="str">
            <v>Laughing Bacchus Wine Cellars</v>
          </cell>
          <cell r="J249" t="str">
            <v>2319 Elm St.</v>
          </cell>
          <cell r="K249" t="str">
            <v>Vancouver</v>
          </cell>
          <cell r="L249" t="str">
            <v>BC</v>
          </cell>
          <cell r="M249" t="str">
            <v>V3F 2K1</v>
          </cell>
          <cell r="N249" t="str">
            <v>Canada</v>
          </cell>
        </row>
        <row r="250">
          <cell r="A250">
            <v>10496</v>
          </cell>
          <cell r="B250" t="str">
            <v>TRADH</v>
          </cell>
          <cell r="C250">
            <v>7</v>
          </cell>
          <cell r="D250">
            <v>35524</v>
          </cell>
          <cell r="E250">
            <v>35552</v>
          </cell>
          <cell r="F250">
            <v>35527</v>
          </cell>
          <cell r="G250">
            <v>2</v>
          </cell>
          <cell r="H250">
            <v>46.77</v>
          </cell>
          <cell r="I250" t="str">
            <v>Tradiçao Hipermercados</v>
          </cell>
          <cell r="J250" t="str">
            <v>Av. Inês de Castro, 414</v>
          </cell>
          <cell r="K250" t="str">
            <v>Sao Paulo</v>
          </cell>
          <cell r="L250" t="str">
            <v>SP</v>
          </cell>
          <cell r="M250" t="str">
            <v>05634-030</v>
          </cell>
          <cell r="N250" t="str">
            <v>Brazil</v>
          </cell>
        </row>
        <row r="251">
          <cell r="A251">
            <v>10497</v>
          </cell>
          <cell r="B251" t="str">
            <v>LEHMS</v>
          </cell>
          <cell r="C251">
            <v>7</v>
          </cell>
          <cell r="D251">
            <v>35524</v>
          </cell>
          <cell r="E251">
            <v>35552</v>
          </cell>
          <cell r="F251">
            <v>35527</v>
          </cell>
          <cell r="G251">
            <v>1</v>
          </cell>
          <cell r="H251">
            <v>36.21</v>
          </cell>
          <cell r="I251" t="str">
            <v>Lehmanns Marktstand</v>
          </cell>
          <cell r="J251" t="str">
            <v>Magazinweg 7</v>
          </cell>
          <cell r="K251" t="str">
            <v>Frankfurt a.M.</v>
          </cell>
          <cell r="M251" t="str">
            <v>60528</v>
          </cell>
          <cell r="N251" t="str">
            <v>Germany</v>
          </cell>
        </row>
        <row r="252">
          <cell r="A252">
            <v>10498</v>
          </cell>
          <cell r="B252" t="str">
            <v>HILAA</v>
          </cell>
          <cell r="C252">
            <v>8</v>
          </cell>
          <cell r="D252">
            <v>35527</v>
          </cell>
          <cell r="E252">
            <v>35555</v>
          </cell>
          <cell r="F252">
            <v>35531</v>
          </cell>
          <cell r="G252">
            <v>2</v>
          </cell>
          <cell r="H252">
            <v>29.75</v>
          </cell>
          <cell r="I252" t="str">
            <v>HILARION-Abastos</v>
          </cell>
          <cell r="J252" t="str">
            <v>Carrera 22 con Ave. Carlos Soublette #8-35</v>
          </cell>
          <cell r="K252" t="str">
            <v>San Cristóbal</v>
          </cell>
          <cell r="L252" t="str">
            <v>Táchira</v>
          </cell>
          <cell r="M252" t="str">
            <v>5022</v>
          </cell>
          <cell r="N252" t="str">
            <v>Venezuela</v>
          </cell>
        </row>
        <row r="253">
          <cell r="A253">
            <v>10499</v>
          </cell>
          <cell r="B253" t="str">
            <v>LILAS</v>
          </cell>
          <cell r="C253">
            <v>4</v>
          </cell>
          <cell r="D253">
            <v>35528</v>
          </cell>
          <cell r="E253">
            <v>35556</v>
          </cell>
          <cell r="F253">
            <v>35536</v>
          </cell>
          <cell r="G253">
            <v>2</v>
          </cell>
          <cell r="H253">
            <v>102.02</v>
          </cell>
          <cell r="I253" t="str">
            <v>LILA-Supermercado</v>
          </cell>
          <cell r="J253" t="str">
            <v>Carrera 52 con Ave. Bolívar #65-98 Llano Largo</v>
          </cell>
          <cell r="K253" t="str">
            <v>Barquisimeto</v>
          </cell>
          <cell r="L253" t="str">
            <v>Lara</v>
          </cell>
          <cell r="M253" t="str">
            <v>3508</v>
          </cell>
          <cell r="N253" t="str">
            <v>Venezuela</v>
          </cell>
        </row>
        <row r="254">
          <cell r="A254">
            <v>10500</v>
          </cell>
          <cell r="B254" t="str">
            <v>LAMAI</v>
          </cell>
          <cell r="C254">
            <v>6</v>
          </cell>
          <cell r="D254">
            <v>35529</v>
          </cell>
          <cell r="E254">
            <v>35557</v>
          </cell>
          <cell r="F254">
            <v>35537</v>
          </cell>
          <cell r="G254">
            <v>1</v>
          </cell>
          <cell r="H254">
            <v>42.68</v>
          </cell>
          <cell r="I254" t="str">
            <v>La maison d'Asie</v>
          </cell>
          <cell r="J254" t="str">
            <v>1 rue Alsace-Lorraine</v>
          </cell>
          <cell r="K254" t="str">
            <v>Toulouse</v>
          </cell>
          <cell r="M254" t="str">
            <v>31000</v>
          </cell>
          <cell r="N254" t="str">
            <v>France</v>
          </cell>
        </row>
        <row r="255">
          <cell r="A255">
            <v>10501</v>
          </cell>
          <cell r="B255" t="str">
            <v>BLAUS</v>
          </cell>
          <cell r="C255">
            <v>9</v>
          </cell>
          <cell r="D255">
            <v>35529</v>
          </cell>
          <cell r="E255">
            <v>35557</v>
          </cell>
          <cell r="F255">
            <v>35536</v>
          </cell>
          <cell r="G255">
            <v>3</v>
          </cell>
          <cell r="H255">
            <v>8.85</v>
          </cell>
          <cell r="I255" t="str">
            <v>Blauer See Delikatessen</v>
          </cell>
          <cell r="J255" t="str">
            <v>Forsterstr. 57</v>
          </cell>
          <cell r="K255" t="str">
            <v>Mannheim</v>
          </cell>
          <cell r="M255" t="str">
            <v>68306</v>
          </cell>
          <cell r="N255" t="str">
            <v>Germany</v>
          </cell>
        </row>
        <row r="256">
          <cell r="A256">
            <v>10502</v>
          </cell>
          <cell r="B256" t="str">
            <v>PERIC</v>
          </cell>
          <cell r="C256">
            <v>2</v>
          </cell>
          <cell r="D256">
            <v>35530</v>
          </cell>
          <cell r="E256">
            <v>35558</v>
          </cell>
          <cell r="F256">
            <v>35549</v>
          </cell>
          <cell r="G256">
            <v>1</v>
          </cell>
          <cell r="H256">
            <v>69.319999999999993</v>
          </cell>
          <cell r="I256" t="str">
            <v>Pericles Comidas clásicas</v>
          </cell>
          <cell r="J256" t="str">
            <v>Calle Dr. Jorge Cash 321</v>
          </cell>
          <cell r="K256" t="str">
            <v>México D.F.</v>
          </cell>
          <cell r="M256" t="str">
            <v>05033</v>
          </cell>
          <cell r="N256" t="str">
            <v>Mexico</v>
          </cell>
        </row>
        <row r="257">
          <cell r="A257">
            <v>10503</v>
          </cell>
          <cell r="B257" t="str">
            <v>HUNGO</v>
          </cell>
          <cell r="C257">
            <v>6</v>
          </cell>
          <cell r="D257">
            <v>35531</v>
          </cell>
          <cell r="E257">
            <v>35559</v>
          </cell>
          <cell r="F257">
            <v>35536</v>
          </cell>
          <cell r="G257">
            <v>2</v>
          </cell>
          <cell r="H257">
            <v>16.739999999999998</v>
          </cell>
          <cell r="I257" t="str">
            <v>Hungry Owl All-Night Grocers</v>
          </cell>
          <cell r="J257" t="str">
            <v>8 Johnstown Road</v>
          </cell>
          <cell r="K257" t="str">
            <v>Cork</v>
          </cell>
          <cell r="L257" t="str">
            <v>Co. Cork</v>
          </cell>
          <cell r="N257" t="str">
            <v>Ireland</v>
          </cell>
        </row>
        <row r="258">
          <cell r="A258">
            <v>10504</v>
          </cell>
          <cell r="B258" t="str">
            <v>WHITC</v>
          </cell>
          <cell r="C258">
            <v>4</v>
          </cell>
          <cell r="D258">
            <v>35531</v>
          </cell>
          <cell r="E258">
            <v>35559</v>
          </cell>
          <cell r="F258">
            <v>35538</v>
          </cell>
          <cell r="G258">
            <v>3</v>
          </cell>
          <cell r="H258">
            <v>59.13</v>
          </cell>
          <cell r="I258" t="str">
            <v>White Clover Markets</v>
          </cell>
          <cell r="J258" t="str">
            <v>1029 - 12th Ave. S.</v>
          </cell>
          <cell r="K258" t="str">
            <v>Seattle</v>
          </cell>
          <cell r="L258" t="str">
            <v>WA</v>
          </cell>
          <cell r="M258" t="str">
            <v>98124</v>
          </cell>
          <cell r="N258" t="str">
            <v>USA</v>
          </cell>
        </row>
        <row r="259">
          <cell r="A259">
            <v>10505</v>
          </cell>
          <cell r="B259" t="str">
            <v>MEREP</v>
          </cell>
          <cell r="C259">
            <v>3</v>
          </cell>
          <cell r="D259">
            <v>35534</v>
          </cell>
          <cell r="E259">
            <v>35562</v>
          </cell>
          <cell r="F259">
            <v>35541</v>
          </cell>
          <cell r="G259">
            <v>3</v>
          </cell>
          <cell r="H259">
            <v>7.13</v>
          </cell>
          <cell r="I259" t="str">
            <v>Mère Paillarde</v>
          </cell>
          <cell r="J259" t="str">
            <v>43 rue St. Laurent</v>
          </cell>
          <cell r="K259" t="str">
            <v>Montréal</v>
          </cell>
          <cell r="L259" t="str">
            <v>Québec</v>
          </cell>
          <cell r="M259" t="str">
            <v>H1J 1C3</v>
          </cell>
          <cell r="N259" t="str">
            <v>Canada</v>
          </cell>
        </row>
        <row r="260">
          <cell r="A260">
            <v>10506</v>
          </cell>
          <cell r="B260" t="str">
            <v>KOENE</v>
          </cell>
          <cell r="C260">
            <v>9</v>
          </cell>
          <cell r="D260">
            <v>35535</v>
          </cell>
          <cell r="E260">
            <v>35563</v>
          </cell>
          <cell r="F260">
            <v>35552</v>
          </cell>
          <cell r="G260">
            <v>2</v>
          </cell>
          <cell r="H260">
            <v>21.19</v>
          </cell>
          <cell r="I260" t="str">
            <v>Königlich Essen</v>
          </cell>
          <cell r="J260" t="str">
            <v>Maubelstr. 90</v>
          </cell>
          <cell r="K260" t="str">
            <v>Brandenburg</v>
          </cell>
          <cell r="M260" t="str">
            <v>14776</v>
          </cell>
          <cell r="N260" t="str">
            <v>Germany</v>
          </cell>
        </row>
        <row r="261">
          <cell r="A261">
            <v>10507</v>
          </cell>
          <cell r="B261" t="str">
            <v>ANTON</v>
          </cell>
          <cell r="C261">
            <v>7</v>
          </cell>
          <cell r="D261">
            <v>35535</v>
          </cell>
          <cell r="E261">
            <v>35563</v>
          </cell>
          <cell r="F261">
            <v>35542</v>
          </cell>
          <cell r="G261">
            <v>1</v>
          </cell>
          <cell r="H261">
            <v>47.45</v>
          </cell>
          <cell r="I261" t="str">
            <v>Antonio Moreno Taquería</v>
          </cell>
          <cell r="J261" t="str">
            <v>Mataderos  2312</v>
          </cell>
          <cell r="K261" t="str">
            <v>México D.F.</v>
          </cell>
          <cell r="M261" t="str">
            <v>05023</v>
          </cell>
          <cell r="N261" t="str">
            <v>Mexico</v>
          </cell>
        </row>
        <row r="262">
          <cell r="A262">
            <v>10508</v>
          </cell>
          <cell r="B262" t="str">
            <v>OTTIK</v>
          </cell>
          <cell r="C262">
            <v>1</v>
          </cell>
          <cell r="D262">
            <v>35536</v>
          </cell>
          <cell r="E262">
            <v>35564</v>
          </cell>
          <cell r="F262">
            <v>35563</v>
          </cell>
          <cell r="G262">
            <v>2</v>
          </cell>
          <cell r="H262">
            <v>4.99</v>
          </cell>
          <cell r="I262" t="str">
            <v>Ottilies Käseladen</v>
          </cell>
          <cell r="J262" t="str">
            <v>Mehrheimerstr. 369</v>
          </cell>
          <cell r="K262" t="str">
            <v>Köln</v>
          </cell>
          <cell r="M262" t="str">
            <v>50739</v>
          </cell>
          <cell r="N262" t="str">
            <v>Germany</v>
          </cell>
        </row>
        <row r="263">
          <cell r="A263">
            <v>10509</v>
          </cell>
          <cell r="B263" t="str">
            <v>BLAUS</v>
          </cell>
          <cell r="C263">
            <v>4</v>
          </cell>
          <cell r="D263">
            <v>35537</v>
          </cell>
          <cell r="E263">
            <v>35565</v>
          </cell>
          <cell r="F263">
            <v>35549</v>
          </cell>
          <cell r="G263">
            <v>1</v>
          </cell>
          <cell r="H263">
            <v>0.15</v>
          </cell>
          <cell r="I263" t="str">
            <v>Blauer See Delikatessen</v>
          </cell>
          <cell r="J263" t="str">
            <v>Forsterstr. 57</v>
          </cell>
          <cell r="K263" t="str">
            <v>Mannheim</v>
          </cell>
          <cell r="M263" t="str">
            <v>68306</v>
          </cell>
          <cell r="N263" t="str">
            <v>Germany</v>
          </cell>
        </row>
        <row r="264">
          <cell r="A264">
            <v>10510</v>
          </cell>
          <cell r="B264" t="str">
            <v>SAVEA</v>
          </cell>
          <cell r="C264">
            <v>6</v>
          </cell>
          <cell r="D264">
            <v>35538</v>
          </cell>
          <cell r="E264">
            <v>35566</v>
          </cell>
          <cell r="F264">
            <v>35548</v>
          </cell>
          <cell r="G264">
            <v>3</v>
          </cell>
          <cell r="H264">
            <v>367.63</v>
          </cell>
          <cell r="I264" t="str">
            <v>Save-a-lot Markets</v>
          </cell>
          <cell r="J264" t="str">
            <v>187 Suffolk Ln.</v>
          </cell>
          <cell r="K264" t="str">
            <v>Boise</v>
          </cell>
          <cell r="L264" t="str">
            <v>ID</v>
          </cell>
          <cell r="M264" t="str">
            <v>83720</v>
          </cell>
          <cell r="N264" t="str">
            <v>USA</v>
          </cell>
        </row>
        <row r="265">
          <cell r="A265">
            <v>10511</v>
          </cell>
          <cell r="B265" t="str">
            <v>BONAP</v>
          </cell>
          <cell r="C265">
            <v>4</v>
          </cell>
          <cell r="D265">
            <v>35538</v>
          </cell>
          <cell r="E265">
            <v>35566</v>
          </cell>
          <cell r="F265">
            <v>35541</v>
          </cell>
          <cell r="G265">
            <v>3</v>
          </cell>
          <cell r="H265">
            <v>350.64</v>
          </cell>
          <cell r="I265" t="str">
            <v>Bon app'</v>
          </cell>
          <cell r="J265" t="str">
            <v>12, rue des Bouchers</v>
          </cell>
          <cell r="K265" t="str">
            <v>Marseille</v>
          </cell>
          <cell r="M265" t="str">
            <v>13008</v>
          </cell>
          <cell r="N265" t="str">
            <v>France</v>
          </cell>
        </row>
        <row r="266">
          <cell r="A266">
            <v>10512</v>
          </cell>
          <cell r="B266" t="str">
            <v>FAMIA</v>
          </cell>
          <cell r="C266">
            <v>7</v>
          </cell>
          <cell r="D266">
            <v>35541</v>
          </cell>
          <cell r="E266">
            <v>35569</v>
          </cell>
          <cell r="F266">
            <v>35544</v>
          </cell>
          <cell r="G266">
            <v>2</v>
          </cell>
          <cell r="H266">
            <v>3.53</v>
          </cell>
          <cell r="I266" t="str">
            <v>Familia Arquibaldo</v>
          </cell>
          <cell r="J266" t="str">
            <v>Rua Orós, 92</v>
          </cell>
          <cell r="K266" t="str">
            <v>Sao Paulo</v>
          </cell>
          <cell r="L266" t="str">
            <v>SP</v>
          </cell>
          <cell r="M266" t="str">
            <v>05442-030</v>
          </cell>
          <cell r="N266" t="str">
            <v>Brazil</v>
          </cell>
        </row>
        <row r="267">
          <cell r="A267">
            <v>10513</v>
          </cell>
          <cell r="B267" t="str">
            <v>WANDK</v>
          </cell>
          <cell r="C267">
            <v>7</v>
          </cell>
          <cell r="D267">
            <v>35542</v>
          </cell>
          <cell r="E267">
            <v>35584</v>
          </cell>
          <cell r="F267">
            <v>35548</v>
          </cell>
          <cell r="G267">
            <v>1</v>
          </cell>
          <cell r="H267">
            <v>105.65</v>
          </cell>
          <cell r="I267" t="str">
            <v>Die Wandernde Kuh</v>
          </cell>
          <cell r="J267" t="str">
            <v>Adenauerallee 900</v>
          </cell>
          <cell r="K267" t="str">
            <v>Stuttgart</v>
          </cell>
          <cell r="M267" t="str">
            <v>70563</v>
          </cell>
          <cell r="N267" t="str">
            <v>Germany</v>
          </cell>
        </row>
        <row r="268">
          <cell r="A268">
            <v>10514</v>
          </cell>
          <cell r="B268" t="str">
            <v>ERNSH</v>
          </cell>
          <cell r="C268">
            <v>3</v>
          </cell>
          <cell r="D268">
            <v>35542</v>
          </cell>
          <cell r="E268">
            <v>35570</v>
          </cell>
          <cell r="F268">
            <v>35566</v>
          </cell>
          <cell r="G268">
            <v>2</v>
          </cell>
          <cell r="H268">
            <v>789.95</v>
          </cell>
          <cell r="I268" t="str">
            <v>Ernst Handel</v>
          </cell>
          <cell r="J268" t="str">
            <v>Kirchgasse 6</v>
          </cell>
          <cell r="K268" t="str">
            <v>Graz</v>
          </cell>
          <cell r="M268" t="str">
            <v>8010</v>
          </cell>
          <cell r="N268" t="str">
            <v>Austria</v>
          </cell>
        </row>
        <row r="269">
          <cell r="A269">
            <v>10515</v>
          </cell>
          <cell r="B269" t="str">
            <v>QUICK</v>
          </cell>
          <cell r="C269">
            <v>2</v>
          </cell>
          <cell r="D269">
            <v>35543</v>
          </cell>
          <cell r="E269">
            <v>35557</v>
          </cell>
          <cell r="F269">
            <v>35573</v>
          </cell>
          <cell r="G269">
            <v>1</v>
          </cell>
          <cell r="H269">
            <v>204.47</v>
          </cell>
          <cell r="I269" t="str">
            <v>QUICK-Stop</v>
          </cell>
          <cell r="J269" t="str">
            <v>Taucherstraße 10</v>
          </cell>
          <cell r="K269" t="str">
            <v>Cunewalde</v>
          </cell>
          <cell r="M269" t="str">
            <v>01307</v>
          </cell>
          <cell r="N269" t="str">
            <v>Germany</v>
          </cell>
        </row>
        <row r="270">
          <cell r="A270">
            <v>10516</v>
          </cell>
          <cell r="B270" t="str">
            <v>HUNGO</v>
          </cell>
          <cell r="C270">
            <v>2</v>
          </cell>
          <cell r="D270">
            <v>35544</v>
          </cell>
          <cell r="E270">
            <v>35572</v>
          </cell>
          <cell r="F270">
            <v>35551</v>
          </cell>
          <cell r="G270">
            <v>3</v>
          </cell>
          <cell r="H270">
            <v>62.78</v>
          </cell>
          <cell r="I270" t="str">
            <v>Hungry Owl All-Night Grocers</v>
          </cell>
          <cell r="J270" t="str">
            <v>8 Johnstown Road</v>
          </cell>
          <cell r="K270" t="str">
            <v>Cork</v>
          </cell>
          <cell r="L270" t="str">
            <v>Co. Cork</v>
          </cell>
          <cell r="N270" t="str">
            <v>Ireland</v>
          </cell>
        </row>
        <row r="271">
          <cell r="A271">
            <v>10517</v>
          </cell>
          <cell r="B271" t="str">
            <v>NORTS</v>
          </cell>
          <cell r="C271">
            <v>3</v>
          </cell>
          <cell r="D271">
            <v>35544</v>
          </cell>
          <cell r="E271">
            <v>35572</v>
          </cell>
          <cell r="F271">
            <v>35549</v>
          </cell>
          <cell r="G271">
            <v>3</v>
          </cell>
          <cell r="H271">
            <v>32.07</v>
          </cell>
          <cell r="I271" t="str">
            <v>North/South</v>
          </cell>
          <cell r="J271" t="str">
            <v>South House 300 Queensbridge</v>
          </cell>
          <cell r="K271" t="str">
            <v>London</v>
          </cell>
          <cell r="M271" t="str">
            <v>SW7 1RZ</v>
          </cell>
          <cell r="N271" t="str">
            <v>UK</v>
          </cell>
        </row>
        <row r="272">
          <cell r="A272">
            <v>10518</v>
          </cell>
          <cell r="B272" t="str">
            <v>TORTU</v>
          </cell>
          <cell r="C272">
            <v>4</v>
          </cell>
          <cell r="D272">
            <v>35545</v>
          </cell>
          <cell r="E272">
            <v>35559</v>
          </cell>
          <cell r="F272">
            <v>35555</v>
          </cell>
          <cell r="G272">
            <v>2</v>
          </cell>
          <cell r="H272">
            <v>218.15</v>
          </cell>
          <cell r="I272" t="str">
            <v>Tortuga Restaurante</v>
          </cell>
          <cell r="J272" t="str">
            <v>Avda. Azteca 123</v>
          </cell>
          <cell r="K272" t="str">
            <v>México D.F.</v>
          </cell>
          <cell r="M272" t="str">
            <v>05033</v>
          </cell>
          <cell r="N272" t="str">
            <v>Mexico</v>
          </cell>
        </row>
        <row r="273">
          <cell r="A273">
            <v>10519</v>
          </cell>
          <cell r="B273" t="str">
            <v>CHOPS</v>
          </cell>
          <cell r="C273">
            <v>6</v>
          </cell>
          <cell r="D273">
            <v>35548</v>
          </cell>
          <cell r="E273">
            <v>35576</v>
          </cell>
          <cell r="F273">
            <v>35551</v>
          </cell>
          <cell r="G273">
            <v>3</v>
          </cell>
          <cell r="H273">
            <v>91.76</v>
          </cell>
          <cell r="I273" t="str">
            <v>Chop-suey Chinese</v>
          </cell>
          <cell r="J273" t="str">
            <v>Hauptstr. 31</v>
          </cell>
          <cell r="K273" t="str">
            <v>Bern</v>
          </cell>
          <cell r="M273" t="str">
            <v>3012</v>
          </cell>
          <cell r="N273" t="str">
            <v>Switzerland</v>
          </cell>
        </row>
        <row r="274">
          <cell r="A274">
            <v>10520</v>
          </cell>
          <cell r="B274" t="str">
            <v>SANTG</v>
          </cell>
          <cell r="C274">
            <v>7</v>
          </cell>
          <cell r="D274">
            <v>35549</v>
          </cell>
          <cell r="E274">
            <v>35577</v>
          </cell>
          <cell r="F274">
            <v>35551</v>
          </cell>
          <cell r="G274">
            <v>1</v>
          </cell>
          <cell r="H274">
            <v>13.37</v>
          </cell>
          <cell r="I274" t="str">
            <v>Santé Gourmet</v>
          </cell>
          <cell r="J274" t="str">
            <v>Erling Skakkes gate 78</v>
          </cell>
          <cell r="K274" t="str">
            <v>Stavern</v>
          </cell>
          <cell r="M274" t="str">
            <v>4110</v>
          </cell>
          <cell r="N274" t="str">
            <v>Norway</v>
          </cell>
        </row>
        <row r="275">
          <cell r="A275">
            <v>10521</v>
          </cell>
          <cell r="B275" t="str">
            <v>CACTU</v>
          </cell>
          <cell r="C275">
            <v>8</v>
          </cell>
          <cell r="D275">
            <v>35549</v>
          </cell>
          <cell r="E275">
            <v>35577</v>
          </cell>
          <cell r="F275">
            <v>35552</v>
          </cell>
          <cell r="G275">
            <v>2</v>
          </cell>
          <cell r="H275">
            <v>17.22</v>
          </cell>
          <cell r="I275" t="str">
            <v>Cactus Comidas para llevar</v>
          </cell>
          <cell r="J275" t="str">
            <v>Cerrito 333</v>
          </cell>
          <cell r="K275" t="str">
            <v>Buenos Aires</v>
          </cell>
          <cell r="M275" t="str">
            <v>1010</v>
          </cell>
          <cell r="N275" t="str">
            <v>Argentina</v>
          </cell>
        </row>
        <row r="276">
          <cell r="A276">
            <v>10522</v>
          </cell>
          <cell r="B276" t="str">
            <v>LEHMS</v>
          </cell>
          <cell r="C276">
            <v>4</v>
          </cell>
          <cell r="D276">
            <v>35550</v>
          </cell>
          <cell r="E276">
            <v>35578</v>
          </cell>
          <cell r="F276">
            <v>35556</v>
          </cell>
          <cell r="G276">
            <v>1</v>
          </cell>
          <cell r="H276">
            <v>45.33</v>
          </cell>
          <cell r="I276" t="str">
            <v>Lehmanns Marktstand</v>
          </cell>
          <cell r="J276" t="str">
            <v>Magazinweg 7</v>
          </cell>
          <cell r="K276" t="str">
            <v>Frankfurt a.M.</v>
          </cell>
          <cell r="M276" t="str">
            <v>60528</v>
          </cell>
          <cell r="N276" t="str">
            <v>Germany</v>
          </cell>
        </row>
        <row r="277">
          <cell r="A277">
            <v>10523</v>
          </cell>
          <cell r="B277" t="str">
            <v>SEVES</v>
          </cell>
          <cell r="C277">
            <v>7</v>
          </cell>
          <cell r="D277">
            <v>35551</v>
          </cell>
          <cell r="E277">
            <v>35579</v>
          </cell>
          <cell r="F277">
            <v>35580</v>
          </cell>
          <cell r="G277">
            <v>2</v>
          </cell>
          <cell r="H277">
            <v>77.63</v>
          </cell>
          <cell r="I277" t="str">
            <v>Seven Seas Imports</v>
          </cell>
          <cell r="J277" t="str">
            <v>90 Wadhurst Rd.</v>
          </cell>
          <cell r="K277" t="str">
            <v>London</v>
          </cell>
          <cell r="M277" t="str">
            <v>OX15 4NB</v>
          </cell>
          <cell r="N277" t="str">
            <v>UK</v>
          </cell>
        </row>
        <row r="278">
          <cell r="A278">
            <v>10524</v>
          </cell>
          <cell r="B278" t="str">
            <v>BERGS</v>
          </cell>
          <cell r="C278">
            <v>1</v>
          </cell>
          <cell r="D278">
            <v>35551</v>
          </cell>
          <cell r="E278">
            <v>35579</v>
          </cell>
          <cell r="F278">
            <v>35557</v>
          </cell>
          <cell r="G278">
            <v>2</v>
          </cell>
          <cell r="H278">
            <v>244.79</v>
          </cell>
          <cell r="I278" t="str">
            <v>Berglunds snabbköp</v>
          </cell>
          <cell r="J278" t="str">
            <v>Berguvsvägen  8</v>
          </cell>
          <cell r="K278" t="str">
            <v>Luleå</v>
          </cell>
          <cell r="M278" t="str">
            <v>S-958 22</v>
          </cell>
          <cell r="N278" t="str">
            <v>Sweden</v>
          </cell>
        </row>
        <row r="279">
          <cell r="A279">
            <v>10525</v>
          </cell>
          <cell r="B279" t="str">
            <v>BONAP</v>
          </cell>
          <cell r="C279">
            <v>1</v>
          </cell>
          <cell r="D279">
            <v>35552</v>
          </cell>
          <cell r="E279">
            <v>35580</v>
          </cell>
          <cell r="F279">
            <v>35573</v>
          </cell>
          <cell r="G279">
            <v>2</v>
          </cell>
          <cell r="H279">
            <v>11.06</v>
          </cell>
          <cell r="I279" t="str">
            <v>Bon app'</v>
          </cell>
          <cell r="J279" t="str">
            <v>12, rue des Bouchers</v>
          </cell>
          <cell r="K279" t="str">
            <v>Marseille</v>
          </cell>
          <cell r="M279" t="str">
            <v>13008</v>
          </cell>
          <cell r="N279" t="str">
            <v>France</v>
          </cell>
        </row>
        <row r="280">
          <cell r="A280">
            <v>10526</v>
          </cell>
          <cell r="B280" t="str">
            <v>WARTH</v>
          </cell>
          <cell r="C280">
            <v>4</v>
          </cell>
          <cell r="D280">
            <v>35555</v>
          </cell>
          <cell r="E280">
            <v>35583</v>
          </cell>
          <cell r="F280">
            <v>35565</v>
          </cell>
          <cell r="G280">
            <v>2</v>
          </cell>
          <cell r="H280">
            <v>58.59</v>
          </cell>
          <cell r="I280" t="str">
            <v>Wartian Herkku</v>
          </cell>
          <cell r="J280" t="str">
            <v>Torikatu 38</v>
          </cell>
          <cell r="K280" t="str">
            <v>Oulu</v>
          </cell>
          <cell r="M280" t="str">
            <v>90110</v>
          </cell>
          <cell r="N280" t="str">
            <v>Finland</v>
          </cell>
        </row>
        <row r="281">
          <cell r="A281">
            <v>10527</v>
          </cell>
          <cell r="B281" t="str">
            <v>QUICK</v>
          </cell>
          <cell r="C281">
            <v>7</v>
          </cell>
          <cell r="D281">
            <v>35555</v>
          </cell>
          <cell r="E281">
            <v>35583</v>
          </cell>
          <cell r="F281">
            <v>35557</v>
          </cell>
          <cell r="G281">
            <v>1</v>
          </cell>
          <cell r="H281">
            <v>41.9</v>
          </cell>
          <cell r="I281" t="str">
            <v>QUICK-Stop</v>
          </cell>
          <cell r="J281" t="str">
            <v>Taucherstraße 10</v>
          </cell>
          <cell r="K281" t="str">
            <v>Cunewalde</v>
          </cell>
          <cell r="M281" t="str">
            <v>01307</v>
          </cell>
          <cell r="N281" t="str">
            <v>Germany</v>
          </cell>
        </row>
        <row r="282">
          <cell r="A282">
            <v>10528</v>
          </cell>
          <cell r="B282" t="str">
            <v>GREAL</v>
          </cell>
          <cell r="C282">
            <v>6</v>
          </cell>
          <cell r="D282">
            <v>35556</v>
          </cell>
          <cell r="E282">
            <v>35570</v>
          </cell>
          <cell r="F282">
            <v>35559</v>
          </cell>
          <cell r="G282">
            <v>2</v>
          </cell>
          <cell r="H282">
            <v>3.35</v>
          </cell>
          <cell r="I282" t="str">
            <v>Great Lakes Food Market</v>
          </cell>
          <cell r="J282" t="str">
            <v>2732 Baker Blvd.</v>
          </cell>
          <cell r="K282" t="str">
            <v>Eugene</v>
          </cell>
          <cell r="L282" t="str">
            <v>OR</v>
          </cell>
          <cell r="M282" t="str">
            <v>97403</v>
          </cell>
          <cell r="N282" t="str">
            <v>USA</v>
          </cell>
        </row>
        <row r="283">
          <cell r="A283">
            <v>10529</v>
          </cell>
          <cell r="B283" t="str">
            <v>MAISD</v>
          </cell>
          <cell r="C283">
            <v>5</v>
          </cell>
          <cell r="D283">
            <v>35557</v>
          </cell>
          <cell r="E283">
            <v>35585</v>
          </cell>
          <cell r="F283">
            <v>35559</v>
          </cell>
          <cell r="G283">
            <v>2</v>
          </cell>
          <cell r="H283">
            <v>66.69</v>
          </cell>
          <cell r="I283" t="str">
            <v>Maison Dewey</v>
          </cell>
          <cell r="J283" t="str">
            <v>Rue Joseph-Bens 532</v>
          </cell>
          <cell r="K283" t="str">
            <v>Bruxelles</v>
          </cell>
          <cell r="M283" t="str">
            <v>B-1180</v>
          </cell>
          <cell r="N283" t="str">
            <v>Belgium</v>
          </cell>
        </row>
        <row r="284">
          <cell r="A284">
            <v>10530</v>
          </cell>
          <cell r="B284" t="str">
            <v>PICCO</v>
          </cell>
          <cell r="C284">
            <v>3</v>
          </cell>
          <cell r="D284">
            <v>35558</v>
          </cell>
          <cell r="E284">
            <v>35586</v>
          </cell>
          <cell r="F284">
            <v>35562</v>
          </cell>
          <cell r="G284">
            <v>2</v>
          </cell>
          <cell r="H284">
            <v>339.22</v>
          </cell>
          <cell r="I284" t="str">
            <v>Piccolo und mehr</v>
          </cell>
          <cell r="J284" t="str">
            <v>Geislweg 14</v>
          </cell>
          <cell r="K284" t="str">
            <v>Salzburg</v>
          </cell>
          <cell r="M284" t="str">
            <v>5020</v>
          </cell>
          <cell r="N284" t="str">
            <v>Austria</v>
          </cell>
        </row>
        <row r="285">
          <cell r="A285">
            <v>10531</v>
          </cell>
          <cell r="B285" t="str">
            <v>OCEAN</v>
          </cell>
          <cell r="C285">
            <v>7</v>
          </cell>
          <cell r="D285">
            <v>35558</v>
          </cell>
          <cell r="E285">
            <v>35586</v>
          </cell>
          <cell r="F285">
            <v>35569</v>
          </cell>
          <cell r="G285">
            <v>1</v>
          </cell>
          <cell r="H285">
            <v>8.1199999999999992</v>
          </cell>
          <cell r="I285" t="str">
            <v>Océano Atlántico Ltda.</v>
          </cell>
          <cell r="J285" t="str">
            <v>Ing. Gustavo Moncada 8585 Piso 20-A</v>
          </cell>
          <cell r="K285" t="str">
            <v>Buenos Aires</v>
          </cell>
          <cell r="M285" t="str">
            <v>1010</v>
          </cell>
          <cell r="N285" t="str">
            <v>Argentina</v>
          </cell>
        </row>
        <row r="286">
          <cell r="A286">
            <v>10532</v>
          </cell>
          <cell r="B286" t="str">
            <v>EASTC</v>
          </cell>
          <cell r="C286">
            <v>7</v>
          </cell>
          <cell r="D286">
            <v>35559</v>
          </cell>
          <cell r="E286">
            <v>35587</v>
          </cell>
          <cell r="F286">
            <v>35562</v>
          </cell>
          <cell r="G286">
            <v>3</v>
          </cell>
          <cell r="H286">
            <v>74.459999999999994</v>
          </cell>
          <cell r="I286" t="str">
            <v>Eastern Connection</v>
          </cell>
          <cell r="J286" t="str">
            <v>35 King George</v>
          </cell>
          <cell r="K286" t="str">
            <v>London</v>
          </cell>
          <cell r="M286" t="str">
            <v>WX3 6FW</v>
          </cell>
          <cell r="N286" t="str">
            <v>UK</v>
          </cell>
        </row>
        <row r="287">
          <cell r="A287">
            <v>10533</v>
          </cell>
          <cell r="B287" t="str">
            <v>FOLKO</v>
          </cell>
          <cell r="C287">
            <v>8</v>
          </cell>
          <cell r="D287">
            <v>35562</v>
          </cell>
          <cell r="E287">
            <v>35590</v>
          </cell>
          <cell r="F287">
            <v>35572</v>
          </cell>
          <cell r="G287">
            <v>1</v>
          </cell>
          <cell r="H287">
            <v>188.04</v>
          </cell>
          <cell r="I287" t="str">
            <v>Folk och fä HB</v>
          </cell>
          <cell r="J287" t="str">
            <v>Åkergatan 24</v>
          </cell>
          <cell r="K287" t="str">
            <v>Bräcke</v>
          </cell>
          <cell r="M287" t="str">
            <v>S-844 67</v>
          </cell>
          <cell r="N287" t="str">
            <v>Sweden</v>
          </cell>
        </row>
        <row r="288">
          <cell r="A288">
            <v>10534</v>
          </cell>
          <cell r="B288" t="str">
            <v>LEHMS</v>
          </cell>
          <cell r="C288">
            <v>8</v>
          </cell>
          <cell r="D288">
            <v>35562</v>
          </cell>
          <cell r="E288">
            <v>35590</v>
          </cell>
          <cell r="F288">
            <v>35564</v>
          </cell>
          <cell r="G288">
            <v>2</v>
          </cell>
          <cell r="H288">
            <v>27.94</v>
          </cell>
          <cell r="I288" t="str">
            <v>Lehmanns Marktstand</v>
          </cell>
          <cell r="J288" t="str">
            <v>Magazinweg 7</v>
          </cell>
          <cell r="K288" t="str">
            <v>Frankfurt a.M.</v>
          </cell>
          <cell r="M288" t="str">
            <v>60528</v>
          </cell>
          <cell r="N288" t="str">
            <v>Germany</v>
          </cell>
        </row>
        <row r="289">
          <cell r="A289">
            <v>10535</v>
          </cell>
          <cell r="B289" t="str">
            <v>ANTON</v>
          </cell>
          <cell r="C289">
            <v>4</v>
          </cell>
          <cell r="D289">
            <v>35563</v>
          </cell>
          <cell r="E289">
            <v>35591</v>
          </cell>
          <cell r="F289">
            <v>35571</v>
          </cell>
          <cell r="G289">
            <v>1</v>
          </cell>
          <cell r="H289">
            <v>15.64</v>
          </cell>
          <cell r="I289" t="str">
            <v>Antonio Moreno Taquería</v>
          </cell>
          <cell r="J289" t="str">
            <v>Mataderos  2312</v>
          </cell>
          <cell r="K289" t="str">
            <v>México D.F.</v>
          </cell>
          <cell r="M289" t="str">
            <v>05023</v>
          </cell>
          <cell r="N289" t="str">
            <v>Mexico</v>
          </cell>
        </row>
        <row r="290">
          <cell r="A290">
            <v>10536</v>
          </cell>
          <cell r="B290" t="str">
            <v>LEHMS</v>
          </cell>
          <cell r="C290">
            <v>3</v>
          </cell>
          <cell r="D290">
            <v>35564</v>
          </cell>
          <cell r="E290">
            <v>35592</v>
          </cell>
          <cell r="F290">
            <v>35587</v>
          </cell>
          <cell r="G290">
            <v>2</v>
          </cell>
          <cell r="H290">
            <v>58.88</v>
          </cell>
          <cell r="I290" t="str">
            <v>Lehmanns Marktstand</v>
          </cell>
          <cell r="J290" t="str">
            <v>Magazinweg 7</v>
          </cell>
          <cell r="K290" t="str">
            <v>Frankfurt a.M.</v>
          </cell>
          <cell r="M290" t="str">
            <v>60528</v>
          </cell>
          <cell r="N290" t="str">
            <v>Germany</v>
          </cell>
        </row>
        <row r="291">
          <cell r="A291">
            <v>10537</v>
          </cell>
          <cell r="B291" t="str">
            <v>RICSU</v>
          </cell>
          <cell r="C291">
            <v>1</v>
          </cell>
          <cell r="D291">
            <v>35564</v>
          </cell>
          <cell r="E291">
            <v>35578</v>
          </cell>
          <cell r="F291">
            <v>35569</v>
          </cell>
          <cell r="G291">
            <v>1</v>
          </cell>
          <cell r="H291">
            <v>78.849999999999994</v>
          </cell>
          <cell r="I291" t="str">
            <v>Richter Supermarkt</v>
          </cell>
          <cell r="J291" t="str">
            <v>Starenweg 5</v>
          </cell>
          <cell r="K291" t="str">
            <v>Genève</v>
          </cell>
          <cell r="M291" t="str">
            <v>1204</v>
          </cell>
          <cell r="N291" t="str">
            <v>Switzerland</v>
          </cell>
        </row>
        <row r="292">
          <cell r="A292">
            <v>10538</v>
          </cell>
          <cell r="B292" t="str">
            <v>BSBEV</v>
          </cell>
          <cell r="C292">
            <v>9</v>
          </cell>
          <cell r="D292">
            <v>35565</v>
          </cell>
          <cell r="E292">
            <v>35593</v>
          </cell>
          <cell r="F292">
            <v>35566</v>
          </cell>
          <cell r="G292">
            <v>3</v>
          </cell>
          <cell r="H292">
            <v>4.87</v>
          </cell>
          <cell r="I292" t="str">
            <v>B's Beverages</v>
          </cell>
          <cell r="J292" t="str">
            <v>Fauntleroy Circus</v>
          </cell>
          <cell r="K292" t="str">
            <v>London</v>
          </cell>
          <cell r="M292" t="str">
            <v>EC2 5NT</v>
          </cell>
          <cell r="N292" t="str">
            <v>UK</v>
          </cell>
        </row>
        <row r="293">
          <cell r="A293">
            <v>10539</v>
          </cell>
          <cell r="B293" t="str">
            <v>BSBEV</v>
          </cell>
          <cell r="C293">
            <v>6</v>
          </cell>
          <cell r="D293">
            <v>35566</v>
          </cell>
          <cell r="E293">
            <v>35594</v>
          </cell>
          <cell r="F293">
            <v>35573</v>
          </cell>
          <cell r="G293">
            <v>3</v>
          </cell>
          <cell r="H293">
            <v>12.36</v>
          </cell>
          <cell r="I293" t="str">
            <v>B's Beverages</v>
          </cell>
          <cell r="J293" t="str">
            <v>Fauntleroy Circus</v>
          </cell>
          <cell r="K293" t="str">
            <v>London</v>
          </cell>
          <cell r="M293" t="str">
            <v>EC2 5NT</v>
          </cell>
          <cell r="N293" t="str">
            <v>UK</v>
          </cell>
        </row>
        <row r="294">
          <cell r="A294">
            <v>10540</v>
          </cell>
          <cell r="B294" t="str">
            <v>QUICK</v>
          </cell>
          <cell r="C294">
            <v>3</v>
          </cell>
          <cell r="D294">
            <v>35569</v>
          </cell>
          <cell r="E294">
            <v>35597</v>
          </cell>
          <cell r="F294">
            <v>35594</v>
          </cell>
          <cell r="G294">
            <v>3</v>
          </cell>
          <cell r="H294">
            <v>1007.64</v>
          </cell>
          <cell r="I294" t="str">
            <v>QUICK-Stop</v>
          </cell>
          <cell r="J294" t="str">
            <v>Taucherstraße 10</v>
          </cell>
          <cell r="K294" t="str">
            <v>Cunewalde</v>
          </cell>
          <cell r="M294" t="str">
            <v>01307</v>
          </cell>
          <cell r="N294" t="str">
            <v>Germany</v>
          </cell>
        </row>
        <row r="295">
          <cell r="A295">
            <v>10541</v>
          </cell>
          <cell r="B295" t="str">
            <v>HANAR</v>
          </cell>
          <cell r="C295">
            <v>2</v>
          </cell>
          <cell r="D295">
            <v>35569</v>
          </cell>
          <cell r="E295">
            <v>35597</v>
          </cell>
          <cell r="F295">
            <v>35579</v>
          </cell>
          <cell r="G295">
            <v>1</v>
          </cell>
          <cell r="H295">
            <v>68.650000000000006</v>
          </cell>
          <cell r="I295" t="str">
            <v>Hanari Carnes</v>
          </cell>
          <cell r="J295" t="str">
            <v>Rua do Paço, 67</v>
          </cell>
          <cell r="K295" t="str">
            <v>Rio de Janeiro</v>
          </cell>
          <cell r="L295" t="str">
            <v>RJ</v>
          </cell>
          <cell r="M295" t="str">
            <v>05454-876</v>
          </cell>
          <cell r="N295" t="str">
            <v>Brazil</v>
          </cell>
        </row>
        <row r="296">
          <cell r="A296">
            <v>10542</v>
          </cell>
          <cell r="B296" t="str">
            <v>KOENE</v>
          </cell>
          <cell r="C296">
            <v>1</v>
          </cell>
          <cell r="D296">
            <v>35570</v>
          </cell>
          <cell r="E296">
            <v>35598</v>
          </cell>
          <cell r="F296">
            <v>35576</v>
          </cell>
          <cell r="G296">
            <v>3</v>
          </cell>
          <cell r="H296">
            <v>10.95</v>
          </cell>
          <cell r="I296" t="str">
            <v>Königlich Essen</v>
          </cell>
          <cell r="J296" t="str">
            <v>Maubelstr. 90</v>
          </cell>
          <cell r="K296" t="str">
            <v>Brandenburg</v>
          </cell>
          <cell r="M296" t="str">
            <v>14776</v>
          </cell>
          <cell r="N296" t="str">
            <v>Germany</v>
          </cell>
        </row>
        <row r="297">
          <cell r="A297">
            <v>10543</v>
          </cell>
          <cell r="B297" t="str">
            <v>LILAS</v>
          </cell>
          <cell r="C297">
            <v>8</v>
          </cell>
          <cell r="D297">
            <v>35571</v>
          </cell>
          <cell r="E297">
            <v>35599</v>
          </cell>
          <cell r="F297">
            <v>35573</v>
          </cell>
          <cell r="G297">
            <v>2</v>
          </cell>
          <cell r="H297">
            <v>48.17</v>
          </cell>
          <cell r="I297" t="str">
            <v>LILA-Supermercado</v>
          </cell>
          <cell r="J297" t="str">
            <v>Carrera 52 con Ave. Bolívar #65-98 Llano Largo</v>
          </cell>
          <cell r="K297" t="str">
            <v>Barquisimeto</v>
          </cell>
          <cell r="L297" t="str">
            <v>Lara</v>
          </cell>
          <cell r="M297" t="str">
            <v>3508</v>
          </cell>
          <cell r="N297" t="str">
            <v>Venezuela</v>
          </cell>
        </row>
        <row r="298">
          <cell r="A298">
            <v>10544</v>
          </cell>
          <cell r="B298" t="str">
            <v>LONEP</v>
          </cell>
          <cell r="C298">
            <v>4</v>
          </cell>
          <cell r="D298">
            <v>35571</v>
          </cell>
          <cell r="E298">
            <v>35599</v>
          </cell>
          <cell r="F298">
            <v>35580</v>
          </cell>
          <cell r="G298">
            <v>1</v>
          </cell>
          <cell r="H298">
            <v>24.91</v>
          </cell>
          <cell r="I298" t="str">
            <v>Lonesome Pine Restaurant</v>
          </cell>
          <cell r="J298" t="str">
            <v>89 Chiaroscuro Rd.</v>
          </cell>
          <cell r="K298" t="str">
            <v>Portland</v>
          </cell>
          <cell r="L298" t="str">
            <v>OR</v>
          </cell>
          <cell r="M298" t="str">
            <v>97219</v>
          </cell>
          <cell r="N298" t="str">
            <v>USA</v>
          </cell>
        </row>
        <row r="299">
          <cell r="A299">
            <v>10545</v>
          </cell>
          <cell r="B299" t="str">
            <v>LAZYK</v>
          </cell>
          <cell r="C299">
            <v>8</v>
          </cell>
          <cell r="D299">
            <v>35572</v>
          </cell>
          <cell r="E299">
            <v>35600</v>
          </cell>
          <cell r="F299">
            <v>35607</v>
          </cell>
          <cell r="G299">
            <v>2</v>
          </cell>
          <cell r="H299">
            <v>11.92</v>
          </cell>
          <cell r="I299" t="str">
            <v>Lazy K Kountry Store</v>
          </cell>
          <cell r="J299" t="str">
            <v>12 Orchestra Terrace</v>
          </cell>
          <cell r="K299" t="str">
            <v>Walla Walla</v>
          </cell>
          <cell r="L299" t="str">
            <v>WA</v>
          </cell>
          <cell r="M299" t="str">
            <v>99362</v>
          </cell>
          <cell r="N299" t="str">
            <v>USA</v>
          </cell>
        </row>
        <row r="300">
          <cell r="A300">
            <v>10546</v>
          </cell>
          <cell r="B300" t="str">
            <v>VICTE</v>
          </cell>
          <cell r="C300">
            <v>1</v>
          </cell>
          <cell r="D300">
            <v>35573</v>
          </cell>
          <cell r="E300">
            <v>35601</v>
          </cell>
          <cell r="F300">
            <v>35577</v>
          </cell>
          <cell r="G300">
            <v>3</v>
          </cell>
          <cell r="H300">
            <v>194.72</v>
          </cell>
          <cell r="I300" t="str">
            <v>Victuailles en stock</v>
          </cell>
          <cell r="J300" t="str">
            <v>2, rue du Commerce</v>
          </cell>
          <cell r="K300" t="str">
            <v>Lyon</v>
          </cell>
          <cell r="M300" t="str">
            <v>69004</v>
          </cell>
          <cell r="N300" t="str">
            <v>France</v>
          </cell>
        </row>
        <row r="301">
          <cell r="A301">
            <v>10547</v>
          </cell>
          <cell r="B301" t="str">
            <v>SEVES</v>
          </cell>
          <cell r="C301">
            <v>3</v>
          </cell>
          <cell r="D301">
            <v>35573</v>
          </cell>
          <cell r="E301">
            <v>35601</v>
          </cell>
          <cell r="F301">
            <v>35583</v>
          </cell>
          <cell r="G301">
            <v>2</v>
          </cell>
          <cell r="H301">
            <v>178.43</v>
          </cell>
          <cell r="I301" t="str">
            <v>Seven Seas Imports</v>
          </cell>
          <cell r="J301" t="str">
            <v>90 Wadhurst Rd.</v>
          </cell>
          <cell r="K301" t="str">
            <v>London</v>
          </cell>
          <cell r="M301" t="str">
            <v>OX15 4NB</v>
          </cell>
          <cell r="N301" t="str">
            <v>UK</v>
          </cell>
        </row>
        <row r="302">
          <cell r="A302">
            <v>10548</v>
          </cell>
          <cell r="B302" t="str">
            <v>TOMSP</v>
          </cell>
          <cell r="C302">
            <v>3</v>
          </cell>
          <cell r="D302">
            <v>35576</v>
          </cell>
          <cell r="E302">
            <v>35604</v>
          </cell>
          <cell r="F302">
            <v>35583</v>
          </cell>
          <cell r="G302">
            <v>2</v>
          </cell>
          <cell r="H302">
            <v>1.43</v>
          </cell>
          <cell r="I302" t="str">
            <v>Toms Spezialitäten</v>
          </cell>
          <cell r="J302" t="str">
            <v>Luisenstr. 48</v>
          </cell>
          <cell r="K302" t="str">
            <v>Münster</v>
          </cell>
          <cell r="M302" t="str">
            <v>44087</v>
          </cell>
          <cell r="N302" t="str">
            <v>Germany</v>
          </cell>
        </row>
        <row r="303">
          <cell r="A303">
            <v>10549</v>
          </cell>
          <cell r="B303" t="str">
            <v>QUICK</v>
          </cell>
          <cell r="C303">
            <v>5</v>
          </cell>
          <cell r="D303">
            <v>35577</v>
          </cell>
          <cell r="E303">
            <v>35591</v>
          </cell>
          <cell r="F303">
            <v>35580</v>
          </cell>
          <cell r="G303">
            <v>1</v>
          </cell>
          <cell r="H303">
            <v>171.24</v>
          </cell>
          <cell r="I303" t="str">
            <v>QUICK-Stop</v>
          </cell>
          <cell r="J303" t="str">
            <v>Taucherstraße 10</v>
          </cell>
          <cell r="K303" t="str">
            <v>Cunewalde</v>
          </cell>
          <cell r="M303" t="str">
            <v>01307</v>
          </cell>
          <cell r="N303" t="str">
            <v>Germany</v>
          </cell>
        </row>
        <row r="304">
          <cell r="A304">
            <v>10550</v>
          </cell>
          <cell r="B304" t="str">
            <v>GODOS</v>
          </cell>
          <cell r="C304">
            <v>7</v>
          </cell>
          <cell r="D304">
            <v>35578</v>
          </cell>
          <cell r="E304">
            <v>35606</v>
          </cell>
          <cell r="F304">
            <v>35587</v>
          </cell>
          <cell r="G304">
            <v>3</v>
          </cell>
          <cell r="H304">
            <v>4.32</v>
          </cell>
          <cell r="I304" t="str">
            <v>Godos Cocina Típica</v>
          </cell>
          <cell r="J304" t="str">
            <v>C/ Romero, 33</v>
          </cell>
          <cell r="K304" t="str">
            <v>Sevilla</v>
          </cell>
          <cell r="M304" t="str">
            <v>41101</v>
          </cell>
          <cell r="N304" t="str">
            <v>Spain</v>
          </cell>
        </row>
        <row r="305">
          <cell r="A305">
            <v>10551</v>
          </cell>
          <cell r="B305" t="str">
            <v>FURIB</v>
          </cell>
          <cell r="C305">
            <v>4</v>
          </cell>
          <cell r="D305">
            <v>35578</v>
          </cell>
          <cell r="E305">
            <v>35620</v>
          </cell>
          <cell r="F305">
            <v>35587</v>
          </cell>
          <cell r="G305">
            <v>3</v>
          </cell>
          <cell r="H305">
            <v>72.95</v>
          </cell>
          <cell r="I305" t="str">
            <v>Furia Bacalhau e Frutos do Mar</v>
          </cell>
          <cell r="J305" t="str">
            <v>Jardim das rosas n. 32</v>
          </cell>
          <cell r="K305" t="str">
            <v>Lisboa</v>
          </cell>
          <cell r="M305" t="str">
            <v>1675</v>
          </cell>
          <cell r="N305" t="str">
            <v>Portugal</v>
          </cell>
        </row>
        <row r="306">
          <cell r="A306">
            <v>10552</v>
          </cell>
          <cell r="B306" t="str">
            <v>HILAA</v>
          </cell>
          <cell r="C306">
            <v>2</v>
          </cell>
          <cell r="D306">
            <v>35579</v>
          </cell>
          <cell r="E306">
            <v>35607</v>
          </cell>
          <cell r="F306">
            <v>35586</v>
          </cell>
          <cell r="G306">
            <v>1</v>
          </cell>
          <cell r="H306">
            <v>83.22</v>
          </cell>
          <cell r="I306" t="str">
            <v>HILARION-Abastos</v>
          </cell>
          <cell r="J306" t="str">
            <v>Carrera 22 con Ave. Carlos Soublette #8-35</v>
          </cell>
          <cell r="K306" t="str">
            <v>San Cristóbal</v>
          </cell>
          <cell r="L306" t="str">
            <v>Táchira</v>
          </cell>
          <cell r="M306" t="str">
            <v>5022</v>
          </cell>
          <cell r="N306" t="str">
            <v>Venezuela</v>
          </cell>
        </row>
        <row r="307">
          <cell r="A307">
            <v>10553</v>
          </cell>
          <cell r="B307" t="str">
            <v>WARTH</v>
          </cell>
          <cell r="C307">
            <v>2</v>
          </cell>
          <cell r="D307">
            <v>35580</v>
          </cell>
          <cell r="E307">
            <v>35608</v>
          </cell>
          <cell r="F307">
            <v>35584</v>
          </cell>
          <cell r="G307">
            <v>2</v>
          </cell>
          <cell r="H307">
            <v>149.49</v>
          </cell>
          <cell r="I307" t="str">
            <v>Wartian Herkku</v>
          </cell>
          <cell r="J307" t="str">
            <v>Torikatu 38</v>
          </cell>
          <cell r="K307" t="str">
            <v>Oulu</v>
          </cell>
          <cell r="M307" t="str">
            <v>90110</v>
          </cell>
          <cell r="N307" t="str">
            <v>Finland</v>
          </cell>
        </row>
        <row r="308">
          <cell r="A308">
            <v>10554</v>
          </cell>
          <cell r="B308" t="str">
            <v>OTTIK</v>
          </cell>
          <cell r="C308">
            <v>4</v>
          </cell>
          <cell r="D308">
            <v>35580</v>
          </cell>
          <cell r="E308">
            <v>35608</v>
          </cell>
          <cell r="F308">
            <v>35586</v>
          </cell>
          <cell r="G308">
            <v>3</v>
          </cell>
          <cell r="H308">
            <v>120.97</v>
          </cell>
          <cell r="I308" t="str">
            <v>Ottilies Käseladen</v>
          </cell>
          <cell r="J308" t="str">
            <v>Mehrheimerstr. 369</v>
          </cell>
          <cell r="K308" t="str">
            <v>Köln</v>
          </cell>
          <cell r="M308" t="str">
            <v>50739</v>
          </cell>
          <cell r="N308" t="str">
            <v>Germany</v>
          </cell>
        </row>
        <row r="309">
          <cell r="A309">
            <v>10555</v>
          </cell>
          <cell r="B309" t="str">
            <v>SAVEA</v>
          </cell>
          <cell r="C309">
            <v>6</v>
          </cell>
          <cell r="D309">
            <v>35583</v>
          </cell>
          <cell r="E309">
            <v>35611</v>
          </cell>
          <cell r="F309">
            <v>35585</v>
          </cell>
          <cell r="G309">
            <v>3</v>
          </cell>
          <cell r="H309">
            <v>252.49</v>
          </cell>
          <cell r="I309" t="str">
            <v>Save-a-lot Markets</v>
          </cell>
          <cell r="J309" t="str">
            <v>187 Suffolk Ln.</v>
          </cell>
          <cell r="K309" t="str">
            <v>Boise</v>
          </cell>
          <cell r="L309" t="str">
            <v>ID</v>
          </cell>
          <cell r="M309" t="str">
            <v>83720</v>
          </cell>
          <cell r="N309" t="str">
            <v>USA</v>
          </cell>
        </row>
        <row r="310">
          <cell r="A310">
            <v>10556</v>
          </cell>
          <cell r="B310" t="str">
            <v>SIMOB</v>
          </cell>
          <cell r="C310">
            <v>2</v>
          </cell>
          <cell r="D310">
            <v>35584</v>
          </cell>
          <cell r="E310">
            <v>35626</v>
          </cell>
          <cell r="F310">
            <v>35594</v>
          </cell>
          <cell r="G310">
            <v>1</v>
          </cell>
          <cell r="H310">
            <v>9.8000000000000007</v>
          </cell>
          <cell r="I310" t="str">
            <v>Simons bistro</v>
          </cell>
          <cell r="J310" t="str">
            <v>Vinbæltet 34</v>
          </cell>
          <cell r="K310" t="str">
            <v>Kobenhavn</v>
          </cell>
          <cell r="M310" t="str">
            <v>1734</v>
          </cell>
          <cell r="N310" t="str">
            <v>Denmark</v>
          </cell>
        </row>
        <row r="311">
          <cell r="A311">
            <v>10557</v>
          </cell>
          <cell r="B311" t="str">
            <v>LEHMS</v>
          </cell>
          <cell r="C311">
            <v>9</v>
          </cell>
          <cell r="D311">
            <v>35584</v>
          </cell>
          <cell r="E311">
            <v>35598</v>
          </cell>
          <cell r="F311">
            <v>35587</v>
          </cell>
          <cell r="G311">
            <v>2</v>
          </cell>
          <cell r="H311">
            <v>96.72</v>
          </cell>
          <cell r="I311" t="str">
            <v>Lehmanns Marktstand</v>
          </cell>
          <cell r="J311" t="str">
            <v>Magazinweg 7</v>
          </cell>
          <cell r="K311" t="str">
            <v>Frankfurt a.M.</v>
          </cell>
          <cell r="M311" t="str">
            <v>60528</v>
          </cell>
          <cell r="N311" t="str">
            <v>Germany</v>
          </cell>
        </row>
        <row r="312">
          <cell r="A312">
            <v>10558</v>
          </cell>
          <cell r="B312" t="str">
            <v>AROUT</v>
          </cell>
          <cell r="C312">
            <v>1</v>
          </cell>
          <cell r="D312">
            <v>35585</v>
          </cell>
          <cell r="E312">
            <v>35613</v>
          </cell>
          <cell r="F312">
            <v>35591</v>
          </cell>
          <cell r="G312">
            <v>2</v>
          </cell>
          <cell r="H312">
            <v>72.97</v>
          </cell>
          <cell r="I312" t="str">
            <v>Around the Horn</v>
          </cell>
          <cell r="J312" t="str">
            <v>Brook Farm Stratford St. Mary</v>
          </cell>
          <cell r="K312" t="str">
            <v>Colchester</v>
          </cell>
          <cell r="L312" t="str">
            <v>Essex</v>
          </cell>
          <cell r="M312" t="str">
            <v>CO7 6JX</v>
          </cell>
          <cell r="N312" t="str">
            <v>UK</v>
          </cell>
        </row>
        <row r="313">
          <cell r="A313">
            <v>10559</v>
          </cell>
          <cell r="B313" t="str">
            <v>BLONP</v>
          </cell>
          <cell r="C313">
            <v>6</v>
          </cell>
          <cell r="D313">
            <v>35586</v>
          </cell>
          <cell r="E313">
            <v>35614</v>
          </cell>
          <cell r="F313">
            <v>35594</v>
          </cell>
          <cell r="G313">
            <v>1</v>
          </cell>
          <cell r="H313">
            <v>8.0500000000000007</v>
          </cell>
          <cell r="I313" t="str">
            <v>Blondel père et fils</v>
          </cell>
          <cell r="J313" t="str">
            <v>24, place Kléber</v>
          </cell>
          <cell r="K313" t="str">
            <v>Strasbourg</v>
          </cell>
          <cell r="M313" t="str">
            <v>67000</v>
          </cell>
          <cell r="N313" t="str">
            <v>France</v>
          </cell>
        </row>
        <row r="314">
          <cell r="A314">
            <v>10560</v>
          </cell>
          <cell r="B314" t="str">
            <v>FRANK</v>
          </cell>
          <cell r="C314">
            <v>8</v>
          </cell>
          <cell r="D314">
            <v>35587</v>
          </cell>
          <cell r="E314">
            <v>35615</v>
          </cell>
          <cell r="F314">
            <v>35590</v>
          </cell>
          <cell r="G314">
            <v>1</v>
          </cell>
          <cell r="H314">
            <v>36.65</v>
          </cell>
          <cell r="I314" t="str">
            <v>Frankenversand</v>
          </cell>
          <cell r="J314" t="str">
            <v>Berliner Platz 43</v>
          </cell>
          <cell r="K314" t="str">
            <v>München</v>
          </cell>
          <cell r="M314" t="str">
            <v>80805</v>
          </cell>
          <cell r="N314" t="str">
            <v>Germany</v>
          </cell>
        </row>
        <row r="315">
          <cell r="A315">
            <v>10561</v>
          </cell>
          <cell r="B315" t="str">
            <v>FOLKO</v>
          </cell>
          <cell r="C315">
            <v>2</v>
          </cell>
          <cell r="D315">
            <v>35587</v>
          </cell>
          <cell r="E315">
            <v>35615</v>
          </cell>
          <cell r="F315">
            <v>35590</v>
          </cell>
          <cell r="G315">
            <v>2</v>
          </cell>
          <cell r="H315">
            <v>242.21</v>
          </cell>
          <cell r="I315" t="str">
            <v>Folk och fä HB</v>
          </cell>
          <cell r="J315" t="str">
            <v>Åkergatan 24</v>
          </cell>
          <cell r="K315" t="str">
            <v>Bräcke</v>
          </cell>
          <cell r="M315" t="str">
            <v>S-844 67</v>
          </cell>
          <cell r="N315" t="str">
            <v>Sweden</v>
          </cell>
        </row>
        <row r="316">
          <cell r="A316">
            <v>10562</v>
          </cell>
          <cell r="B316" t="str">
            <v>REGGC</v>
          </cell>
          <cell r="C316">
            <v>1</v>
          </cell>
          <cell r="D316">
            <v>35590</v>
          </cell>
          <cell r="E316">
            <v>35618</v>
          </cell>
          <cell r="F316">
            <v>35593</v>
          </cell>
          <cell r="G316">
            <v>1</v>
          </cell>
          <cell r="H316">
            <v>22.95</v>
          </cell>
          <cell r="I316" t="str">
            <v>Reggiani Caseifici</v>
          </cell>
          <cell r="J316" t="str">
            <v>Strada Provinciale 124</v>
          </cell>
          <cell r="K316" t="str">
            <v>Reggio Emilia</v>
          </cell>
          <cell r="M316" t="str">
            <v>42100</v>
          </cell>
          <cell r="N316" t="str">
            <v>Italy</v>
          </cell>
        </row>
        <row r="317">
          <cell r="A317">
            <v>10563</v>
          </cell>
          <cell r="B317" t="str">
            <v>RICAR</v>
          </cell>
          <cell r="C317">
            <v>2</v>
          </cell>
          <cell r="D317">
            <v>35591</v>
          </cell>
          <cell r="E317">
            <v>35633</v>
          </cell>
          <cell r="F317">
            <v>35605</v>
          </cell>
          <cell r="G317">
            <v>2</v>
          </cell>
          <cell r="H317">
            <v>60.43</v>
          </cell>
          <cell r="I317" t="str">
            <v>Ricardo Adocicados</v>
          </cell>
          <cell r="J317" t="str">
            <v>Av. Copacabana, 267</v>
          </cell>
          <cell r="K317" t="str">
            <v>Rio de Janeiro</v>
          </cell>
          <cell r="L317" t="str">
            <v>RJ</v>
          </cell>
          <cell r="M317" t="str">
            <v>02389-890</v>
          </cell>
          <cell r="N317" t="str">
            <v>Brazil</v>
          </cell>
        </row>
        <row r="318">
          <cell r="A318">
            <v>10564</v>
          </cell>
          <cell r="B318" t="str">
            <v>RATTC</v>
          </cell>
          <cell r="C318">
            <v>4</v>
          </cell>
          <cell r="D318">
            <v>35591</v>
          </cell>
          <cell r="E318">
            <v>35619</v>
          </cell>
          <cell r="F318">
            <v>35597</v>
          </cell>
          <cell r="G318">
            <v>3</v>
          </cell>
          <cell r="H318">
            <v>13.75</v>
          </cell>
          <cell r="I318" t="str">
            <v>Rattlesnake Canyon Grocery</v>
          </cell>
          <cell r="J318" t="str">
            <v>2817 Milton Dr.</v>
          </cell>
          <cell r="K318" t="str">
            <v>Albuquerque</v>
          </cell>
          <cell r="L318" t="str">
            <v>NM</v>
          </cell>
          <cell r="M318" t="str">
            <v>87110</v>
          </cell>
          <cell r="N318" t="str">
            <v>USA</v>
          </cell>
        </row>
        <row r="319">
          <cell r="A319">
            <v>10565</v>
          </cell>
          <cell r="B319" t="str">
            <v>MEREP</v>
          </cell>
          <cell r="C319">
            <v>8</v>
          </cell>
          <cell r="D319">
            <v>35592</v>
          </cell>
          <cell r="E319">
            <v>35620</v>
          </cell>
          <cell r="F319">
            <v>35599</v>
          </cell>
          <cell r="G319">
            <v>2</v>
          </cell>
          <cell r="H319">
            <v>7.15</v>
          </cell>
          <cell r="I319" t="str">
            <v>Mère Paillarde</v>
          </cell>
          <cell r="J319" t="str">
            <v>43 rue St. Laurent</v>
          </cell>
          <cell r="K319" t="str">
            <v>Montréal</v>
          </cell>
          <cell r="L319" t="str">
            <v>Québec</v>
          </cell>
          <cell r="M319" t="str">
            <v>H1J 1C3</v>
          </cell>
          <cell r="N319" t="str">
            <v>Canada</v>
          </cell>
        </row>
        <row r="320">
          <cell r="A320">
            <v>10566</v>
          </cell>
          <cell r="B320" t="str">
            <v>BLONP</v>
          </cell>
          <cell r="C320">
            <v>9</v>
          </cell>
          <cell r="D320">
            <v>35593</v>
          </cell>
          <cell r="E320">
            <v>35621</v>
          </cell>
          <cell r="F320">
            <v>35599</v>
          </cell>
          <cell r="G320">
            <v>1</v>
          </cell>
          <cell r="H320">
            <v>88.4</v>
          </cell>
          <cell r="I320" t="str">
            <v>Blondel père et fils</v>
          </cell>
          <cell r="J320" t="str">
            <v>24, place Kléber</v>
          </cell>
          <cell r="K320" t="str">
            <v>Strasbourg</v>
          </cell>
          <cell r="M320" t="str">
            <v>67000</v>
          </cell>
          <cell r="N320" t="str">
            <v>France</v>
          </cell>
        </row>
        <row r="321">
          <cell r="A321">
            <v>10567</v>
          </cell>
          <cell r="B321" t="str">
            <v>HUNGO</v>
          </cell>
          <cell r="C321">
            <v>1</v>
          </cell>
          <cell r="D321">
            <v>35593</v>
          </cell>
          <cell r="E321">
            <v>35621</v>
          </cell>
          <cell r="F321">
            <v>35598</v>
          </cell>
          <cell r="G321">
            <v>1</v>
          </cell>
          <cell r="H321">
            <v>33.97</v>
          </cell>
          <cell r="I321" t="str">
            <v>Hungry Owl All-Night Grocers</v>
          </cell>
          <cell r="J321" t="str">
            <v>8 Johnstown Road</v>
          </cell>
          <cell r="K321" t="str">
            <v>Cork</v>
          </cell>
          <cell r="L321" t="str">
            <v>Co. Cork</v>
          </cell>
          <cell r="N321" t="str">
            <v>Ireland</v>
          </cell>
        </row>
        <row r="322">
          <cell r="A322">
            <v>10568</v>
          </cell>
          <cell r="B322" t="str">
            <v>GALED</v>
          </cell>
          <cell r="C322">
            <v>3</v>
          </cell>
          <cell r="D322">
            <v>35594</v>
          </cell>
          <cell r="E322">
            <v>35622</v>
          </cell>
          <cell r="F322">
            <v>35620</v>
          </cell>
          <cell r="G322">
            <v>3</v>
          </cell>
          <cell r="H322">
            <v>6.54</v>
          </cell>
          <cell r="I322" t="str">
            <v>Galería del gastronómo</v>
          </cell>
          <cell r="J322" t="str">
            <v>Rambla de Cataluña, 23</v>
          </cell>
          <cell r="K322" t="str">
            <v>Barcelona</v>
          </cell>
          <cell r="M322" t="str">
            <v>8022</v>
          </cell>
          <cell r="N322" t="str">
            <v>Spain</v>
          </cell>
        </row>
        <row r="323">
          <cell r="A323">
            <v>10569</v>
          </cell>
          <cell r="B323" t="str">
            <v>RATTC</v>
          </cell>
          <cell r="C323">
            <v>5</v>
          </cell>
          <cell r="D323">
            <v>35597</v>
          </cell>
          <cell r="E323">
            <v>35625</v>
          </cell>
          <cell r="F323">
            <v>35622</v>
          </cell>
          <cell r="G323">
            <v>1</v>
          </cell>
          <cell r="H323">
            <v>58.98</v>
          </cell>
          <cell r="I323" t="str">
            <v>Rattlesnake Canyon Grocery</v>
          </cell>
          <cell r="J323" t="str">
            <v>2817 Milton Dr.</v>
          </cell>
          <cell r="K323" t="str">
            <v>Albuquerque</v>
          </cell>
          <cell r="L323" t="str">
            <v>NM</v>
          </cell>
          <cell r="M323" t="str">
            <v>87110</v>
          </cell>
          <cell r="N323" t="str">
            <v>USA</v>
          </cell>
        </row>
        <row r="324">
          <cell r="A324">
            <v>10570</v>
          </cell>
          <cell r="B324" t="str">
            <v>MEREP</v>
          </cell>
          <cell r="C324">
            <v>3</v>
          </cell>
          <cell r="D324">
            <v>35598</v>
          </cell>
          <cell r="E324">
            <v>35626</v>
          </cell>
          <cell r="F324">
            <v>35600</v>
          </cell>
          <cell r="G324">
            <v>3</v>
          </cell>
          <cell r="H324">
            <v>188.99</v>
          </cell>
          <cell r="I324" t="str">
            <v>Mère Paillarde</v>
          </cell>
          <cell r="J324" t="str">
            <v>43 rue St. Laurent</v>
          </cell>
          <cell r="K324" t="str">
            <v>Montréal</v>
          </cell>
          <cell r="L324" t="str">
            <v>Québec</v>
          </cell>
          <cell r="M324" t="str">
            <v>H1J 1C3</v>
          </cell>
          <cell r="N324" t="str">
            <v>Canada</v>
          </cell>
        </row>
        <row r="325">
          <cell r="A325">
            <v>10571</v>
          </cell>
          <cell r="B325" t="str">
            <v>ERNSH</v>
          </cell>
          <cell r="C325">
            <v>8</v>
          </cell>
          <cell r="D325">
            <v>35598</v>
          </cell>
          <cell r="E325">
            <v>35640</v>
          </cell>
          <cell r="F325">
            <v>35615</v>
          </cell>
          <cell r="G325">
            <v>3</v>
          </cell>
          <cell r="H325">
            <v>26.06</v>
          </cell>
          <cell r="I325" t="str">
            <v>Ernst Handel</v>
          </cell>
          <cell r="J325" t="str">
            <v>Kirchgasse 6</v>
          </cell>
          <cell r="K325" t="str">
            <v>Graz</v>
          </cell>
          <cell r="M325" t="str">
            <v>8010</v>
          </cell>
          <cell r="N325" t="str">
            <v>Austria</v>
          </cell>
        </row>
        <row r="326">
          <cell r="A326">
            <v>10572</v>
          </cell>
          <cell r="B326" t="str">
            <v>BERGS</v>
          </cell>
          <cell r="C326">
            <v>3</v>
          </cell>
          <cell r="D326">
            <v>35599</v>
          </cell>
          <cell r="E326">
            <v>35627</v>
          </cell>
          <cell r="F326">
            <v>35606</v>
          </cell>
          <cell r="G326">
            <v>2</v>
          </cell>
          <cell r="H326">
            <v>116.43</v>
          </cell>
          <cell r="I326" t="str">
            <v>Berglunds snabbköp</v>
          </cell>
          <cell r="J326" t="str">
            <v>Berguvsvägen  8</v>
          </cell>
          <cell r="K326" t="str">
            <v>Luleå</v>
          </cell>
          <cell r="M326" t="str">
            <v>S-958 22</v>
          </cell>
          <cell r="N326" t="str">
            <v>Sweden</v>
          </cell>
        </row>
        <row r="327">
          <cell r="A327">
            <v>10573</v>
          </cell>
          <cell r="B327" t="str">
            <v>ANTON</v>
          </cell>
          <cell r="C327">
            <v>7</v>
          </cell>
          <cell r="D327">
            <v>35600</v>
          </cell>
          <cell r="E327">
            <v>35628</v>
          </cell>
          <cell r="F327">
            <v>35601</v>
          </cell>
          <cell r="G327">
            <v>3</v>
          </cell>
          <cell r="H327">
            <v>84.84</v>
          </cell>
          <cell r="I327" t="str">
            <v>Antonio Moreno Taquería</v>
          </cell>
          <cell r="J327" t="str">
            <v>Mataderos  2312</v>
          </cell>
          <cell r="K327" t="str">
            <v>México D.F.</v>
          </cell>
          <cell r="M327" t="str">
            <v>05023</v>
          </cell>
          <cell r="N327" t="str">
            <v>Mexico</v>
          </cell>
        </row>
        <row r="328">
          <cell r="A328">
            <v>10574</v>
          </cell>
          <cell r="B328" t="str">
            <v>TRAIH</v>
          </cell>
          <cell r="C328">
            <v>4</v>
          </cell>
          <cell r="D328">
            <v>35600</v>
          </cell>
          <cell r="E328">
            <v>35628</v>
          </cell>
          <cell r="F328">
            <v>35611</v>
          </cell>
          <cell r="G328">
            <v>2</v>
          </cell>
          <cell r="H328">
            <v>37.6</v>
          </cell>
          <cell r="I328" t="str">
            <v>Trail's Head Gourmet Provisioners</v>
          </cell>
          <cell r="J328" t="str">
            <v>722 DaVinci Blvd.</v>
          </cell>
          <cell r="K328" t="str">
            <v>Kirkland</v>
          </cell>
          <cell r="L328" t="str">
            <v>WA</v>
          </cell>
          <cell r="M328" t="str">
            <v>98034</v>
          </cell>
          <cell r="N328" t="str">
            <v>USA</v>
          </cell>
        </row>
        <row r="329">
          <cell r="A329">
            <v>10575</v>
          </cell>
          <cell r="B329" t="str">
            <v>MORGK</v>
          </cell>
          <cell r="C329">
            <v>5</v>
          </cell>
          <cell r="D329">
            <v>35601</v>
          </cell>
          <cell r="E329">
            <v>35615</v>
          </cell>
          <cell r="F329">
            <v>35611</v>
          </cell>
          <cell r="G329">
            <v>1</v>
          </cell>
          <cell r="H329">
            <v>127.34</v>
          </cell>
          <cell r="I329" t="str">
            <v>Morgenstern Gesundkost</v>
          </cell>
          <cell r="J329" t="str">
            <v>Heerstr. 22</v>
          </cell>
          <cell r="K329" t="str">
            <v>Leipzig</v>
          </cell>
          <cell r="M329" t="str">
            <v>04179</v>
          </cell>
          <cell r="N329" t="str">
            <v>Germany</v>
          </cell>
        </row>
        <row r="330">
          <cell r="A330">
            <v>10576</v>
          </cell>
          <cell r="B330" t="str">
            <v>TORTU</v>
          </cell>
          <cell r="C330">
            <v>3</v>
          </cell>
          <cell r="D330">
            <v>35604</v>
          </cell>
          <cell r="E330">
            <v>35618</v>
          </cell>
          <cell r="F330">
            <v>35611</v>
          </cell>
          <cell r="G330">
            <v>3</v>
          </cell>
          <cell r="H330">
            <v>18.559999999999999</v>
          </cell>
          <cell r="I330" t="str">
            <v>Tortuga Restaurante</v>
          </cell>
          <cell r="J330" t="str">
            <v>Avda. Azteca 123</v>
          </cell>
          <cell r="K330" t="str">
            <v>México D.F.</v>
          </cell>
          <cell r="M330" t="str">
            <v>05033</v>
          </cell>
          <cell r="N330" t="str">
            <v>Mexico</v>
          </cell>
        </row>
        <row r="331">
          <cell r="A331">
            <v>10577</v>
          </cell>
          <cell r="B331" t="str">
            <v>TRAIH</v>
          </cell>
          <cell r="C331">
            <v>9</v>
          </cell>
          <cell r="D331">
            <v>35604</v>
          </cell>
          <cell r="E331">
            <v>35646</v>
          </cell>
          <cell r="F331">
            <v>35611</v>
          </cell>
          <cell r="G331">
            <v>2</v>
          </cell>
          <cell r="H331">
            <v>25.41</v>
          </cell>
          <cell r="I331" t="str">
            <v>Trail's Head Gourmet Provisioners</v>
          </cell>
          <cell r="J331" t="str">
            <v>722 DaVinci Blvd.</v>
          </cell>
          <cell r="K331" t="str">
            <v>Kirkland</v>
          </cell>
          <cell r="L331" t="str">
            <v>WA</v>
          </cell>
          <cell r="M331" t="str">
            <v>98034</v>
          </cell>
          <cell r="N331" t="str">
            <v>USA</v>
          </cell>
        </row>
        <row r="332">
          <cell r="A332">
            <v>10578</v>
          </cell>
          <cell r="B332" t="str">
            <v>BSBEV</v>
          </cell>
          <cell r="C332">
            <v>4</v>
          </cell>
          <cell r="D332">
            <v>35605</v>
          </cell>
          <cell r="E332">
            <v>35633</v>
          </cell>
          <cell r="F332">
            <v>35636</v>
          </cell>
          <cell r="G332">
            <v>3</v>
          </cell>
          <cell r="H332">
            <v>29.6</v>
          </cell>
          <cell r="I332" t="str">
            <v>B's Beverages</v>
          </cell>
          <cell r="J332" t="str">
            <v>Fauntleroy Circus</v>
          </cell>
          <cell r="K332" t="str">
            <v>London</v>
          </cell>
          <cell r="M332" t="str">
            <v>EC2 5NT</v>
          </cell>
          <cell r="N332" t="str">
            <v>UK</v>
          </cell>
        </row>
        <row r="333">
          <cell r="A333">
            <v>10579</v>
          </cell>
          <cell r="B333" t="str">
            <v>LETSS</v>
          </cell>
          <cell r="C333">
            <v>1</v>
          </cell>
          <cell r="D333">
            <v>35606</v>
          </cell>
          <cell r="E333">
            <v>35634</v>
          </cell>
          <cell r="F333">
            <v>35615</v>
          </cell>
          <cell r="G333">
            <v>2</v>
          </cell>
          <cell r="H333">
            <v>13.73</v>
          </cell>
          <cell r="I333" t="str">
            <v>Let's Stop N Shop</v>
          </cell>
          <cell r="J333" t="str">
            <v>87 Polk St. Suite 5</v>
          </cell>
          <cell r="K333" t="str">
            <v>San Francisco</v>
          </cell>
          <cell r="L333" t="str">
            <v>CA</v>
          </cell>
          <cell r="M333" t="str">
            <v>94117</v>
          </cell>
          <cell r="N333" t="str">
            <v>USA</v>
          </cell>
        </row>
        <row r="334">
          <cell r="A334">
            <v>10580</v>
          </cell>
          <cell r="B334" t="str">
            <v>OTTIK</v>
          </cell>
          <cell r="C334">
            <v>4</v>
          </cell>
          <cell r="D334">
            <v>35607</v>
          </cell>
          <cell r="E334">
            <v>35635</v>
          </cell>
          <cell r="F334">
            <v>35612</v>
          </cell>
          <cell r="G334">
            <v>3</v>
          </cell>
          <cell r="H334">
            <v>75.89</v>
          </cell>
          <cell r="I334" t="str">
            <v>Ottilies Käseladen</v>
          </cell>
          <cell r="J334" t="str">
            <v>Mehrheimerstr. 369</v>
          </cell>
          <cell r="K334" t="str">
            <v>Köln</v>
          </cell>
          <cell r="M334" t="str">
            <v>50739</v>
          </cell>
          <cell r="N334" t="str">
            <v>Germany</v>
          </cell>
        </row>
        <row r="335">
          <cell r="A335">
            <v>10581</v>
          </cell>
          <cell r="B335" t="str">
            <v>FAMIA</v>
          </cell>
          <cell r="C335">
            <v>3</v>
          </cell>
          <cell r="D335">
            <v>35607</v>
          </cell>
          <cell r="E335">
            <v>35635</v>
          </cell>
          <cell r="F335">
            <v>35613</v>
          </cell>
          <cell r="G335">
            <v>1</v>
          </cell>
          <cell r="H335">
            <v>3.01</v>
          </cell>
          <cell r="I335" t="str">
            <v>Familia Arquibaldo</v>
          </cell>
          <cell r="J335" t="str">
            <v>Rua Orós, 92</v>
          </cell>
          <cell r="K335" t="str">
            <v>Sao Paulo</v>
          </cell>
          <cell r="L335" t="str">
            <v>SP</v>
          </cell>
          <cell r="M335" t="str">
            <v>05442-030</v>
          </cell>
          <cell r="N335" t="str">
            <v>Brazil</v>
          </cell>
        </row>
        <row r="336">
          <cell r="A336">
            <v>10582</v>
          </cell>
          <cell r="B336" t="str">
            <v>BLAUS</v>
          </cell>
          <cell r="C336">
            <v>3</v>
          </cell>
          <cell r="D336">
            <v>35608</v>
          </cell>
          <cell r="E336">
            <v>35636</v>
          </cell>
          <cell r="F336">
            <v>35625</v>
          </cell>
          <cell r="G336">
            <v>2</v>
          </cell>
          <cell r="H336">
            <v>27.71</v>
          </cell>
          <cell r="I336" t="str">
            <v>Blauer See Delikatessen</v>
          </cell>
          <cell r="J336" t="str">
            <v>Forsterstr. 57</v>
          </cell>
          <cell r="K336" t="str">
            <v>Mannheim</v>
          </cell>
          <cell r="M336" t="str">
            <v>68306</v>
          </cell>
          <cell r="N336" t="str">
            <v>Germany</v>
          </cell>
        </row>
        <row r="337">
          <cell r="A337">
            <v>10583</v>
          </cell>
          <cell r="B337" t="str">
            <v>WARTH</v>
          </cell>
          <cell r="C337">
            <v>2</v>
          </cell>
          <cell r="D337">
            <v>35611</v>
          </cell>
          <cell r="E337">
            <v>35639</v>
          </cell>
          <cell r="F337">
            <v>35615</v>
          </cell>
          <cell r="G337">
            <v>2</v>
          </cell>
          <cell r="H337">
            <v>7.28</v>
          </cell>
          <cell r="I337" t="str">
            <v>Wartian Herkku</v>
          </cell>
          <cell r="J337" t="str">
            <v>Torikatu 38</v>
          </cell>
          <cell r="K337" t="str">
            <v>Oulu</v>
          </cell>
          <cell r="M337" t="str">
            <v>90110</v>
          </cell>
          <cell r="N337" t="str">
            <v>Finland</v>
          </cell>
        </row>
        <row r="338">
          <cell r="A338">
            <v>10584</v>
          </cell>
          <cell r="B338" t="str">
            <v>BLONP</v>
          </cell>
          <cell r="C338">
            <v>4</v>
          </cell>
          <cell r="D338">
            <v>35611</v>
          </cell>
          <cell r="E338">
            <v>35639</v>
          </cell>
          <cell r="F338">
            <v>35615</v>
          </cell>
          <cell r="G338">
            <v>1</v>
          </cell>
          <cell r="H338">
            <v>59.14</v>
          </cell>
          <cell r="I338" t="str">
            <v>Blondel père et fils</v>
          </cell>
          <cell r="J338" t="str">
            <v>24, place Kléber</v>
          </cell>
          <cell r="K338" t="str">
            <v>Strasbourg</v>
          </cell>
          <cell r="M338" t="str">
            <v>67000</v>
          </cell>
          <cell r="N338" t="str">
            <v>France</v>
          </cell>
        </row>
        <row r="339">
          <cell r="A339">
            <v>10585</v>
          </cell>
          <cell r="B339" t="str">
            <v>WELLI</v>
          </cell>
          <cell r="C339">
            <v>7</v>
          </cell>
          <cell r="D339">
            <v>35612</v>
          </cell>
          <cell r="E339">
            <v>35640</v>
          </cell>
          <cell r="F339">
            <v>35621</v>
          </cell>
          <cell r="G339">
            <v>1</v>
          </cell>
          <cell r="H339">
            <v>13.41</v>
          </cell>
          <cell r="I339" t="str">
            <v>Wellington Importadora</v>
          </cell>
          <cell r="J339" t="str">
            <v>Rua do Mercado, 12</v>
          </cell>
          <cell r="K339" t="str">
            <v>Resende</v>
          </cell>
          <cell r="L339" t="str">
            <v>SP</v>
          </cell>
          <cell r="M339" t="str">
            <v>08737-363</v>
          </cell>
          <cell r="N339" t="str">
            <v>Brazil</v>
          </cell>
        </row>
        <row r="340">
          <cell r="A340">
            <v>10586</v>
          </cell>
          <cell r="B340" t="str">
            <v>REGGC</v>
          </cell>
          <cell r="C340">
            <v>9</v>
          </cell>
          <cell r="D340">
            <v>35613</v>
          </cell>
          <cell r="E340">
            <v>35641</v>
          </cell>
          <cell r="F340">
            <v>35620</v>
          </cell>
          <cell r="G340">
            <v>1</v>
          </cell>
          <cell r="H340">
            <v>0.48</v>
          </cell>
          <cell r="I340" t="str">
            <v>Reggiani Caseifici</v>
          </cell>
          <cell r="J340" t="str">
            <v>Strada Provinciale 124</v>
          </cell>
          <cell r="K340" t="str">
            <v>Reggio Emilia</v>
          </cell>
          <cell r="M340" t="str">
            <v>42100</v>
          </cell>
          <cell r="N340" t="str">
            <v>Italy</v>
          </cell>
        </row>
        <row r="341">
          <cell r="A341">
            <v>10587</v>
          </cell>
          <cell r="B341" t="str">
            <v>QUEDE</v>
          </cell>
          <cell r="C341">
            <v>1</v>
          </cell>
          <cell r="D341">
            <v>35613</v>
          </cell>
          <cell r="E341">
            <v>35641</v>
          </cell>
          <cell r="F341">
            <v>35620</v>
          </cell>
          <cell r="G341">
            <v>1</v>
          </cell>
          <cell r="H341">
            <v>62.52</v>
          </cell>
          <cell r="I341" t="str">
            <v>Que Delícia</v>
          </cell>
          <cell r="J341" t="str">
            <v>Rua da Panificadora, 12</v>
          </cell>
          <cell r="K341" t="str">
            <v>Rio de Janeiro</v>
          </cell>
          <cell r="L341" t="str">
            <v>RJ</v>
          </cell>
          <cell r="M341" t="str">
            <v>02389-673</v>
          </cell>
          <cell r="N341" t="str">
            <v>Brazil</v>
          </cell>
        </row>
        <row r="342">
          <cell r="A342">
            <v>10588</v>
          </cell>
          <cell r="B342" t="str">
            <v>QUICK</v>
          </cell>
          <cell r="C342">
            <v>2</v>
          </cell>
          <cell r="D342">
            <v>35614</v>
          </cell>
          <cell r="E342">
            <v>35642</v>
          </cell>
          <cell r="F342">
            <v>35621</v>
          </cell>
          <cell r="G342">
            <v>3</v>
          </cell>
          <cell r="H342">
            <v>194.67</v>
          </cell>
          <cell r="I342" t="str">
            <v>QUICK-Stop</v>
          </cell>
          <cell r="J342" t="str">
            <v>Taucherstraße 10</v>
          </cell>
          <cell r="K342" t="str">
            <v>Cunewalde</v>
          </cell>
          <cell r="M342" t="str">
            <v>01307</v>
          </cell>
          <cell r="N342" t="str">
            <v>Germany</v>
          </cell>
        </row>
        <row r="343">
          <cell r="A343">
            <v>10589</v>
          </cell>
          <cell r="B343" t="str">
            <v>GREAL</v>
          </cell>
          <cell r="C343">
            <v>8</v>
          </cell>
          <cell r="D343">
            <v>35615</v>
          </cell>
          <cell r="E343">
            <v>35643</v>
          </cell>
          <cell r="F343">
            <v>35625</v>
          </cell>
          <cell r="G343">
            <v>2</v>
          </cell>
          <cell r="H343">
            <v>4.42</v>
          </cell>
          <cell r="I343" t="str">
            <v>Great Lakes Food Market</v>
          </cell>
          <cell r="J343" t="str">
            <v>2732 Baker Blvd.</v>
          </cell>
          <cell r="K343" t="str">
            <v>Eugene</v>
          </cell>
          <cell r="L343" t="str">
            <v>OR</v>
          </cell>
          <cell r="M343" t="str">
            <v>97403</v>
          </cell>
          <cell r="N343" t="str">
            <v>USA</v>
          </cell>
        </row>
        <row r="344">
          <cell r="A344">
            <v>10590</v>
          </cell>
          <cell r="B344" t="str">
            <v>MEREP</v>
          </cell>
          <cell r="C344">
            <v>4</v>
          </cell>
          <cell r="D344">
            <v>35618</v>
          </cell>
          <cell r="E344">
            <v>35646</v>
          </cell>
          <cell r="F344">
            <v>35625</v>
          </cell>
          <cell r="G344">
            <v>3</v>
          </cell>
          <cell r="H344">
            <v>44.77</v>
          </cell>
          <cell r="I344" t="str">
            <v>Mère Paillarde</v>
          </cell>
          <cell r="J344" t="str">
            <v>43 rue St. Laurent</v>
          </cell>
          <cell r="K344" t="str">
            <v>Montréal</v>
          </cell>
          <cell r="L344" t="str">
            <v>Québec</v>
          </cell>
          <cell r="M344" t="str">
            <v>H1J 1C3</v>
          </cell>
          <cell r="N344" t="str">
            <v>Canada</v>
          </cell>
        </row>
        <row r="345">
          <cell r="A345">
            <v>10591</v>
          </cell>
          <cell r="B345" t="str">
            <v>VAFFE</v>
          </cell>
          <cell r="C345">
            <v>1</v>
          </cell>
          <cell r="D345">
            <v>35618</v>
          </cell>
          <cell r="E345">
            <v>35632</v>
          </cell>
          <cell r="F345">
            <v>35627</v>
          </cell>
          <cell r="G345">
            <v>1</v>
          </cell>
          <cell r="H345">
            <v>55.92</v>
          </cell>
          <cell r="I345" t="str">
            <v>Vaffeljernet</v>
          </cell>
          <cell r="J345" t="str">
            <v>Smagsloget 45</v>
          </cell>
          <cell r="K345" t="str">
            <v>Århus</v>
          </cell>
          <cell r="M345" t="str">
            <v>8200</v>
          </cell>
          <cell r="N345" t="str">
            <v>Denmark</v>
          </cell>
        </row>
        <row r="346">
          <cell r="A346">
            <v>10592</v>
          </cell>
          <cell r="B346" t="str">
            <v>LEHMS</v>
          </cell>
          <cell r="C346">
            <v>3</v>
          </cell>
          <cell r="D346">
            <v>35619</v>
          </cell>
          <cell r="E346">
            <v>35647</v>
          </cell>
          <cell r="F346">
            <v>35627</v>
          </cell>
          <cell r="G346">
            <v>1</v>
          </cell>
          <cell r="H346">
            <v>32.1</v>
          </cell>
          <cell r="I346" t="str">
            <v>Lehmanns Marktstand</v>
          </cell>
          <cell r="J346" t="str">
            <v>Magazinweg 7</v>
          </cell>
          <cell r="K346" t="str">
            <v>Frankfurt a.M.</v>
          </cell>
          <cell r="M346" t="str">
            <v>60528</v>
          </cell>
          <cell r="N346" t="str">
            <v>Germany</v>
          </cell>
        </row>
        <row r="347">
          <cell r="A347">
            <v>10593</v>
          </cell>
          <cell r="B347" t="str">
            <v>LEHMS</v>
          </cell>
          <cell r="C347">
            <v>7</v>
          </cell>
          <cell r="D347">
            <v>35620</v>
          </cell>
          <cell r="E347">
            <v>35648</v>
          </cell>
          <cell r="F347">
            <v>35655</v>
          </cell>
          <cell r="G347">
            <v>2</v>
          </cell>
          <cell r="H347">
            <v>174.2</v>
          </cell>
          <cell r="I347" t="str">
            <v>Lehmanns Marktstand</v>
          </cell>
          <cell r="J347" t="str">
            <v>Magazinweg 7</v>
          </cell>
          <cell r="K347" t="str">
            <v>Frankfurt a.M.</v>
          </cell>
          <cell r="M347" t="str">
            <v>60528</v>
          </cell>
          <cell r="N347" t="str">
            <v>Germany</v>
          </cell>
        </row>
        <row r="348">
          <cell r="A348">
            <v>10594</v>
          </cell>
          <cell r="B348" t="str">
            <v>OLDWO</v>
          </cell>
          <cell r="C348">
            <v>3</v>
          </cell>
          <cell r="D348">
            <v>35620</v>
          </cell>
          <cell r="E348">
            <v>35648</v>
          </cell>
          <cell r="F348">
            <v>35627</v>
          </cell>
          <cell r="G348">
            <v>2</v>
          </cell>
          <cell r="H348">
            <v>5.24</v>
          </cell>
          <cell r="I348" t="str">
            <v>Old World Delicatessen</v>
          </cell>
          <cell r="J348" t="str">
            <v>2743 Bering St.</v>
          </cell>
          <cell r="K348" t="str">
            <v>Anchorage</v>
          </cell>
          <cell r="L348" t="str">
            <v>AK</v>
          </cell>
          <cell r="M348" t="str">
            <v>99508</v>
          </cell>
          <cell r="N348" t="str">
            <v>USA</v>
          </cell>
        </row>
        <row r="349">
          <cell r="A349">
            <v>10595</v>
          </cell>
          <cell r="B349" t="str">
            <v>ERNSH</v>
          </cell>
          <cell r="C349">
            <v>2</v>
          </cell>
          <cell r="D349">
            <v>35621</v>
          </cell>
          <cell r="E349">
            <v>35649</v>
          </cell>
          <cell r="F349">
            <v>35625</v>
          </cell>
          <cell r="G349">
            <v>1</v>
          </cell>
          <cell r="H349">
            <v>96.78</v>
          </cell>
          <cell r="I349" t="str">
            <v>Ernst Handel</v>
          </cell>
          <cell r="J349" t="str">
            <v>Kirchgasse 6</v>
          </cell>
          <cell r="K349" t="str">
            <v>Graz</v>
          </cell>
          <cell r="M349" t="str">
            <v>8010</v>
          </cell>
          <cell r="N349" t="str">
            <v>Austria</v>
          </cell>
        </row>
        <row r="350">
          <cell r="A350">
            <v>10596</v>
          </cell>
          <cell r="B350" t="str">
            <v>WHITC</v>
          </cell>
          <cell r="C350">
            <v>8</v>
          </cell>
          <cell r="D350">
            <v>35622</v>
          </cell>
          <cell r="E350">
            <v>35650</v>
          </cell>
          <cell r="F350">
            <v>35654</v>
          </cell>
          <cell r="G350">
            <v>1</v>
          </cell>
          <cell r="H350">
            <v>16.34</v>
          </cell>
          <cell r="I350" t="str">
            <v>White Clover Markets</v>
          </cell>
          <cell r="J350" t="str">
            <v>1029 - 12th Ave. S.</v>
          </cell>
          <cell r="K350" t="str">
            <v>Seattle</v>
          </cell>
          <cell r="L350" t="str">
            <v>WA</v>
          </cell>
          <cell r="M350" t="str">
            <v>98124</v>
          </cell>
          <cell r="N350" t="str">
            <v>USA</v>
          </cell>
        </row>
        <row r="351">
          <cell r="A351">
            <v>10597</v>
          </cell>
          <cell r="B351" t="str">
            <v>PICCO</v>
          </cell>
          <cell r="C351">
            <v>7</v>
          </cell>
          <cell r="D351">
            <v>35622</v>
          </cell>
          <cell r="E351">
            <v>35650</v>
          </cell>
          <cell r="F351">
            <v>35629</v>
          </cell>
          <cell r="G351">
            <v>3</v>
          </cell>
          <cell r="H351">
            <v>35.119999999999997</v>
          </cell>
          <cell r="I351" t="str">
            <v>Piccolo und mehr</v>
          </cell>
          <cell r="J351" t="str">
            <v>Geislweg 14</v>
          </cell>
          <cell r="K351" t="str">
            <v>Salzburg</v>
          </cell>
          <cell r="M351" t="str">
            <v>5020</v>
          </cell>
          <cell r="N351" t="str">
            <v>Austria</v>
          </cell>
        </row>
        <row r="352">
          <cell r="A352">
            <v>10598</v>
          </cell>
          <cell r="B352" t="str">
            <v>RATTC</v>
          </cell>
          <cell r="C352">
            <v>1</v>
          </cell>
          <cell r="D352">
            <v>35625</v>
          </cell>
          <cell r="E352">
            <v>35653</v>
          </cell>
          <cell r="F352">
            <v>35629</v>
          </cell>
          <cell r="G352">
            <v>3</v>
          </cell>
          <cell r="H352">
            <v>44.42</v>
          </cell>
          <cell r="I352" t="str">
            <v>Rattlesnake Canyon Grocery</v>
          </cell>
          <cell r="J352" t="str">
            <v>2817 Milton Dr.</v>
          </cell>
          <cell r="K352" t="str">
            <v>Albuquerque</v>
          </cell>
          <cell r="L352" t="str">
            <v>NM</v>
          </cell>
          <cell r="M352" t="str">
            <v>87110</v>
          </cell>
          <cell r="N352" t="str">
            <v>USA</v>
          </cell>
        </row>
        <row r="353">
          <cell r="A353">
            <v>10599</v>
          </cell>
          <cell r="B353" t="str">
            <v>BSBEV</v>
          </cell>
          <cell r="C353">
            <v>6</v>
          </cell>
          <cell r="D353">
            <v>35626</v>
          </cell>
          <cell r="E353">
            <v>35668</v>
          </cell>
          <cell r="F353">
            <v>35632</v>
          </cell>
          <cell r="G353">
            <v>3</v>
          </cell>
          <cell r="H353">
            <v>29.98</v>
          </cell>
          <cell r="I353" t="str">
            <v>B's Beverages</v>
          </cell>
          <cell r="J353" t="str">
            <v>Fauntleroy Circus</v>
          </cell>
          <cell r="K353" t="str">
            <v>London</v>
          </cell>
          <cell r="M353" t="str">
            <v>EC2 5NT</v>
          </cell>
          <cell r="N353" t="str">
            <v>UK</v>
          </cell>
        </row>
        <row r="354">
          <cell r="A354">
            <v>10600</v>
          </cell>
          <cell r="B354" t="str">
            <v>HUNGC</v>
          </cell>
          <cell r="C354">
            <v>4</v>
          </cell>
          <cell r="D354">
            <v>35627</v>
          </cell>
          <cell r="E354">
            <v>35655</v>
          </cell>
          <cell r="F354">
            <v>35632</v>
          </cell>
          <cell r="G354">
            <v>1</v>
          </cell>
          <cell r="H354">
            <v>45.13</v>
          </cell>
          <cell r="I354" t="str">
            <v>Hungry Coyote Import Store</v>
          </cell>
          <cell r="J354" t="str">
            <v>City Center Plaza 516 Main St.</v>
          </cell>
          <cell r="K354" t="str">
            <v>Elgin</v>
          </cell>
          <cell r="L354" t="str">
            <v>OR</v>
          </cell>
          <cell r="M354" t="str">
            <v>97827</v>
          </cell>
          <cell r="N354" t="str">
            <v>USA</v>
          </cell>
        </row>
        <row r="355">
          <cell r="A355">
            <v>10601</v>
          </cell>
          <cell r="B355" t="str">
            <v>HILAA</v>
          </cell>
          <cell r="C355">
            <v>7</v>
          </cell>
          <cell r="D355">
            <v>35627</v>
          </cell>
          <cell r="E355">
            <v>35669</v>
          </cell>
          <cell r="F355">
            <v>35633</v>
          </cell>
          <cell r="G355">
            <v>1</v>
          </cell>
          <cell r="H355">
            <v>58.3</v>
          </cell>
          <cell r="I355" t="str">
            <v>HILARION-Abastos</v>
          </cell>
          <cell r="J355" t="str">
            <v>Carrera 22 con Ave. Carlos Soublette #8-35</v>
          </cell>
          <cell r="K355" t="str">
            <v>San Cristóbal</v>
          </cell>
          <cell r="L355" t="str">
            <v>Táchira</v>
          </cell>
          <cell r="M355" t="str">
            <v>5022</v>
          </cell>
          <cell r="N355" t="str">
            <v>Venezuela</v>
          </cell>
        </row>
        <row r="356">
          <cell r="A356">
            <v>10602</v>
          </cell>
          <cell r="B356" t="str">
            <v>VAFFE</v>
          </cell>
          <cell r="C356">
            <v>8</v>
          </cell>
          <cell r="D356">
            <v>35628</v>
          </cell>
          <cell r="E356">
            <v>35656</v>
          </cell>
          <cell r="F356">
            <v>35633</v>
          </cell>
          <cell r="G356">
            <v>2</v>
          </cell>
          <cell r="H356">
            <v>2.92</v>
          </cell>
          <cell r="I356" t="str">
            <v>Vaffeljernet</v>
          </cell>
          <cell r="J356" t="str">
            <v>Smagsloget 45</v>
          </cell>
          <cell r="K356" t="str">
            <v>Århus</v>
          </cell>
          <cell r="M356" t="str">
            <v>8200</v>
          </cell>
          <cell r="N356" t="str">
            <v>Denmark</v>
          </cell>
        </row>
        <row r="357">
          <cell r="A357">
            <v>10603</v>
          </cell>
          <cell r="B357" t="str">
            <v>SAVEA</v>
          </cell>
          <cell r="C357">
            <v>8</v>
          </cell>
          <cell r="D357">
            <v>35629</v>
          </cell>
          <cell r="E357">
            <v>35657</v>
          </cell>
          <cell r="F357">
            <v>35650</v>
          </cell>
          <cell r="G357">
            <v>2</v>
          </cell>
          <cell r="H357">
            <v>48.77</v>
          </cell>
          <cell r="I357" t="str">
            <v>Save-a-lot Markets</v>
          </cell>
          <cell r="J357" t="str">
            <v>187 Suffolk Ln.</v>
          </cell>
          <cell r="K357" t="str">
            <v>Boise</v>
          </cell>
          <cell r="L357" t="str">
            <v>ID</v>
          </cell>
          <cell r="M357" t="str">
            <v>83720</v>
          </cell>
          <cell r="N357" t="str">
            <v>USA</v>
          </cell>
        </row>
        <row r="358">
          <cell r="A358">
            <v>10604</v>
          </cell>
          <cell r="B358" t="str">
            <v>FURIB</v>
          </cell>
          <cell r="C358">
            <v>1</v>
          </cell>
          <cell r="D358">
            <v>35629</v>
          </cell>
          <cell r="E358">
            <v>35657</v>
          </cell>
          <cell r="F358">
            <v>35640</v>
          </cell>
          <cell r="G358">
            <v>1</v>
          </cell>
          <cell r="H358">
            <v>7.46</v>
          </cell>
          <cell r="I358" t="str">
            <v>Furia Bacalhau e Frutos do Mar</v>
          </cell>
          <cell r="J358" t="str">
            <v>Jardim das rosas n. 32</v>
          </cell>
          <cell r="K358" t="str">
            <v>Lisboa</v>
          </cell>
          <cell r="M358" t="str">
            <v>1675</v>
          </cell>
          <cell r="N358" t="str">
            <v>Portugal</v>
          </cell>
        </row>
        <row r="359">
          <cell r="A359">
            <v>10605</v>
          </cell>
          <cell r="B359" t="str">
            <v>MEREP</v>
          </cell>
          <cell r="C359">
            <v>1</v>
          </cell>
          <cell r="D359">
            <v>35632</v>
          </cell>
          <cell r="E359">
            <v>35660</v>
          </cell>
          <cell r="F359">
            <v>35640</v>
          </cell>
          <cell r="G359">
            <v>2</v>
          </cell>
          <cell r="H359">
            <v>379.13</v>
          </cell>
          <cell r="I359" t="str">
            <v>Mère Paillarde</v>
          </cell>
          <cell r="J359" t="str">
            <v>43 rue St. Laurent</v>
          </cell>
          <cell r="K359" t="str">
            <v>Montréal</v>
          </cell>
          <cell r="L359" t="str">
            <v>Québec</v>
          </cell>
          <cell r="M359" t="str">
            <v>H1J 1C3</v>
          </cell>
          <cell r="N359" t="str">
            <v>Canada</v>
          </cell>
        </row>
        <row r="360">
          <cell r="A360">
            <v>10606</v>
          </cell>
          <cell r="B360" t="str">
            <v>TRADH</v>
          </cell>
          <cell r="C360">
            <v>4</v>
          </cell>
          <cell r="D360">
            <v>35633</v>
          </cell>
          <cell r="E360">
            <v>35661</v>
          </cell>
          <cell r="F360">
            <v>35642</v>
          </cell>
          <cell r="G360">
            <v>3</v>
          </cell>
          <cell r="H360">
            <v>79.400000000000006</v>
          </cell>
          <cell r="I360" t="str">
            <v>Tradiçao Hipermercados</v>
          </cell>
          <cell r="J360" t="str">
            <v>Av. Inês de Castro, 414</v>
          </cell>
          <cell r="K360" t="str">
            <v>Sao Paulo</v>
          </cell>
          <cell r="L360" t="str">
            <v>SP</v>
          </cell>
          <cell r="M360" t="str">
            <v>05634-030</v>
          </cell>
          <cell r="N360" t="str">
            <v>Brazil</v>
          </cell>
        </row>
        <row r="361">
          <cell r="A361">
            <v>10607</v>
          </cell>
          <cell r="B361" t="str">
            <v>SAVEA</v>
          </cell>
          <cell r="C361">
            <v>5</v>
          </cell>
          <cell r="D361">
            <v>35633</v>
          </cell>
          <cell r="E361">
            <v>35661</v>
          </cell>
          <cell r="F361">
            <v>35636</v>
          </cell>
          <cell r="G361">
            <v>1</v>
          </cell>
          <cell r="H361">
            <v>200.24</v>
          </cell>
          <cell r="I361" t="str">
            <v>Save-a-lot Markets</v>
          </cell>
          <cell r="J361" t="str">
            <v>187 Suffolk Ln.</v>
          </cell>
          <cell r="K361" t="str">
            <v>Boise</v>
          </cell>
          <cell r="L361" t="str">
            <v>ID</v>
          </cell>
          <cell r="M361" t="str">
            <v>83720</v>
          </cell>
          <cell r="N361" t="str">
            <v>USA</v>
          </cell>
        </row>
        <row r="362">
          <cell r="A362">
            <v>10608</v>
          </cell>
          <cell r="B362" t="str">
            <v>TOMSP</v>
          </cell>
          <cell r="C362">
            <v>4</v>
          </cell>
          <cell r="D362">
            <v>35634</v>
          </cell>
          <cell r="E362">
            <v>35662</v>
          </cell>
          <cell r="F362">
            <v>35643</v>
          </cell>
          <cell r="G362">
            <v>2</v>
          </cell>
          <cell r="H362">
            <v>27.79</v>
          </cell>
          <cell r="I362" t="str">
            <v>Toms Spezialitäten</v>
          </cell>
          <cell r="J362" t="str">
            <v>Luisenstr. 48</v>
          </cell>
          <cell r="K362" t="str">
            <v>Münster</v>
          </cell>
          <cell r="M362" t="str">
            <v>44087</v>
          </cell>
          <cell r="N362" t="str">
            <v>Germany</v>
          </cell>
        </row>
        <row r="363">
          <cell r="A363">
            <v>10609</v>
          </cell>
          <cell r="B363" t="str">
            <v>DUMON</v>
          </cell>
          <cell r="C363">
            <v>7</v>
          </cell>
          <cell r="D363">
            <v>35635</v>
          </cell>
          <cell r="E363">
            <v>35663</v>
          </cell>
          <cell r="F363">
            <v>35641</v>
          </cell>
          <cell r="G363">
            <v>2</v>
          </cell>
          <cell r="H363">
            <v>1.85</v>
          </cell>
          <cell r="I363" t="str">
            <v>Du monde entier</v>
          </cell>
          <cell r="J363" t="str">
            <v>67, rue des Cinquante Otages</v>
          </cell>
          <cell r="K363" t="str">
            <v>Nantes</v>
          </cell>
          <cell r="M363" t="str">
            <v>44000</v>
          </cell>
          <cell r="N363" t="str">
            <v>France</v>
          </cell>
        </row>
        <row r="364">
          <cell r="A364">
            <v>10610</v>
          </cell>
          <cell r="B364" t="str">
            <v>LAMAI</v>
          </cell>
          <cell r="C364">
            <v>8</v>
          </cell>
          <cell r="D364">
            <v>35636</v>
          </cell>
          <cell r="E364">
            <v>35664</v>
          </cell>
          <cell r="F364">
            <v>35648</v>
          </cell>
          <cell r="G364">
            <v>1</v>
          </cell>
          <cell r="H364">
            <v>26.78</v>
          </cell>
          <cell r="I364" t="str">
            <v>La maison d'Asie</v>
          </cell>
          <cell r="J364" t="str">
            <v>1 rue Alsace-Lorraine</v>
          </cell>
          <cell r="K364" t="str">
            <v>Toulouse</v>
          </cell>
          <cell r="M364" t="str">
            <v>31000</v>
          </cell>
          <cell r="N364" t="str">
            <v>France</v>
          </cell>
        </row>
        <row r="365">
          <cell r="A365">
            <v>10611</v>
          </cell>
          <cell r="B365" t="str">
            <v>WOLZA</v>
          </cell>
          <cell r="C365">
            <v>6</v>
          </cell>
          <cell r="D365">
            <v>35636</v>
          </cell>
          <cell r="E365">
            <v>35664</v>
          </cell>
          <cell r="F365">
            <v>35643</v>
          </cell>
          <cell r="G365">
            <v>2</v>
          </cell>
          <cell r="H365">
            <v>80.650000000000006</v>
          </cell>
          <cell r="I365" t="str">
            <v>Wolski Zajazd</v>
          </cell>
          <cell r="J365" t="str">
            <v>ul. Filtrowa 68</v>
          </cell>
          <cell r="K365" t="str">
            <v>Warszawa</v>
          </cell>
          <cell r="M365" t="str">
            <v>01-012</v>
          </cell>
          <cell r="N365" t="str">
            <v>Poland</v>
          </cell>
        </row>
        <row r="366">
          <cell r="A366">
            <v>10612</v>
          </cell>
          <cell r="B366" t="str">
            <v>SAVEA</v>
          </cell>
          <cell r="C366">
            <v>1</v>
          </cell>
          <cell r="D366">
            <v>35639</v>
          </cell>
          <cell r="E366">
            <v>35667</v>
          </cell>
          <cell r="F366">
            <v>35643</v>
          </cell>
          <cell r="G366">
            <v>2</v>
          </cell>
          <cell r="H366">
            <v>544.08000000000004</v>
          </cell>
          <cell r="I366" t="str">
            <v>Save-a-lot Markets</v>
          </cell>
          <cell r="J366" t="str">
            <v>187 Suffolk Ln.</v>
          </cell>
          <cell r="K366" t="str">
            <v>Boise</v>
          </cell>
          <cell r="L366" t="str">
            <v>ID</v>
          </cell>
          <cell r="M366" t="str">
            <v>83720</v>
          </cell>
          <cell r="N366" t="str">
            <v>USA</v>
          </cell>
        </row>
        <row r="367">
          <cell r="A367">
            <v>10613</v>
          </cell>
          <cell r="B367" t="str">
            <v>HILAA</v>
          </cell>
          <cell r="C367">
            <v>4</v>
          </cell>
          <cell r="D367">
            <v>35640</v>
          </cell>
          <cell r="E367">
            <v>35668</v>
          </cell>
          <cell r="F367">
            <v>35643</v>
          </cell>
          <cell r="G367">
            <v>2</v>
          </cell>
          <cell r="H367">
            <v>8.11</v>
          </cell>
          <cell r="I367" t="str">
            <v>HILARION-Abastos</v>
          </cell>
          <cell r="J367" t="str">
            <v>Carrera 22 con Ave. Carlos Soublette #8-35</v>
          </cell>
          <cell r="K367" t="str">
            <v>San Cristóbal</v>
          </cell>
          <cell r="L367" t="str">
            <v>Táchira</v>
          </cell>
          <cell r="M367" t="str">
            <v>5022</v>
          </cell>
          <cell r="N367" t="str">
            <v>Venezuela</v>
          </cell>
        </row>
        <row r="368">
          <cell r="A368">
            <v>10614</v>
          </cell>
          <cell r="B368" t="str">
            <v>BLAUS</v>
          </cell>
          <cell r="C368">
            <v>8</v>
          </cell>
          <cell r="D368">
            <v>35640</v>
          </cell>
          <cell r="E368">
            <v>35668</v>
          </cell>
          <cell r="F368">
            <v>35643</v>
          </cell>
          <cell r="G368">
            <v>3</v>
          </cell>
          <cell r="H368">
            <v>1.93</v>
          </cell>
          <cell r="I368" t="str">
            <v>Blauer See Delikatessen</v>
          </cell>
          <cell r="J368" t="str">
            <v>Forsterstr. 57</v>
          </cell>
          <cell r="K368" t="str">
            <v>Mannheim</v>
          </cell>
          <cell r="M368" t="str">
            <v>68306</v>
          </cell>
          <cell r="N368" t="str">
            <v>Germany</v>
          </cell>
        </row>
        <row r="369">
          <cell r="A369">
            <v>10615</v>
          </cell>
          <cell r="B369" t="str">
            <v>WILMK</v>
          </cell>
          <cell r="C369">
            <v>2</v>
          </cell>
          <cell r="D369">
            <v>35641</v>
          </cell>
          <cell r="E369">
            <v>35669</v>
          </cell>
          <cell r="F369">
            <v>35648</v>
          </cell>
          <cell r="G369">
            <v>3</v>
          </cell>
          <cell r="H369">
            <v>0.75</v>
          </cell>
          <cell r="I369" t="str">
            <v>Wilman Kala</v>
          </cell>
          <cell r="J369" t="str">
            <v>Keskuskatu 45</v>
          </cell>
          <cell r="K369" t="str">
            <v>Helsinki</v>
          </cell>
          <cell r="M369" t="str">
            <v>21240</v>
          </cell>
          <cell r="N369" t="str">
            <v>Finland</v>
          </cell>
        </row>
        <row r="370">
          <cell r="A370">
            <v>10616</v>
          </cell>
          <cell r="B370" t="str">
            <v>GREAL</v>
          </cell>
          <cell r="C370">
            <v>1</v>
          </cell>
          <cell r="D370">
            <v>35642</v>
          </cell>
          <cell r="E370">
            <v>35670</v>
          </cell>
          <cell r="F370">
            <v>35647</v>
          </cell>
          <cell r="G370">
            <v>2</v>
          </cell>
          <cell r="H370">
            <v>116.53</v>
          </cell>
          <cell r="I370" t="str">
            <v>Great Lakes Food Market</v>
          </cell>
          <cell r="J370" t="str">
            <v>2732 Baker Blvd.</v>
          </cell>
          <cell r="K370" t="str">
            <v>Eugene</v>
          </cell>
          <cell r="L370" t="str">
            <v>OR</v>
          </cell>
          <cell r="M370" t="str">
            <v>97403</v>
          </cell>
          <cell r="N370" t="str">
            <v>USA</v>
          </cell>
        </row>
        <row r="371">
          <cell r="A371">
            <v>10617</v>
          </cell>
          <cell r="B371" t="str">
            <v>GREAL</v>
          </cell>
          <cell r="C371">
            <v>4</v>
          </cell>
          <cell r="D371">
            <v>35642</v>
          </cell>
          <cell r="E371">
            <v>35670</v>
          </cell>
          <cell r="F371">
            <v>35646</v>
          </cell>
          <cell r="G371">
            <v>2</v>
          </cell>
          <cell r="H371">
            <v>18.53</v>
          </cell>
          <cell r="I371" t="str">
            <v>Great Lakes Food Market</v>
          </cell>
          <cell r="J371" t="str">
            <v>2732 Baker Blvd.</v>
          </cell>
          <cell r="K371" t="str">
            <v>Eugene</v>
          </cell>
          <cell r="L371" t="str">
            <v>OR</v>
          </cell>
          <cell r="M371" t="str">
            <v>97403</v>
          </cell>
          <cell r="N371" t="str">
            <v>USA</v>
          </cell>
        </row>
        <row r="372">
          <cell r="A372">
            <v>10618</v>
          </cell>
          <cell r="B372" t="str">
            <v>MEREP</v>
          </cell>
          <cell r="C372">
            <v>1</v>
          </cell>
          <cell r="D372">
            <v>35643</v>
          </cell>
          <cell r="E372">
            <v>35685</v>
          </cell>
          <cell r="F372">
            <v>35650</v>
          </cell>
          <cell r="G372">
            <v>1</v>
          </cell>
          <cell r="H372">
            <v>154.68</v>
          </cell>
          <cell r="I372" t="str">
            <v>Mère Paillarde</v>
          </cell>
          <cell r="J372" t="str">
            <v>43 rue St. Laurent</v>
          </cell>
          <cell r="K372" t="str">
            <v>Montréal</v>
          </cell>
          <cell r="L372" t="str">
            <v>Québec</v>
          </cell>
          <cell r="M372" t="str">
            <v>H1J 1C3</v>
          </cell>
          <cell r="N372" t="str">
            <v>Canada</v>
          </cell>
        </row>
        <row r="373">
          <cell r="A373">
            <v>10619</v>
          </cell>
          <cell r="B373" t="str">
            <v>MEREP</v>
          </cell>
          <cell r="C373">
            <v>3</v>
          </cell>
          <cell r="D373">
            <v>35646</v>
          </cell>
          <cell r="E373">
            <v>35674</v>
          </cell>
          <cell r="F373">
            <v>35649</v>
          </cell>
          <cell r="G373">
            <v>3</v>
          </cell>
          <cell r="H373">
            <v>91.05</v>
          </cell>
          <cell r="I373" t="str">
            <v>Mère Paillarde</v>
          </cell>
          <cell r="J373" t="str">
            <v>43 rue St. Laurent</v>
          </cell>
          <cell r="K373" t="str">
            <v>Montréal</v>
          </cell>
          <cell r="L373" t="str">
            <v>Québec</v>
          </cell>
          <cell r="M373" t="str">
            <v>H1J 1C3</v>
          </cell>
          <cell r="N373" t="str">
            <v>Canada</v>
          </cell>
        </row>
        <row r="374">
          <cell r="A374">
            <v>10620</v>
          </cell>
          <cell r="B374" t="str">
            <v>LAUGB</v>
          </cell>
          <cell r="C374">
            <v>2</v>
          </cell>
          <cell r="D374">
            <v>35647</v>
          </cell>
          <cell r="E374">
            <v>35675</v>
          </cell>
          <cell r="F374">
            <v>35656</v>
          </cell>
          <cell r="G374">
            <v>3</v>
          </cell>
          <cell r="H374">
            <v>0.94</v>
          </cell>
          <cell r="I374" t="str">
            <v>Laughing Bacchus Wine Cellars</v>
          </cell>
          <cell r="J374" t="str">
            <v>2319 Elm St.</v>
          </cell>
          <cell r="K374" t="str">
            <v>Vancouver</v>
          </cell>
          <cell r="L374" t="str">
            <v>BC</v>
          </cell>
          <cell r="M374" t="str">
            <v>V3F 2K1</v>
          </cell>
          <cell r="N374" t="str">
            <v>Canada</v>
          </cell>
        </row>
        <row r="375">
          <cell r="A375">
            <v>10621</v>
          </cell>
          <cell r="B375" t="str">
            <v>ISLAT</v>
          </cell>
          <cell r="C375">
            <v>4</v>
          </cell>
          <cell r="D375">
            <v>35647</v>
          </cell>
          <cell r="E375">
            <v>35675</v>
          </cell>
          <cell r="F375">
            <v>35653</v>
          </cell>
          <cell r="G375">
            <v>2</v>
          </cell>
          <cell r="H375">
            <v>23.73</v>
          </cell>
          <cell r="I375" t="str">
            <v>Island Trading</v>
          </cell>
          <cell r="J375" t="str">
            <v>Garden House Crowther Way</v>
          </cell>
          <cell r="K375" t="str">
            <v>Cowes</v>
          </cell>
          <cell r="L375" t="str">
            <v>Isle of Wight</v>
          </cell>
          <cell r="M375" t="str">
            <v>PO31 7PJ</v>
          </cell>
          <cell r="N375" t="str">
            <v>UK</v>
          </cell>
        </row>
        <row r="376">
          <cell r="A376">
            <v>10622</v>
          </cell>
          <cell r="B376" t="str">
            <v>RICAR</v>
          </cell>
          <cell r="C376">
            <v>4</v>
          </cell>
          <cell r="D376">
            <v>35648</v>
          </cell>
          <cell r="E376">
            <v>35676</v>
          </cell>
          <cell r="F376">
            <v>35653</v>
          </cell>
          <cell r="G376">
            <v>3</v>
          </cell>
          <cell r="H376">
            <v>50.97</v>
          </cell>
          <cell r="I376" t="str">
            <v>Ricardo Adocicados</v>
          </cell>
          <cell r="J376" t="str">
            <v>Av. Copacabana, 267</v>
          </cell>
          <cell r="K376" t="str">
            <v>Rio de Janeiro</v>
          </cell>
          <cell r="L376" t="str">
            <v>RJ</v>
          </cell>
          <cell r="M376" t="str">
            <v>02389-890</v>
          </cell>
          <cell r="N376" t="str">
            <v>Brazil</v>
          </cell>
        </row>
        <row r="377">
          <cell r="A377">
            <v>10623</v>
          </cell>
          <cell r="B377" t="str">
            <v>FRANK</v>
          </cell>
          <cell r="C377">
            <v>8</v>
          </cell>
          <cell r="D377">
            <v>35649</v>
          </cell>
          <cell r="E377">
            <v>35677</v>
          </cell>
          <cell r="F377">
            <v>35654</v>
          </cell>
          <cell r="G377">
            <v>2</v>
          </cell>
          <cell r="H377">
            <v>97.18</v>
          </cell>
          <cell r="I377" t="str">
            <v>Frankenversand</v>
          </cell>
          <cell r="J377" t="str">
            <v>Berliner Platz 43</v>
          </cell>
          <cell r="K377" t="str">
            <v>München</v>
          </cell>
          <cell r="M377" t="str">
            <v>80805</v>
          </cell>
          <cell r="N377" t="str">
            <v>Germany</v>
          </cell>
        </row>
        <row r="378">
          <cell r="A378">
            <v>10624</v>
          </cell>
          <cell r="B378" t="str">
            <v>THECR</v>
          </cell>
          <cell r="C378">
            <v>4</v>
          </cell>
          <cell r="D378">
            <v>35649</v>
          </cell>
          <cell r="E378">
            <v>35677</v>
          </cell>
          <cell r="F378">
            <v>35661</v>
          </cell>
          <cell r="G378">
            <v>2</v>
          </cell>
          <cell r="H378">
            <v>94.8</v>
          </cell>
          <cell r="I378" t="str">
            <v>The Cracker Box</v>
          </cell>
          <cell r="J378" t="str">
            <v>55 Grizzly Peak Rd.</v>
          </cell>
          <cell r="K378" t="str">
            <v>Butte</v>
          </cell>
          <cell r="L378" t="str">
            <v>MT</v>
          </cell>
          <cell r="M378" t="str">
            <v>59801</v>
          </cell>
          <cell r="N378" t="str">
            <v>USA</v>
          </cell>
        </row>
        <row r="379">
          <cell r="A379">
            <v>10625</v>
          </cell>
          <cell r="B379" t="str">
            <v>ANATR</v>
          </cell>
          <cell r="C379">
            <v>3</v>
          </cell>
          <cell r="D379">
            <v>35650</v>
          </cell>
          <cell r="E379">
            <v>35678</v>
          </cell>
          <cell r="F379">
            <v>35656</v>
          </cell>
          <cell r="G379">
            <v>1</v>
          </cell>
          <cell r="H379">
            <v>43.9</v>
          </cell>
          <cell r="I379" t="str">
            <v>Ana Trujillo Emparedados y helados</v>
          </cell>
          <cell r="J379" t="str">
            <v>Avda. de la Constitución 2222</v>
          </cell>
          <cell r="K379" t="str">
            <v>México D.F.</v>
          </cell>
          <cell r="M379" t="str">
            <v>05021</v>
          </cell>
          <cell r="N379" t="str">
            <v>Mexico</v>
          </cell>
        </row>
        <row r="380">
          <cell r="A380">
            <v>10626</v>
          </cell>
          <cell r="B380" t="str">
            <v>BERGS</v>
          </cell>
          <cell r="C380">
            <v>1</v>
          </cell>
          <cell r="D380">
            <v>35653</v>
          </cell>
          <cell r="E380">
            <v>35681</v>
          </cell>
          <cell r="F380">
            <v>35662</v>
          </cell>
          <cell r="G380">
            <v>2</v>
          </cell>
          <cell r="H380">
            <v>138.69</v>
          </cell>
          <cell r="I380" t="str">
            <v>Berglunds snabbköp</v>
          </cell>
          <cell r="J380" t="str">
            <v>Berguvsvägen  8</v>
          </cell>
          <cell r="K380" t="str">
            <v>Luleå</v>
          </cell>
          <cell r="M380" t="str">
            <v>S-958 22</v>
          </cell>
          <cell r="N380" t="str">
            <v>Sweden</v>
          </cell>
        </row>
        <row r="381">
          <cell r="A381">
            <v>10627</v>
          </cell>
          <cell r="B381" t="str">
            <v>SAVEA</v>
          </cell>
          <cell r="C381">
            <v>8</v>
          </cell>
          <cell r="D381">
            <v>35653</v>
          </cell>
          <cell r="E381">
            <v>35695</v>
          </cell>
          <cell r="F381">
            <v>35663</v>
          </cell>
          <cell r="G381">
            <v>3</v>
          </cell>
          <cell r="H381">
            <v>107.46</v>
          </cell>
          <cell r="I381" t="str">
            <v>Save-a-lot Markets</v>
          </cell>
          <cell r="J381" t="str">
            <v>187 Suffolk Ln.</v>
          </cell>
          <cell r="K381" t="str">
            <v>Boise</v>
          </cell>
          <cell r="L381" t="str">
            <v>ID</v>
          </cell>
          <cell r="M381" t="str">
            <v>83720</v>
          </cell>
          <cell r="N381" t="str">
            <v>USA</v>
          </cell>
        </row>
        <row r="382">
          <cell r="A382">
            <v>10628</v>
          </cell>
          <cell r="B382" t="str">
            <v>BLONP</v>
          </cell>
          <cell r="C382">
            <v>4</v>
          </cell>
          <cell r="D382">
            <v>35654</v>
          </cell>
          <cell r="E382">
            <v>35682</v>
          </cell>
          <cell r="F382">
            <v>35662</v>
          </cell>
          <cell r="G382">
            <v>3</v>
          </cell>
          <cell r="H382">
            <v>30.36</v>
          </cell>
          <cell r="I382" t="str">
            <v>Blondel père et fils</v>
          </cell>
          <cell r="J382" t="str">
            <v>24, place Kléber</v>
          </cell>
          <cell r="K382" t="str">
            <v>Strasbourg</v>
          </cell>
          <cell r="M382" t="str">
            <v>67000</v>
          </cell>
          <cell r="N382" t="str">
            <v>France</v>
          </cell>
        </row>
        <row r="383">
          <cell r="A383">
            <v>10629</v>
          </cell>
          <cell r="B383" t="str">
            <v>GODOS</v>
          </cell>
          <cell r="C383">
            <v>4</v>
          </cell>
          <cell r="D383">
            <v>35654</v>
          </cell>
          <cell r="E383">
            <v>35682</v>
          </cell>
          <cell r="F383">
            <v>35662</v>
          </cell>
          <cell r="G383">
            <v>3</v>
          </cell>
          <cell r="H383">
            <v>85.46</v>
          </cell>
          <cell r="I383" t="str">
            <v>Godos Cocina Típica</v>
          </cell>
          <cell r="J383" t="str">
            <v>C/ Romero, 33</v>
          </cell>
          <cell r="K383" t="str">
            <v>Sevilla</v>
          </cell>
          <cell r="M383" t="str">
            <v>41101</v>
          </cell>
          <cell r="N383" t="str">
            <v>Spain</v>
          </cell>
        </row>
        <row r="384">
          <cell r="A384">
            <v>10630</v>
          </cell>
          <cell r="B384" t="str">
            <v>KOENE</v>
          </cell>
          <cell r="C384">
            <v>1</v>
          </cell>
          <cell r="D384">
            <v>35655</v>
          </cell>
          <cell r="E384">
            <v>35683</v>
          </cell>
          <cell r="F384">
            <v>35661</v>
          </cell>
          <cell r="G384">
            <v>2</v>
          </cell>
          <cell r="H384">
            <v>32.35</v>
          </cell>
          <cell r="I384" t="str">
            <v>Königlich Essen</v>
          </cell>
          <cell r="J384" t="str">
            <v>Maubelstr. 90</v>
          </cell>
          <cell r="K384" t="str">
            <v>Brandenburg</v>
          </cell>
          <cell r="M384" t="str">
            <v>14776</v>
          </cell>
          <cell r="N384" t="str">
            <v>Germany</v>
          </cell>
        </row>
        <row r="385">
          <cell r="A385">
            <v>10631</v>
          </cell>
          <cell r="B385" t="str">
            <v>LAMAI</v>
          </cell>
          <cell r="C385">
            <v>8</v>
          </cell>
          <cell r="D385">
            <v>35656</v>
          </cell>
          <cell r="E385">
            <v>35684</v>
          </cell>
          <cell r="F385">
            <v>35657</v>
          </cell>
          <cell r="G385">
            <v>1</v>
          </cell>
          <cell r="H385">
            <v>0.87</v>
          </cell>
          <cell r="I385" t="str">
            <v>La maison d'Asie</v>
          </cell>
          <cell r="J385" t="str">
            <v>1 rue Alsace-Lorraine</v>
          </cell>
          <cell r="K385" t="str">
            <v>Toulouse</v>
          </cell>
          <cell r="M385" t="str">
            <v>31000</v>
          </cell>
          <cell r="N385" t="str">
            <v>France</v>
          </cell>
        </row>
        <row r="386">
          <cell r="A386">
            <v>10632</v>
          </cell>
          <cell r="B386" t="str">
            <v>WANDK</v>
          </cell>
          <cell r="C386">
            <v>8</v>
          </cell>
          <cell r="D386">
            <v>35656</v>
          </cell>
          <cell r="E386">
            <v>35684</v>
          </cell>
          <cell r="F386">
            <v>35661</v>
          </cell>
          <cell r="G386">
            <v>1</v>
          </cell>
          <cell r="H386">
            <v>41.38</v>
          </cell>
          <cell r="I386" t="str">
            <v>Die Wandernde Kuh</v>
          </cell>
          <cell r="J386" t="str">
            <v>Adenauerallee 900</v>
          </cell>
          <cell r="K386" t="str">
            <v>Stuttgart</v>
          </cell>
          <cell r="M386" t="str">
            <v>70563</v>
          </cell>
          <cell r="N386" t="str">
            <v>Germany</v>
          </cell>
        </row>
        <row r="387">
          <cell r="A387">
            <v>10633</v>
          </cell>
          <cell r="B387" t="str">
            <v>ERNSH</v>
          </cell>
          <cell r="C387">
            <v>7</v>
          </cell>
          <cell r="D387">
            <v>35657</v>
          </cell>
          <cell r="E387">
            <v>35685</v>
          </cell>
          <cell r="F387">
            <v>35660</v>
          </cell>
          <cell r="G387">
            <v>3</v>
          </cell>
          <cell r="H387">
            <v>477.9</v>
          </cell>
          <cell r="I387" t="str">
            <v>Ernst Handel</v>
          </cell>
          <cell r="J387" t="str">
            <v>Kirchgasse 6</v>
          </cell>
          <cell r="K387" t="str">
            <v>Graz</v>
          </cell>
          <cell r="M387" t="str">
            <v>8010</v>
          </cell>
          <cell r="N387" t="str">
            <v>Austria</v>
          </cell>
        </row>
        <row r="388">
          <cell r="A388">
            <v>10634</v>
          </cell>
          <cell r="B388" t="str">
            <v>FOLIG</v>
          </cell>
          <cell r="C388">
            <v>4</v>
          </cell>
          <cell r="D388">
            <v>35657</v>
          </cell>
          <cell r="E388">
            <v>35685</v>
          </cell>
          <cell r="F388">
            <v>35663</v>
          </cell>
          <cell r="G388">
            <v>3</v>
          </cell>
          <cell r="H388">
            <v>487.38</v>
          </cell>
          <cell r="I388" t="str">
            <v>Folies gourmandes</v>
          </cell>
          <cell r="J388" t="str">
            <v>184, chaussée de Tournai</v>
          </cell>
          <cell r="K388" t="str">
            <v>Lille</v>
          </cell>
          <cell r="M388" t="str">
            <v>59000</v>
          </cell>
          <cell r="N388" t="str">
            <v>France</v>
          </cell>
        </row>
        <row r="389">
          <cell r="A389">
            <v>10635</v>
          </cell>
          <cell r="B389" t="str">
            <v>MAGAA</v>
          </cell>
          <cell r="C389">
            <v>8</v>
          </cell>
          <cell r="D389">
            <v>35660</v>
          </cell>
          <cell r="E389">
            <v>35688</v>
          </cell>
          <cell r="F389">
            <v>35663</v>
          </cell>
          <cell r="G389">
            <v>3</v>
          </cell>
          <cell r="H389">
            <v>47.46</v>
          </cell>
          <cell r="I389" t="str">
            <v>Magazzini Alimentari Riuniti</v>
          </cell>
          <cell r="J389" t="str">
            <v>Via Ludovico il Moro 22</v>
          </cell>
          <cell r="K389" t="str">
            <v>Bergamo</v>
          </cell>
          <cell r="M389" t="str">
            <v>24100</v>
          </cell>
          <cell r="N389" t="str">
            <v>Italy</v>
          </cell>
        </row>
        <row r="390">
          <cell r="A390">
            <v>10636</v>
          </cell>
          <cell r="B390" t="str">
            <v>WARTH</v>
          </cell>
          <cell r="C390">
            <v>4</v>
          </cell>
          <cell r="D390">
            <v>35661</v>
          </cell>
          <cell r="E390">
            <v>35689</v>
          </cell>
          <cell r="F390">
            <v>35668</v>
          </cell>
          <cell r="G390">
            <v>1</v>
          </cell>
          <cell r="H390">
            <v>1.1499999999999999</v>
          </cell>
          <cell r="I390" t="str">
            <v>Wartian Herkku</v>
          </cell>
          <cell r="J390" t="str">
            <v>Torikatu 38</v>
          </cell>
          <cell r="K390" t="str">
            <v>Oulu</v>
          </cell>
          <cell r="M390" t="str">
            <v>90110</v>
          </cell>
          <cell r="N390" t="str">
            <v>Finland</v>
          </cell>
        </row>
        <row r="391">
          <cell r="A391">
            <v>10637</v>
          </cell>
          <cell r="B391" t="str">
            <v>QUEEN</v>
          </cell>
          <cell r="C391">
            <v>6</v>
          </cell>
          <cell r="D391">
            <v>35661</v>
          </cell>
          <cell r="E391">
            <v>35689</v>
          </cell>
          <cell r="F391">
            <v>35668</v>
          </cell>
          <cell r="G391">
            <v>1</v>
          </cell>
          <cell r="H391">
            <v>201.29</v>
          </cell>
          <cell r="I391" t="str">
            <v>Queen Cozinha</v>
          </cell>
          <cell r="J391" t="str">
            <v>Alameda dos Canàrios, 891</v>
          </cell>
          <cell r="K391" t="str">
            <v>Sao Paulo</v>
          </cell>
          <cell r="L391" t="str">
            <v>SP</v>
          </cell>
          <cell r="M391" t="str">
            <v>05487-020</v>
          </cell>
          <cell r="N391" t="str">
            <v>Brazil</v>
          </cell>
        </row>
        <row r="392">
          <cell r="A392">
            <v>10638</v>
          </cell>
          <cell r="B392" t="str">
            <v>LINOD</v>
          </cell>
          <cell r="C392">
            <v>3</v>
          </cell>
          <cell r="D392">
            <v>35662</v>
          </cell>
          <cell r="E392">
            <v>35690</v>
          </cell>
          <cell r="F392">
            <v>35674</v>
          </cell>
          <cell r="G392">
            <v>1</v>
          </cell>
          <cell r="H392">
            <v>158.44</v>
          </cell>
          <cell r="I392" t="str">
            <v>LINO-Delicateses</v>
          </cell>
          <cell r="J392" t="str">
            <v>Ave. 5 de Mayo Porlamar</v>
          </cell>
          <cell r="K392" t="str">
            <v>I. de Margarita</v>
          </cell>
          <cell r="L392" t="str">
            <v>Nueva Esparta</v>
          </cell>
          <cell r="M392" t="str">
            <v>4980</v>
          </cell>
          <cell r="N392" t="str">
            <v>Venezuela</v>
          </cell>
        </row>
        <row r="393">
          <cell r="A393">
            <v>10639</v>
          </cell>
          <cell r="B393" t="str">
            <v>SANTG</v>
          </cell>
          <cell r="C393">
            <v>7</v>
          </cell>
          <cell r="D393">
            <v>35662</v>
          </cell>
          <cell r="E393">
            <v>35690</v>
          </cell>
          <cell r="F393">
            <v>35669</v>
          </cell>
          <cell r="G393">
            <v>3</v>
          </cell>
          <cell r="H393">
            <v>38.64</v>
          </cell>
          <cell r="I393" t="str">
            <v>Santé Gourmet</v>
          </cell>
          <cell r="J393" t="str">
            <v>Erling Skakkes gate 78</v>
          </cell>
          <cell r="K393" t="str">
            <v>Stavern</v>
          </cell>
          <cell r="M393" t="str">
            <v>4110</v>
          </cell>
          <cell r="N393" t="str">
            <v>Norway</v>
          </cell>
        </row>
        <row r="394">
          <cell r="A394">
            <v>10640</v>
          </cell>
          <cell r="B394" t="str">
            <v>WANDK</v>
          </cell>
          <cell r="C394">
            <v>4</v>
          </cell>
          <cell r="D394">
            <v>35663</v>
          </cell>
          <cell r="E394">
            <v>35691</v>
          </cell>
          <cell r="F394">
            <v>35670</v>
          </cell>
          <cell r="G394">
            <v>1</v>
          </cell>
          <cell r="H394">
            <v>23.55</v>
          </cell>
          <cell r="I394" t="str">
            <v>Die Wandernde Kuh</v>
          </cell>
          <cell r="J394" t="str">
            <v>Adenauerallee 900</v>
          </cell>
          <cell r="K394" t="str">
            <v>Stuttgart</v>
          </cell>
          <cell r="M394" t="str">
            <v>70563</v>
          </cell>
          <cell r="N394" t="str">
            <v>Germany</v>
          </cell>
        </row>
        <row r="395">
          <cell r="A395">
            <v>10641</v>
          </cell>
          <cell r="B395" t="str">
            <v>HILAA</v>
          </cell>
          <cell r="C395">
            <v>4</v>
          </cell>
          <cell r="D395">
            <v>35664</v>
          </cell>
          <cell r="E395">
            <v>35692</v>
          </cell>
          <cell r="F395">
            <v>35668</v>
          </cell>
          <cell r="G395">
            <v>2</v>
          </cell>
          <cell r="H395">
            <v>179.61</v>
          </cell>
          <cell r="I395" t="str">
            <v>HILARION-Abastos</v>
          </cell>
          <cell r="J395" t="str">
            <v>Carrera 22 con Ave. Carlos Soublette #8-35</v>
          </cell>
          <cell r="K395" t="str">
            <v>San Cristóbal</v>
          </cell>
          <cell r="L395" t="str">
            <v>Táchira</v>
          </cell>
          <cell r="M395" t="str">
            <v>5022</v>
          </cell>
          <cell r="N395" t="str">
            <v>Venezuela</v>
          </cell>
        </row>
        <row r="396">
          <cell r="A396">
            <v>10642</v>
          </cell>
          <cell r="B396" t="str">
            <v>SIMOB</v>
          </cell>
          <cell r="C396">
            <v>7</v>
          </cell>
          <cell r="D396">
            <v>35664</v>
          </cell>
          <cell r="E396">
            <v>35692</v>
          </cell>
          <cell r="F396">
            <v>35678</v>
          </cell>
          <cell r="G396">
            <v>3</v>
          </cell>
          <cell r="H396">
            <v>41.89</v>
          </cell>
          <cell r="I396" t="str">
            <v>Simons bistro</v>
          </cell>
          <cell r="J396" t="str">
            <v>Vinbæltet 34</v>
          </cell>
          <cell r="K396" t="str">
            <v>Kobenhavn</v>
          </cell>
          <cell r="M396" t="str">
            <v>1734</v>
          </cell>
          <cell r="N396" t="str">
            <v>Denmark</v>
          </cell>
        </row>
        <row r="397">
          <cell r="A397">
            <v>10643</v>
          </cell>
          <cell r="B397" t="str">
            <v>ALFKI</v>
          </cell>
          <cell r="C397">
            <v>6</v>
          </cell>
          <cell r="D397">
            <v>35667</v>
          </cell>
          <cell r="E397">
            <v>35695</v>
          </cell>
          <cell r="F397">
            <v>35675</v>
          </cell>
          <cell r="G397">
            <v>1</v>
          </cell>
          <cell r="H397">
            <v>29.46</v>
          </cell>
          <cell r="I397" t="str">
            <v>Alfreds Futterkiste</v>
          </cell>
          <cell r="J397" t="str">
            <v>Obere Str. 57</v>
          </cell>
          <cell r="K397" t="str">
            <v>Berlin</v>
          </cell>
          <cell r="M397" t="str">
            <v>12209</v>
          </cell>
          <cell r="N397" t="str">
            <v>Germany</v>
          </cell>
        </row>
        <row r="398">
          <cell r="A398">
            <v>10644</v>
          </cell>
          <cell r="B398" t="str">
            <v>WELLI</v>
          </cell>
          <cell r="C398">
            <v>3</v>
          </cell>
          <cell r="D398">
            <v>35667</v>
          </cell>
          <cell r="E398">
            <v>35695</v>
          </cell>
          <cell r="F398">
            <v>35674</v>
          </cell>
          <cell r="G398">
            <v>2</v>
          </cell>
          <cell r="H398">
            <v>0.14000000000000001</v>
          </cell>
          <cell r="I398" t="str">
            <v>Wellington Importadora</v>
          </cell>
          <cell r="J398" t="str">
            <v>Rua do Mercado, 12</v>
          </cell>
          <cell r="K398" t="str">
            <v>Resende</v>
          </cell>
          <cell r="L398" t="str">
            <v>SP</v>
          </cell>
          <cell r="M398" t="str">
            <v>08737-363</v>
          </cell>
          <cell r="N398" t="str">
            <v>Brazil</v>
          </cell>
        </row>
        <row r="399">
          <cell r="A399">
            <v>10645</v>
          </cell>
          <cell r="B399" t="str">
            <v>HANAR</v>
          </cell>
          <cell r="C399">
            <v>4</v>
          </cell>
          <cell r="D399">
            <v>35668</v>
          </cell>
          <cell r="E399">
            <v>35696</v>
          </cell>
          <cell r="F399">
            <v>35675</v>
          </cell>
          <cell r="G399">
            <v>1</v>
          </cell>
          <cell r="H399">
            <v>12.41</v>
          </cell>
          <cell r="I399" t="str">
            <v>Hanari Carnes</v>
          </cell>
          <cell r="J399" t="str">
            <v>Rua do Paço, 67</v>
          </cell>
          <cell r="K399" t="str">
            <v>Rio de Janeiro</v>
          </cell>
          <cell r="L399" t="str">
            <v>RJ</v>
          </cell>
          <cell r="M399" t="str">
            <v>05454-876</v>
          </cell>
          <cell r="N399" t="str">
            <v>Brazil</v>
          </cell>
        </row>
        <row r="400">
          <cell r="A400">
            <v>10646</v>
          </cell>
          <cell r="B400" t="str">
            <v>HUNGO</v>
          </cell>
          <cell r="C400">
            <v>9</v>
          </cell>
          <cell r="D400">
            <v>35669</v>
          </cell>
          <cell r="E400">
            <v>35711</v>
          </cell>
          <cell r="F400">
            <v>35676</v>
          </cell>
          <cell r="G400">
            <v>3</v>
          </cell>
          <cell r="H400">
            <v>142.33000000000001</v>
          </cell>
          <cell r="I400" t="str">
            <v>Hungry Owl All-Night Grocers</v>
          </cell>
          <cell r="J400" t="str">
            <v>8 Johnstown Road</v>
          </cell>
          <cell r="K400" t="str">
            <v>Cork</v>
          </cell>
          <cell r="L400" t="str">
            <v>Co. Cork</v>
          </cell>
          <cell r="N400" t="str">
            <v>Ireland</v>
          </cell>
        </row>
        <row r="401">
          <cell r="A401">
            <v>10647</v>
          </cell>
          <cell r="B401" t="str">
            <v>QUEDE</v>
          </cell>
          <cell r="C401">
            <v>4</v>
          </cell>
          <cell r="D401">
            <v>35669</v>
          </cell>
          <cell r="E401">
            <v>35683</v>
          </cell>
          <cell r="F401">
            <v>35676</v>
          </cell>
          <cell r="G401">
            <v>2</v>
          </cell>
          <cell r="H401">
            <v>45.54</v>
          </cell>
          <cell r="I401" t="str">
            <v>Que Delícia</v>
          </cell>
          <cell r="J401" t="str">
            <v>Rua da Panificadora, 12</v>
          </cell>
          <cell r="K401" t="str">
            <v>Rio de Janeiro</v>
          </cell>
          <cell r="L401" t="str">
            <v>RJ</v>
          </cell>
          <cell r="M401" t="str">
            <v>02389-673</v>
          </cell>
          <cell r="N401" t="str">
            <v>Brazil</v>
          </cell>
        </row>
        <row r="402">
          <cell r="A402">
            <v>10648</v>
          </cell>
          <cell r="B402" t="str">
            <v>RICAR</v>
          </cell>
          <cell r="C402">
            <v>5</v>
          </cell>
          <cell r="D402">
            <v>35670</v>
          </cell>
          <cell r="E402">
            <v>35712</v>
          </cell>
          <cell r="F402">
            <v>35682</v>
          </cell>
          <cell r="G402">
            <v>2</v>
          </cell>
          <cell r="H402">
            <v>14.25</v>
          </cell>
          <cell r="I402" t="str">
            <v>Ricardo Adocicados</v>
          </cell>
          <cell r="J402" t="str">
            <v>Av. Copacabana, 267</v>
          </cell>
          <cell r="K402" t="str">
            <v>Rio de Janeiro</v>
          </cell>
          <cell r="L402" t="str">
            <v>RJ</v>
          </cell>
          <cell r="M402" t="str">
            <v>02389-890</v>
          </cell>
          <cell r="N402" t="str">
            <v>Brazil</v>
          </cell>
        </row>
        <row r="403">
          <cell r="A403">
            <v>10649</v>
          </cell>
          <cell r="B403" t="str">
            <v>MAISD</v>
          </cell>
          <cell r="C403">
            <v>5</v>
          </cell>
          <cell r="D403">
            <v>35670</v>
          </cell>
          <cell r="E403">
            <v>35698</v>
          </cell>
          <cell r="F403">
            <v>35671</v>
          </cell>
          <cell r="G403">
            <v>3</v>
          </cell>
          <cell r="H403">
            <v>6.2</v>
          </cell>
          <cell r="I403" t="str">
            <v>Maison Dewey</v>
          </cell>
          <cell r="J403" t="str">
            <v>Rue Joseph-Bens 532</v>
          </cell>
          <cell r="K403" t="str">
            <v>Bruxelles</v>
          </cell>
          <cell r="M403" t="str">
            <v>B-1180</v>
          </cell>
          <cell r="N403" t="str">
            <v>Belgium</v>
          </cell>
        </row>
        <row r="404">
          <cell r="A404">
            <v>10650</v>
          </cell>
          <cell r="B404" t="str">
            <v>FAMIA</v>
          </cell>
          <cell r="C404">
            <v>5</v>
          </cell>
          <cell r="D404">
            <v>35671</v>
          </cell>
          <cell r="E404">
            <v>35699</v>
          </cell>
          <cell r="F404">
            <v>35676</v>
          </cell>
          <cell r="G404">
            <v>3</v>
          </cell>
          <cell r="H404">
            <v>176.81</v>
          </cell>
          <cell r="I404" t="str">
            <v>Familia Arquibaldo</v>
          </cell>
          <cell r="J404" t="str">
            <v>Rua Orós, 92</v>
          </cell>
          <cell r="K404" t="str">
            <v>Sao Paulo</v>
          </cell>
          <cell r="L404" t="str">
            <v>SP</v>
          </cell>
          <cell r="M404" t="str">
            <v>05442-030</v>
          </cell>
          <cell r="N404" t="str">
            <v>Brazil</v>
          </cell>
        </row>
        <row r="405">
          <cell r="A405">
            <v>10651</v>
          </cell>
          <cell r="B405" t="str">
            <v>WANDK</v>
          </cell>
          <cell r="C405">
            <v>8</v>
          </cell>
          <cell r="D405">
            <v>35674</v>
          </cell>
          <cell r="E405">
            <v>35702</v>
          </cell>
          <cell r="F405">
            <v>35684</v>
          </cell>
          <cell r="G405">
            <v>2</v>
          </cell>
          <cell r="H405">
            <v>20.6</v>
          </cell>
          <cell r="I405" t="str">
            <v>Die Wandernde Kuh</v>
          </cell>
          <cell r="J405" t="str">
            <v>Adenauerallee 900</v>
          </cell>
          <cell r="K405" t="str">
            <v>Stuttgart</v>
          </cell>
          <cell r="M405" t="str">
            <v>70563</v>
          </cell>
          <cell r="N405" t="str">
            <v>Germany</v>
          </cell>
        </row>
        <row r="406">
          <cell r="A406">
            <v>10652</v>
          </cell>
          <cell r="B406" t="str">
            <v>GOURL</v>
          </cell>
          <cell r="C406">
            <v>4</v>
          </cell>
          <cell r="D406">
            <v>35674</v>
          </cell>
          <cell r="E406">
            <v>35702</v>
          </cell>
          <cell r="F406">
            <v>35681</v>
          </cell>
          <cell r="G406">
            <v>2</v>
          </cell>
          <cell r="H406">
            <v>7.14</v>
          </cell>
          <cell r="I406" t="str">
            <v>Gourmet Lanchonetes</v>
          </cell>
          <cell r="J406" t="str">
            <v>Av. Brasil, 442</v>
          </cell>
          <cell r="K406" t="str">
            <v>Campinas</v>
          </cell>
          <cell r="L406" t="str">
            <v>SP</v>
          </cell>
          <cell r="M406" t="str">
            <v>04876-786</v>
          </cell>
          <cell r="N406" t="str">
            <v>Brazil</v>
          </cell>
        </row>
        <row r="407">
          <cell r="A407">
            <v>10653</v>
          </cell>
          <cell r="B407" t="str">
            <v>FRANK</v>
          </cell>
          <cell r="C407">
            <v>1</v>
          </cell>
          <cell r="D407">
            <v>35675</v>
          </cell>
          <cell r="E407">
            <v>35703</v>
          </cell>
          <cell r="F407">
            <v>35692</v>
          </cell>
          <cell r="G407">
            <v>1</v>
          </cell>
          <cell r="H407">
            <v>93.25</v>
          </cell>
          <cell r="I407" t="str">
            <v>Frankenversand</v>
          </cell>
          <cell r="J407" t="str">
            <v>Berliner Platz 43</v>
          </cell>
          <cell r="K407" t="str">
            <v>München</v>
          </cell>
          <cell r="M407" t="str">
            <v>80805</v>
          </cell>
          <cell r="N407" t="str">
            <v>Germany</v>
          </cell>
        </row>
        <row r="408">
          <cell r="A408">
            <v>10654</v>
          </cell>
          <cell r="B408" t="str">
            <v>BERGS</v>
          </cell>
          <cell r="C408">
            <v>5</v>
          </cell>
          <cell r="D408">
            <v>35675</v>
          </cell>
          <cell r="E408">
            <v>35703</v>
          </cell>
          <cell r="F408">
            <v>35684</v>
          </cell>
          <cell r="G408">
            <v>1</v>
          </cell>
          <cell r="H408">
            <v>55.26</v>
          </cell>
          <cell r="I408" t="str">
            <v>Berglunds snabbköp</v>
          </cell>
          <cell r="J408" t="str">
            <v>Berguvsvägen  8</v>
          </cell>
          <cell r="K408" t="str">
            <v>Luleå</v>
          </cell>
          <cell r="M408" t="str">
            <v>S-958 22</v>
          </cell>
          <cell r="N408" t="str">
            <v>Sweden</v>
          </cell>
        </row>
        <row r="409">
          <cell r="A409">
            <v>10655</v>
          </cell>
          <cell r="B409" t="str">
            <v>REGGC</v>
          </cell>
          <cell r="C409">
            <v>1</v>
          </cell>
          <cell r="D409">
            <v>35676</v>
          </cell>
          <cell r="E409">
            <v>35704</v>
          </cell>
          <cell r="F409">
            <v>35684</v>
          </cell>
          <cell r="G409">
            <v>2</v>
          </cell>
          <cell r="H409">
            <v>4.41</v>
          </cell>
          <cell r="I409" t="str">
            <v>Reggiani Caseifici</v>
          </cell>
          <cell r="J409" t="str">
            <v>Strada Provinciale 124</v>
          </cell>
          <cell r="K409" t="str">
            <v>Reggio Emilia</v>
          </cell>
          <cell r="M409" t="str">
            <v>42100</v>
          </cell>
          <cell r="N409" t="str">
            <v>Italy</v>
          </cell>
        </row>
        <row r="410">
          <cell r="A410">
            <v>10656</v>
          </cell>
          <cell r="B410" t="str">
            <v>GREAL</v>
          </cell>
          <cell r="C410">
            <v>6</v>
          </cell>
          <cell r="D410">
            <v>35677</v>
          </cell>
          <cell r="E410">
            <v>35705</v>
          </cell>
          <cell r="F410">
            <v>35683</v>
          </cell>
          <cell r="G410">
            <v>1</v>
          </cell>
          <cell r="H410">
            <v>57.15</v>
          </cell>
          <cell r="I410" t="str">
            <v>Great Lakes Food Market</v>
          </cell>
          <cell r="J410" t="str">
            <v>2732 Baker Blvd.</v>
          </cell>
          <cell r="K410" t="str">
            <v>Eugene</v>
          </cell>
          <cell r="L410" t="str">
            <v>OR</v>
          </cell>
          <cell r="M410" t="str">
            <v>97403</v>
          </cell>
          <cell r="N410" t="str">
            <v>USA</v>
          </cell>
        </row>
        <row r="411">
          <cell r="A411">
            <v>10657</v>
          </cell>
          <cell r="B411" t="str">
            <v>SAVEA</v>
          </cell>
          <cell r="C411">
            <v>2</v>
          </cell>
          <cell r="D411">
            <v>35677</v>
          </cell>
          <cell r="E411">
            <v>35705</v>
          </cell>
          <cell r="F411">
            <v>35688</v>
          </cell>
          <cell r="G411">
            <v>2</v>
          </cell>
          <cell r="H411">
            <v>352.69</v>
          </cell>
          <cell r="I411" t="str">
            <v>Save-a-lot Markets</v>
          </cell>
          <cell r="J411" t="str">
            <v>187 Suffolk Ln.</v>
          </cell>
          <cell r="K411" t="str">
            <v>Boise</v>
          </cell>
          <cell r="L411" t="str">
            <v>ID</v>
          </cell>
          <cell r="M411" t="str">
            <v>83720</v>
          </cell>
          <cell r="N411" t="str">
            <v>USA</v>
          </cell>
        </row>
        <row r="412">
          <cell r="A412">
            <v>10658</v>
          </cell>
          <cell r="B412" t="str">
            <v>QUICK</v>
          </cell>
          <cell r="C412">
            <v>4</v>
          </cell>
          <cell r="D412">
            <v>35678</v>
          </cell>
          <cell r="E412">
            <v>35706</v>
          </cell>
          <cell r="F412">
            <v>35681</v>
          </cell>
          <cell r="G412">
            <v>1</v>
          </cell>
          <cell r="H412">
            <v>364.15</v>
          </cell>
          <cell r="I412" t="str">
            <v>QUICK-Stop</v>
          </cell>
          <cell r="J412" t="str">
            <v>Taucherstraße 10</v>
          </cell>
          <cell r="K412" t="str">
            <v>Cunewalde</v>
          </cell>
          <cell r="M412" t="str">
            <v>01307</v>
          </cell>
          <cell r="N412" t="str">
            <v>Germany</v>
          </cell>
        </row>
        <row r="413">
          <cell r="A413">
            <v>10659</v>
          </cell>
          <cell r="B413" t="str">
            <v>QUEEN</v>
          </cell>
          <cell r="C413">
            <v>7</v>
          </cell>
          <cell r="D413">
            <v>35678</v>
          </cell>
          <cell r="E413">
            <v>35706</v>
          </cell>
          <cell r="F413">
            <v>35683</v>
          </cell>
          <cell r="G413">
            <v>2</v>
          </cell>
          <cell r="H413">
            <v>105.81</v>
          </cell>
          <cell r="I413" t="str">
            <v>Queen Cozinha</v>
          </cell>
          <cell r="J413" t="str">
            <v>Alameda dos Canàrios, 891</v>
          </cell>
          <cell r="K413" t="str">
            <v>Sao Paulo</v>
          </cell>
          <cell r="L413" t="str">
            <v>SP</v>
          </cell>
          <cell r="M413" t="str">
            <v>05487-020</v>
          </cell>
          <cell r="N413" t="str">
            <v>Brazil</v>
          </cell>
        </row>
        <row r="414">
          <cell r="A414">
            <v>10660</v>
          </cell>
          <cell r="B414" t="str">
            <v>HUNGC</v>
          </cell>
          <cell r="C414">
            <v>8</v>
          </cell>
          <cell r="D414">
            <v>35681</v>
          </cell>
          <cell r="E414">
            <v>35709</v>
          </cell>
          <cell r="F414">
            <v>35718</v>
          </cell>
          <cell r="G414">
            <v>1</v>
          </cell>
          <cell r="H414">
            <v>111.29</v>
          </cell>
          <cell r="I414" t="str">
            <v>Hungry Coyote Import Store</v>
          </cell>
          <cell r="J414" t="str">
            <v>City Center Plaza 516 Main St.</v>
          </cell>
          <cell r="K414" t="str">
            <v>Elgin</v>
          </cell>
          <cell r="L414" t="str">
            <v>OR</v>
          </cell>
          <cell r="M414" t="str">
            <v>97827</v>
          </cell>
          <cell r="N414" t="str">
            <v>USA</v>
          </cell>
        </row>
        <row r="415">
          <cell r="A415">
            <v>10661</v>
          </cell>
          <cell r="B415" t="str">
            <v>HUNGO</v>
          </cell>
          <cell r="C415">
            <v>7</v>
          </cell>
          <cell r="D415">
            <v>35682</v>
          </cell>
          <cell r="E415">
            <v>35710</v>
          </cell>
          <cell r="F415">
            <v>35688</v>
          </cell>
          <cell r="G415">
            <v>3</v>
          </cell>
          <cell r="H415">
            <v>17.55</v>
          </cell>
          <cell r="I415" t="str">
            <v>Hungry Owl All-Night Grocers</v>
          </cell>
          <cell r="J415" t="str">
            <v>8 Johnstown Road</v>
          </cell>
          <cell r="K415" t="str">
            <v>Cork</v>
          </cell>
          <cell r="L415" t="str">
            <v>Co. Cork</v>
          </cell>
          <cell r="N415" t="str">
            <v>Ireland</v>
          </cell>
        </row>
        <row r="416">
          <cell r="A416">
            <v>10662</v>
          </cell>
          <cell r="B416" t="str">
            <v>LONEP</v>
          </cell>
          <cell r="C416">
            <v>3</v>
          </cell>
          <cell r="D416">
            <v>35682</v>
          </cell>
          <cell r="E416">
            <v>35710</v>
          </cell>
          <cell r="F416">
            <v>35691</v>
          </cell>
          <cell r="G416">
            <v>2</v>
          </cell>
          <cell r="H416">
            <v>1.28</v>
          </cell>
          <cell r="I416" t="str">
            <v>Lonesome Pine Restaurant</v>
          </cell>
          <cell r="J416" t="str">
            <v>89 Chiaroscuro Rd.</v>
          </cell>
          <cell r="K416" t="str">
            <v>Portland</v>
          </cell>
          <cell r="L416" t="str">
            <v>OR</v>
          </cell>
          <cell r="M416" t="str">
            <v>97219</v>
          </cell>
          <cell r="N416" t="str">
            <v>USA</v>
          </cell>
        </row>
        <row r="417">
          <cell r="A417">
            <v>10663</v>
          </cell>
          <cell r="B417" t="str">
            <v>BONAP</v>
          </cell>
          <cell r="C417">
            <v>2</v>
          </cell>
          <cell r="D417">
            <v>35683</v>
          </cell>
          <cell r="E417">
            <v>35697</v>
          </cell>
          <cell r="F417">
            <v>35706</v>
          </cell>
          <cell r="G417">
            <v>2</v>
          </cell>
          <cell r="H417">
            <v>113.15</v>
          </cell>
          <cell r="I417" t="str">
            <v>Bon app'</v>
          </cell>
          <cell r="J417" t="str">
            <v>12, rue des Bouchers</v>
          </cell>
          <cell r="K417" t="str">
            <v>Marseille</v>
          </cell>
          <cell r="M417" t="str">
            <v>13008</v>
          </cell>
          <cell r="N417" t="str">
            <v>France</v>
          </cell>
        </row>
        <row r="418">
          <cell r="A418">
            <v>10664</v>
          </cell>
          <cell r="B418" t="str">
            <v>FURIB</v>
          </cell>
          <cell r="C418">
            <v>1</v>
          </cell>
          <cell r="D418">
            <v>35683</v>
          </cell>
          <cell r="E418">
            <v>35711</v>
          </cell>
          <cell r="F418">
            <v>35692</v>
          </cell>
          <cell r="G418">
            <v>3</v>
          </cell>
          <cell r="H418">
            <v>1.27</v>
          </cell>
          <cell r="I418" t="str">
            <v>Furia Bacalhau e Frutos do Mar</v>
          </cell>
          <cell r="J418" t="str">
            <v>Jardim das rosas n. 32</v>
          </cell>
          <cell r="K418" t="str">
            <v>Lisboa</v>
          </cell>
          <cell r="M418" t="str">
            <v>1675</v>
          </cell>
          <cell r="N418" t="str">
            <v>Portugal</v>
          </cell>
        </row>
        <row r="419">
          <cell r="A419">
            <v>10665</v>
          </cell>
          <cell r="B419" t="str">
            <v>LONEP</v>
          </cell>
          <cell r="C419">
            <v>1</v>
          </cell>
          <cell r="D419">
            <v>35684</v>
          </cell>
          <cell r="E419">
            <v>35712</v>
          </cell>
          <cell r="F419">
            <v>35690</v>
          </cell>
          <cell r="G419">
            <v>2</v>
          </cell>
          <cell r="H419">
            <v>26.31</v>
          </cell>
          <cell r="I419" t="str">
            <v>Lonesome Pine Restaurant</v>
          </cell>
          <cell r="J419" t="str">
            <v>89 Chiaroscuro Rd.</v>
          </cell>
          <cell r="K419" t="str">
            <v>Portland</v>
          </cell>
          <cell r="L419" t="str">
            <v>OR</v>
          </cell>
          <cell r="M419" t="str">
            <v>97219</v>
          </cell>
          <cell r="N419" t="str">
            <v>USA</v>
          </cell>
        </row>
        <row r="420">
          <cell r="A420">
            <v>10666</v>
          </cell>
          <cell r="B420" t="str">
            <v>RICSU</v>
          </cell>
          <cell r="C420">
            <v>7</v>
          </cell>
          <cell r="D420">
            <v>35685</v>
          </cell>
          <cell r="E420">
            <v>35713</v>
          </cell>
          <cell r="F420">
            <v>35695</v>
          </cell>
          <cell r="G420">
            <v>2</v>
          </cell>
          <cell r="H420">
            <v>232.42</v>
          </cell>
          <cell r="I420" t="str">
            <v>Richter Supermarkt</v>
          </cell>
          <cell r="J420" t="str">
            <v>Starenweg 5</v>
          </cell>
          <cell r="K420" t="str">
            <v>Genève</v>
          </cell>
          <cell r="M420" t="str">
            <v>1204</v>
          </cell>
          <cell r="N420" t="str">
            <v>Switzerland</v>
          </cell>
        </row>
        <row r="421">
          <cell r="A421">
            <v>10667</v>
          </cell>
          <cell r="B421" t="str">
            <v>ERNSH</v>
          </cell>
          <cell r="C421">
            <v>7</v>
          </cell>
          <cell r="D421">
            <v>35685</v>
          </cell>
          <cell r="E421">
            <v>35713</v>
          </cell>
          <cell r="F421">
            <v>35692</v>
          </cell>
          <cell r="G421">
            <v>1</v>
          </cell>
          <cell r="H421">
            <v>78.09</v>
          </cell>
          <cell r="I421" t="str">
            <v>Ernst Handel</v>
          </cell>
          <cell r="J421" t="str">
            <v>Kirchgasse 6</v>
          </cell>
          <cell r="K421" t="str">
            <v>Graz</v>
          </cell>
          <cell r="M421" t="str">
            <v>8010</v>
          </cell>
          <cell r="N421" t="str">
            <v>Austria</v>
          </cell>
        </row>
        <row r="422">
          <cell r="A422">
            <v>10668</v>
          </cell>
          <cell r="B422" t="str">
            <v>WANDK</v>
          </cell>
          <cell r="C422">
            <v>1</v>
          </cell>
          <cell r="D422">
            <v>35688</v>
          </cell>
          <cell r="E422">
            <v>35716</v>
          </cell>
          <cell r="F422">
            <v>35696</v>
          </cell>
          <cell r="G422">
            <v>2</v>
          </cell>
          <cell r="H422">
            <v>47.22</v>
          </cell>
          <cell r="I422" t="str">
            <v>Die Wandernde Kuh</v>
          </cell>
          <cell r="J422" t="str">
            <v>Adenauerallee 900</v>
          </cell>
          <cell r="K422" t="str">
            <v>Stuttgart</v>
          </cell>
          <cell r="M422" t="str">
            <v>70563</v>
          </cell>
          <cell r="N422" t="str">
            <v>Germany</v>
          </cell>
        </row>
        <row r="423">
          <cell r="A423">
            <v>10669</v>
          </cell>
          <cell r="B423" t="str">
            <v>SIMOB</v>
          </cell>
          <cell r="C423">
            <v>2</v>
          </cell>
          <cell r="D423">
            <v>35688</v>
          </cell>
          <cell r="E423">
            <v>35716</v>
          </cell>
          <cell r="F423">
            <v>35695</v>
          </cell>
          <cell r="G423">
            <v>1</v>
          </cell>
          <cell r="H423">
            <v>24.39</v>
          </cell>
          <cell r="I423" t="str">
            <v>Simons bistro</v>
          </cell>
          <cell r="J423" t="str">
            <v>Vinbæltet 34</v>
          </cell>
          <cell r="K423" t="str">
            <v>Kobenhavn</v>
          </cell>
          <cell r="M423" t="str">
            <v>1734</v>
          </cell>
          <cell r="N423" t="str">
            <v>Denmark</v>
          </cell>
        </row>
        <row r="424">
          <cell r="A424">
            <v>10670</v>
          </cell>
          <cell r="B424" t="str">
            <v>FRANK</v>
          </cell>
          <cell r="C424">
            <v>4</v>
          </cell>
          <cell r="D424">
            <v>35689</v>
          </cell>
          <cell r="E424">
            <v>35717</v>
          </cell>
          <cell r="F424">
            <v>35691</v>
          </cell>
          <cell r="G424">
            <v>1</v>
          </cell>
          <cell r="H424">
            <v>203.48</v>
          </cell>
          <cell r="I424" t="str">
            <v>Frankenversand</v>
          </cell>
          <cell r="J424" t="str">
            <v>Berliner Platz 43</v>
          </cell>
          <cell r="K424" t="str">
            <v>München</v>
          </cell>
          <cell r="M424" t="str">
            <v>80805</v>
          </cell>
          <cell r="N424" t="str">
            <v>Germany</v>
          </cell>
        </row>
        <row r="425">
          <cell r="A425">
            <v>10671</v>
          </cell>
          <cell r="B425" t="str">
            <v>FRANR</v>
          </cell>
          <cell r="C425">
            <v>1</v>
          </cell>
          <cell r="D425">
            <v>35690</v>
          </cell>
          <cell r="E425">
            <v>35718</v>
          </cell>
          <cell r="F425">
            <v>35697</v>
          </cell>
          <cell r="G425">
            <v>1</v>
          </cell>
          <cell r="H425">
            <v>30.34</v>
          </cell>
          <cell r="I425" t="str">
            <v>France restauration</v>
          </cell>
          <cell r="J425" t="str">
            <v>54, rue Royale</v>
          </cell>
          <cell r="K425" t="str">
            <v>Nantes</v>
          </cell>
          <cell r="M425" t="str">
            <v>44000</v>
          </cell>
          <cell r="N425" t="str">
            <v>France</v>
          </cell>
        </row>
        <row r="426">
          <cell r="A426">
            <v>10672</v>
          </cell>
          <cell r="B426" t="str">
            <v>BERGS</v>
          </cell>
          <cell r="C426">
            <v>9</v>
          </cell>
          <cell r="D426">
            <v>35690</v>
          </cell>
          <cell r="E426">
            <v>35704</v>
          </cell>
          <cell r="F426">
            <v>35699</v>
          </cell>
          <cell r="G426">
            <v>2</v>
          </cell>
          <cell r="H426">
            <v>95.75</v>
          </cell>
          <cell r="I426" t="str">
            <v>Berglunds snabbköp</v>
          </cell>
          <cell r="J426" t="str">
            <v>Berguvsvägen  8</v>
          </cell>
          <cell r="K426" t="str">
            <v>Luleå</v>
          </cell>
          <cell r="M426" t="str">
            <v>S-958 22</v>
          </cell>
          <cell r="N426" t="str">
            <v>Sweden</v>
          </cell>
        </row>
        <row r="427">
          <cell r="A427">
            <v>10673</v>
          </cell>
          <cell r="B427" t="str">
            <v>WILMK</v>
          </cell>
          <cell r="C427">
            <v>2</v>
          </cell>
          <cell r="D427">
            <v>35691</v>
          </cell>
          <cell r="E427">
            <v>35719</v>
          </cell>
          <cell r="F427">
            <v>35692</v>
          </cell>
          <cell r="G427">
            <v>1</v>
          </cell>
          <cell r="H427">
            <v>22.76</v>
          </cell>
          <cell r="I427" t="str">
            <v>Wilman Kala</v>
          </cell>
          <cell r="J427" t="str">
            <v>Keskuskatu 45</v>
          </cell>
          <cell r="K427" t="str">
            <v>Helsinki</v>
          </cell>
          <cell r="M427" t="str">
            <v>21240</v>
          </cell>
          <cell r="N427" t="str">
            <v>Finland</v>
          </cell>
        </row>
        <row r="428">
          <cell r="A428">
            <v>10674</v>
          </cell>
          <cell r="B428" t="str">
            <v>ISLAT</v>
          </cell>
          <cell r="C428">
            <v>4</v>
          </cell>
          <cell r="D428">
            <v>35691</v>
          </cell>
          <cell r="E428">
            <v>35719</v>
          </cell>
          <cell r="F428">
            <v>35703</v>
          </cell>
          <cell r="G428">
            <v>2</v>
          </cell>
          <cell r="H428">
            <v>0.9</v>
          </cell>
          <cell r="I428" t="str">
            <v>Island Trading</v>
          </cell>
          <cell r="J428" t="str">
            <v>Garden House Crowther Way</v>
          </cell>
          <cell r="K428" t="str">
            <v>Cowes</v>
          </cell>
          <cell r="L428" t="str">
            <v>Isle of Wight</v>
          </cell>
          <cell r="M428" t="str">
            <v>PO31 7PJ</v>
          </cell>
          <cell r="N428" t="str">
            <v>UK</v>
          </cell>
        </row>
        <row r="429">
          <cell r="A429">
            <v>10675</v>
          </cell>
          <cell r="B429" t="str">
            <v>FRANK</v>
          </cell>
          <cell r="C429">
            <v>5</v>
          </cell>
          <cell r="D429">
            <v>35692</v>
          </cell>
          <cell r="E429">
            <v>35720</v>
          </cell>
          <cell r="F429">
            <v>35696</v>
          </cell>
          <cell r="G429">
            <v>2</v>
          </cell>
          <cell r="H429">
            <v>31.85</v>
          </cell>
          <cell r="I429" t="str">
            <v>Frankenversand</v>
          </cell>
          <cell r="J429" t="str">
            <v>Berliner Platz 43</v>
          </cell>
          <cell r="K429" t="str">
            <v>München</v>
          </cell>
          <cell r="M429" t="str">
            <v>80805</v>
          </cell>
          <cell r="N429" t="str">
            <v>Germany</v>
          </cell>
        </row>
        <row r="430">
          <cell r="A430">
            <v>10676</v>
          </cell>
          <cell r="B430" t="str">
            <v>TORTU</v>
          </cell>
          <cell r="C430">
            <v>2</v>
          </cell>
          <cell r="D430">
            <v>35695</v>
          </cell>
          <cell r="E430">
            <v>35723</v>
          </cell>
          <cell r="F430">
            <v>35702</v>
          </cell>
          <cell r="G430">
            <v>2</v>
          </cell>
          <cell r="H430">
            <v>2.0099999999999998</v>
          </cell>
          <cell r="I430" t="str">
            <v>Tortuga Restaurante</v>
          </cell>
          <cell r="J430" t="str">
            <v>Avda. Azteca 123</v>
          </cell>
          <cell r="K430" t="str">
            <v>México D.F.</v>
          </cell>
          <cell r="M430" t="str">
            <v>05033</v>
          </cell>
          <cell r="N430" t="str">
            <v>Mexico</v>
          </cell>
        </row>
        <row r="431">
          <cell r="A431">
            <v>10677</v>
          </cell>
          <cell r="B431" t="str">
            <v>ANTON</v>
          </cell>
          <cell r="C431">
            <v>1</v>
          </cell>
          <cell r="D431">
            <v>35695</v>
          </cell>
          <cell r="E431">
            <v>35723</v>
          </cell>
          <cell r="F431">
            <v>35699</v>
          </cell>
          <cell r="G431">
            <v>3</v>
          </cell>
          <cell r="H431">
            <v>4.03</v>
          </cell>
          <cell r="I431" t="str">
            <v>Antonio Moreno Taquería</v>
          </cell>
          <cell r="J431" t="str">
            <v>Mataderos  2312</v>
          </cell>
          <cell r="K431" t="str">
            <v>México D.F.</v>
          </cell>
          <cell r="M431" t="str">
            <v>05023</v>
          </cell>
          <cell r="N431" t="str">
            <v>Mexico</v>
          </cell>
        </row>
        <row r="432">
          <cell r="A432">
            <v>10678</v>
          </cell>
          <cell r="B432" t="str">
            <v>SAVEA</v>
          </cell>
          <cell r="C432">
            <v>7</v>
          </cell>
          <cell r="D432">
            <v>35696</v>
          </cell>
          <cell r="E432">
            <v>35724</v>
          </cell>
          <cell r="F432">
            <v>35719</v>
          </cell>
          <cell r="G432">
            <v>3</v>
          </cell>
          <cell r="H432">
            <v>388.98</v>
          </cell>
          <cell r="I432" t="str">
            <v>Save-a-lot Markets</v>
          </cell>
          <cell r="J432" t="str">
            <v>187 Suffolk Ln.</v>
          </cell>
          <cell r="K432" t="str">
            <v>Boise</v>
          </cell>
          <cell r="L432" t="str">
            <v>ID</v>
          </cell>
          <cell r="M432" t="str">
            <v>83720</v>
          </cell>
          <cell r="N432" t="str">
            <v>USA</v>
          </cell>
        </row>
        <row r="433">
          <cell r="A433">
            <v>10679</v>
          </cell>
          <cell r="B433" t="str">
            <v>BLONP</v>
          </cell>
          <cell r="C433">
            <v>8</v>
          </cell>
          <cell r="D433">
            <v>35696</v>
          </cell>
          <cell r="E433">
            <v>35724</v>
          </cell>
          <cell r="F433">
            <v>35703</v>
          </cell>
          <cell r="G433">
            <v>3</v>
          </cell>
          <cell r="H433">
            <v>27.94</v>
          </cell>
          <cell r="I433" t="str">
            <v>Blondel père et fils</v>
          </cell>
          <cell r="J433" t="str">
            <v>24, place Kléber</v>
          </cell>
          <cell r="K433" t="str">
            <v>Strasbourg</v>
          </cell>
          <cell r="M433" t="str">
            <v>67000</v>
          </cell>
          <cell r="N433" t="str">
            <v>France</v>
          </cell>
        </row>
        <row r="434">
          <cell r="A434">
            <v>10680</v>
          </cell>
          <cell r="B434" t="str">
            <v>OLDWO</v>
          </cell>
          <cell r="C434">
            <v>1</v>
          </cell>
          <cell r="D434">
            <v>35697</v>
          </cell>
          <cell r="E434">
            <v>35725</v>
          </cell>
          <cell r="F434">
            <v>35699</v>
          </cell>
          <cell r="G434">
            <v>1</v>
          </cell>
          <cell r="H434">
            <v>26.61</v>
          </cell>
          <cell r="I434" t="str">
            <v>Old World Delicatessen</v>
          </cell>
          <cell r="J434" t="str">
            <v>2743 Bering St.</v>
          </cell>
          <cell r="K434" t="str">
            <v>Anchorage</v>
          </cell>
          <cell r="L434" t="str">
            <v>AK</v>
          </cell>
          <cell r="M434" t="str">
            <v>99508</v>
          </cell>
          <cell r="N434" t="str">
            <v>USA</v>
          </cell>
        </row>
        <row r="435">
          <cell r="A435">
            <v>10681</v>
          </cell>
          <cell r="B435" t="str">
            <v>GREAL</v>
          </cell>
          <cell r="C435">
            <v>3</v>
          </cell>
          <cell r="D435">
            <v>35698</v>
          </cell>
          <cell r="E435">
            <v>35726</v>
          </cell>
          <cell r="F435">
            <v>35703</v>
          </cell>
          <cell r="G435">
            <v>3</v>
          </cell>
          <cell r="H435">
            <v>76.13</v>
          </cell>
          <cell r="I435" t="str">
            <v>Great Lakes Food Market</v>
          </cell>
          <cell r="J435" t="str">
            <v>2732 Baker Blvd.</v>
          </cell>
          <cell r="K435" t="str">
            <v>Eugene</v>
          </cell>
          <cell r="L435" t="str">
            <v>OR</v>
          </cell>
          <cell r="M435" t="str">
            <v>97403</v>
          </cell>
          <cell r="N435" t="str">
            <v>USA</v>
          </cell>
        </row>
        <row r="436">
          <cell r="A436">
            <v>10682</v>
          </cell>
          <cell r="B436" t="str">
            <v>ANTON</v>
          </cell>
          <cell r="C436">
            <v>3</v>
          </cell>
          <cell r="D436">
            <v>35698</v>
          </cell>
          <cell r="E436">
            <v>35726</v>
          </cell>
          <cell r="F436">
            <v>35704</v>
          </cell>
          <cell r="G436">
            <v>2</v>
          </cell>
          <cell r="H436">
            <v>36.130000000000003</v>
          </cell>
          <cell r="I436" t="str">
            <v>Antonio Moreno Taquería</v>
          </cell>
          <cell r="J436" t="str">
            <v>Mataderos  2312</v>
          </cell>
          <cell r="K436" t="str">
            <v>México D.F.</v>
          </cell>
          <cell r="M436" t="str">
            <v>05023</v>
          </cell>
          <cell r="N436" t="str">
            <v>Mexico</v>
          </cell>
        </row>
        <row r="437">
          <cell r="A437">
            <v>10683</v>
          </cell>
          <cell r="B437" t="str">
            <v>DUMON</v>
          </cell>
          <cell r="C437">
            <v>2</v>
          </cell>
          <cell r="D437">
            <v>35699</v>
          </cell>
          <cell r="E437">
            <v>35727</v>
          </cell>
          <cell r="F437">
            <v>35704</v>
          </cell>
          <cell r="G437">
            <v>1</v>
          </cell>
          <cell r="H437">
            <v>4.4000000000000004</v>
          </cell>
          <cell r="I437" t="str">
            <v>Du monde entier</v>
          </cell>
          <cell r="J437" t="str">
            <v>67, rue des Cinquante Otages</v>
          </cell>
          <cell r="K437" t="str">
            <v>Nantes</v>
          </cell>
          <cell r="M437" t="str">
            <v>44000</v>
          </cell>
          <cell r="N437" t="str">
            <v>France</v>
          </cell>
        </row>
        <row r="438">
          <cell r="A438">
            <v>10684</v>
          </cell>
          <cell r="B438" t="str">
            <v>OTTIK</v>
          </cell>
          <cell r="C438">
            <v>3</v>
          </cell>
          <cell r="D438">
            <v>35699</v>
          </cell>
          <cell r="E438">
            <v>35727</v>
          </cell>
          <cell r="F438">
            <v>35703</v>
          </cell>
          <cell r="G438">
            <v>1</v>
          </cell>
          <cell r="H438">
            <v>145.63</v>
          </cell>
          <cell r="I438" t="str">
            <v>Ottilies Käseladen</v>
          </cell>
          <cell r="J438" t="str">
            <v>Mehrheimerstr. 369</v>
          </cell>
          <cell r="K438" t="str">
            <v>Köln</v>
          </cell>
          <cell r="M438" t="str">
            <v>50739</v>
          </cell>
          <cell r="N438" t="str">
            <v>Germany</v>
          </cell>
        </row>
        <row r="439">
          <cell r="A439">
            <v>10685</v>
          </cell>
          <cell r="B439" t="str">
            <v>GOURL</v>
          </cell>
          <cell r="C439">
            <v>4</v>
          </cell>
          <cell r="D439">
            <v>35702</v>
          </cell>
          <cell r="E439">
            <v>35716</v>
          </cell>
          <cell r="F439">
            <v>35706</v>
          </cell>
          <cell r="G439">
            <v>2</v>
          </cell>
          <cell r="H439">
            <v>33.75</v>
          </cell>
          <cell r="I439" t="str">
            <v>Gourmet Lanchonetes</v>
          </cell>
          <cell r="J439" t="str">
            <v>Av. Brasil, 442</v>
          </cell>
          <cell r="K439" t="str">
            <v>Campinas</v>
          </cell>
          <cell r="L439" t="str">
            <v>SP</v>
          </cell>
          <cell r="M439" t="str">
            <v>04876-786</v>
          </cell>
          <cell r="N439" t="str">
            <v>Brazil</v>
          </cell>
        </row>
        <row r="440">
          <cell r="A440">
            <v>10686</v>
          </cell>
          <cell r="B440" t="str">
            <v>PICCO</v>
          </cell>
          <cell r="C440">
            <v>2</v>
          </cell>
          <cell r="D440">
            <v>35703</v>
          </cell>
          <cell r="E440">
            <v>35731</v>
          </cell>
          <cell r="F440">
            <v>35711</v>
          </cell>
          <cell r="G440">
            <v>1</v>
          </cell>
          <cell r="H440">
            <v>96.5</v>
          </cell>
          <cell r="I440" t="str">
            <v>Piccolo und mehr</v>
          </cell>
          <cell r="J440" t="str">
            <v>Geislweg 14</v>
          </cell>
          <cell r="K440" t="str">
            <v>Salzburg</v>
          </cell>
          <cell r="M440" t="str">
            <v>5020</v>
          </cell>
          <cell r="N440" t="str">
            <v>Austria</v>
          </cell>
        </row>
        <row r="441">
          <cell r="A441">
            <v>10687</v>
          </cell>
          <cell r="B441" t="str">
            <v>HUNGO</v>
          </cell>
          <cell r="C441">
            <v>9</v>
          </cell>
          <cell r="D441">
            <v>35703</v>
          </cell>
          <cell r="E441">
            <v>35731</v>
          </cell>
          <cell r="F441">
            <v>35733</v>
          </cell>
          <cell r="G441">
            <v>2</v>
          </cell>
          <cell r="H441">
            <v>296.43</v>
          </cell>
          <cell r="I441" t="str">
            <v>Hungry Owl All-Night Grocers</v>
          </cell>
          <cell r="J441" t="str">
            <v>8 Johnstown Road</v>
          </cell>
          <cell r="K441" t="str">
            <v>Cork</v>
          </cell>
          <cell r="L441" t="str">
            <v>Co. Cork</v>
          </cell>
          <cell r="N441" t="str">
            <v>Ireland</v>
          </cell>
        </row>
        <row r="442">
          <cell r="A442">
            <v>10688</v>
          </cell>
          <cell r="B442" t="str">
            <v>VAFFE</v>
          </cell>
          <cell r="C442">
            <v>4</v>
          </cell>
          <cell r="D442">
            <v>35704</v>
          </cell>
          <cell r="E442">
            <v>35718</v>
          </cell>
          <cell r="F442">
            <v>35710</v>
          </cell>
          <cell r="G442">
            <v>2</v>
          </cell>
          <cell r="H442">
            <v>299.08999999999997</v>
          </cell>
          <cell r="I442" t="str">
            <v>Vaffeljernet</v>
          </cell>
          <cell r="J442" t="str">
            <v>Smagsloget 45</v>
          </cell>
          <cell r="K442" t="str">
            <v>Århus</v>
          </cell>
          <cell r="M442" t="str">
            <v>8200</v>
          </cell>
          <cell r="N442" t="str">
            <v>Denmark</v>
          </cell>
        </row>
        <row r="443">
          <cell r="A443">
            <v>10689</v>
          </cell>
          <cell r="B443" t="str">
            <v>BERGS</v>
          </cell>
          <cell r="C443">
            <v>1</v>
          </cell>
          <cell r="D443">
            <v>35704</v>
          </cell>
          <cell r="E443">
            <v>35732</v>
          </cell>
          <cell r="F443">
            <v>35710</v>
          </cell>
          <cell r="G443">
            <v>2</v>
          </cell>
          <cell r="H443">
            <v>13.42</v>
          </cell>
          <cell r="I443" t="str">
            <v>Berglunds snabbköp</v>
          </cell>
          <cell r="J443" t="str">
            <v>Berguvsvägen  8</v>
          </cell>
          <cell r="K443" t="str">
            <v>Luleå</v>
          </cell>
          <cell r="M443" t="str">
            <v>S-958 22</v>
          </cell>
          <cell r="N443" t="str">
            <v>Sweden</v>
          </cell>
        </row>
        <row r="444">
          <cell r="A444">
            <v>10690</v>
          </cell>
          <cell r="B444" t="str">
            <v>HANAR</v>
          </cell>
          <cell r="C444">
            <v>1</v>
          </cell>
          <cell r="D444">
            <v>35705</v>
          </cell>
          <cell r="E444">
            <v>35733</v>
          </cell>
          <cell r="F444">
            <v>35706</v>
          </cell>
          <cell r="G444">
            <v>1</v>
          </cell>
          <cell r="H444">
            <v>15.8</v>
          </cell>
          <cell r="I444" t="str">
            <v>Hanari Carnes</v>
          </cell>
          <cell r="J444" t="str">
            <v>Rua do Paço, 67</v>
          </cell>
          <cell r="K444" t="str">
            <v>Rio de Janeiro</v>
          </cell>
          <cell r="L444" t="str">
            <v>RJ</v>
          </cell>
          <cell r="M444" t="str">
            <v>05454-876</v>
          </cell>
          <cell r="N444" t="str">
            <v>Brazil</v>
          </cell>
        </row>
        <row r="445">
          <cell r="A445">
            <v>10691</v>
          </cell>
          <cell r="B445" t="str">
            <v>QUICK</v>
          </cell>
          <cell r="C445">
            <v>2</v>
          </cell>
          <cell r="D445">
            <v>35706</v>
          </cell>
          <cell r="E445">
            <v>35748</v>
          </cell>
          <cell r="F445">
            <v>35725</v>
          </cell>
          <cell r="G445">
            <v>2</v>
          </cell>
          <cell r="H445">
            <v>810.05</v>
          </cell>
          <cell r="I445" t="str">
            <v>QUICK-Stop</v>
          </cell>
          <cell r="J445" t="str">
            <v>Taucherstraße 10</v>
          </cell>
          <cell r="K445" t="str">
            <v>Cunewalde</v>
          </cell>
          <cell r="M445" t="str">
            <v>01307</v>
          </cell>
          <cell r="N445" t="str">
            <v>Germany</v>
          </cell>
        </row>
        <row r="446">
          <cell r="A446">
            <v>10692</v>
          </cell>
          <cell r="B446" t="str">
            <v>ALFKI</v>
          </cell>
          <cell r="C446">
            <v>4</v>
          </cell>
          <cell r="D446">
            <v>35706</v>
          </cell>
          <cell r="E446">
            <v>35734</v>
          </cell>
          <cell r="F446">
            <v>35716</v>
          </cell>
          <cell r="G446">
            <v>2</v>
          </cell>
          <cell r="H446">
            <v>61.02</v>
          </cell>
          <cell r="I446" t="str">
            <v>Alfred's Futterkiste</v>
          </cell>
          <cell r="J446" t="str">
            <v>Obere Str. 57</v>
          </cell>
          <cell r="K446" t="str">
            <v>Berlin</v>
          </cell>
          <cell r="M446" t="str">
            <v>12209</v>
          </cell>
          <cell r="N446" t="str">
            <v>Germany</v>
          </cell>
        </row>
        <row r="447">
          <cell r="A447">
            <v>10693</v>
          </cell>
          <cell r="B447" t="str">
            <v>WHITC</v>
          </cell>
          <cell r="C447">
            <v>3</v>
          </cell>
          <cell r="D447">
            <v>35709</v>
          </cell>
          <cell r="E447">
            <v>35723</v>
          </cell>
          <cell r="F447">
            <v>35713</v>
          </cell>
          <cell r="G447">
            <v>3</v>
          </cell>
          <cell r="H447">
            <v>139.34</v>
          </cell>
          <cell r="I447" t="str">
            <v>White Clover Markets</v>
          </cell>
          <cell r="J447" t="str">
            <v>1029 - 12th Ave. S.</v>
          </cell>
          <cell r="K447" t="str">
            <v>Seattle</v>
          </cell>
          <cell r="L447" t="str">
            <v>WA</v>
          </cell>
          <cell r="M447" t="str">
            <v>98124</v>
          </cell>
          <cell r="N447" t="str">
            <v>USA</v>
          </cell>
        </row>
        <row r="448">
          <cell r="A448">
            <v>10694</v>
          </cell>
          <cell r="B448" t="str">
            <v>QUICK</v>
          </cell>
          <cell r="C448">
            <v>8</v>
          </cell>
          <cell r="D448">
            <v>35709</v>
          </cell>
          <cell r="E448">
            <v>35737</v>
          </cell>
          <cell r="F448">
            <v>35712</v>
          </cell>
          <cell r="G448">
            <v>3</v>
          </cell>
          <cell r="H448">
            <v>398.36</v>
          </cell>
          <cell r="I448" t="str">
            <v>QUICK-Stop</v>
          </cell>
          <cell r="J448" t="str">
            <v>Taucherstraße 10</v>
          </cell>
          <cell r="K448" t="str">
            <v>Cunewalde</v>
          </cell>
          <cell r="M448" t="str">
            <v>01307</v>
          </cell>
          <cell r="N448" t="str">
            <v>Germany</v>
          </cell>
        </row>
        <row r="449">
          <cell r="A449">
            <v>10695</v>
          </cell>
          <cell r="B449" t="str">
            <v>WILMK</v>
          </cell>
          <cell r="C449">
            <v>7</v>
          </cell>
          <cell r="D449">
            <v>35710</v>
          </cell>
          <cell r="E449">
            <v>35752</v>
          </cell>
          <cell r="F449">
            <v>35717</v>
          </cell>
          <cell r="G449">
            <v>1</v>
          </cell>
          <cell r="H449">
            <v>16.72</v>
          </cell>
          <cell r="I449" t="str">
            <v>Wilman Kala</v>
          </cell>
          <cell r="J449" t="str">
            <v>Keskuskatu 45</v>
          </cell>
          <cell r="K449" t="str">
            <v>Helsinki</v>
          </cell>
          <cell r="M449" t="str">
            <v>21240</v>
          </cell>
          <cell r="N449" t="str">
            <v>Finland</v>
          </cell>
        </row>
        <row r="450">
          <cell r="A450">
            <v>10696</v>
          </cell>
          <cell r="B450" t="str">
            <v>WHITC</v>
          </cell>
          <cell r="C450">
            <v>8</v>
          </cell>
          <cell r="D450">
            <v>35711</v>
          </cell>
          <cell r="E450">
            <v>35753</v>
          </cell>
          <cell r="F450">
            <v>35717</v>
          </cell>
          <cell r="G450">
            <v>3</v>
          </cell>
          <cell r="H450">
            <v>102.55</v>
          </cell>
          <cell r="I450" t="str">
            <v>White Clover Markets</v>
          </cell>
          <cell r="J450" t="str">
            <v>1029 - 12th Ave. S.</v>
          </cell>
          <cell r="K450" t="str">
            <v>Seattle</v>
          </cell>
          <cell r="L450" t="str">
            <v>WA</v>
          </cell>
          <cell r="M450" t="str">
            <v>98124</v>
          </cell>
          <cell r="N450" t="str">
            <v>USA</v>
          </cell>
        </row>
        <row r="451">
          <cell r="A451">
            <v>10697</v>
          </cell>
          <cell r="B451" t="str">
            <v>LINOD</v>
          </cell>
          <cell r="C451">
            <v>3</v>
          </cell>
          <cell r="D451">
            <v>35711</v>
          </cell>
          <cell r="E451">
            <v>35739</v>
          </cell>
          <cell r="F451">
            <v>35717</v>
          </cell>
          <cell r="G451">
            <v>1</v>
          </cell>
          <cell r="H451">
            <v>45.52</v>
          </cell>
          <cell r="I451" t="str">
            <v>LINO-Delicateses</v>
          </cell>
          <cell r="J451" t="str">
            <v>Ave. 5 de Mayo Porlamar</v>
          </cell>
          <cell r="K451" t="str">
            <v>I. de Margarita</v>
          </cell>
          <cell r="L451" t="str">
            <v>Nueva Esparta</v>
          </cell>
          <cell r="M451" t="str">
            <v>4980</v>
          </cell>
          <cell r="N451" t="str">
            <v>Venezuela</v>
          </cell>
        </row>
        <row r="452">
          <cell r="A452">
            <v>10698</v>
          </cell>
          <cell r="B452" t="str">
            <v>ERNSH</v>
          </cell>
          <cell r="C452">
            <v>4</v>
          </cell>
          <cell r="D452">
            <v>35712</v>
          </cell>
          <cell r="E452">
            <v>35740</v>
          </cell>
          <cell r="F452">
            <v>35720</v>
          </cell>
          <cell r="G452">
            <v>1</v>
          </cell>
          <cell r="H452">
            <v>272.47000000000003</v>
          </cell>
          <cell r="I452" t="str">
            <v>Ernst Handel</v>
          </cell>
          <cell r="J452" t="str">
            <v>Kirchgasse 6</v>
          </cell>
          <cell r="K452" t="str">
            <v>Graz</v>
          </cell>
          <cell r="M452" t="str">
            <v>8010</v>
          </cell>
          <cell r="N452" t="str">
            <v>Austria</v>
          </cell>
        </row>
        <row r="453">
          <cell r="A453">
            <v>10699</v>
          </cell>
          <cell r="B453" t="str">
            <v>MORGK</v>
          </cell>
          <cell r="C453">
            <v>3</v>
          </cell>
          <cell r="D453">
            <v>35712</v>
          </cell>
          <cell r="E453">
            <v>35740</v>
          </cell>
          <cell r="F453">
            <v>35716</v>
          </cell>
          <cell r="G453">
            <v>3</v>
          </cell>
          <cell r="H453">
            <v>0.57999999999999996</v>
          </cell>
          <cell r="I453" t="str">
            <v>Morgenstern Gesundkost</v>
          </cell>
          <cell r="J453" t="str">
            <v>Heerstr. 22</v>
          </cell>
          <cell r="K453" t="str">
            <v>Leipzig</v>
          </cell>
          <cell r="M453" t="str">
            <v>04179</v>
          </cell>
          <cell r="N453" t="str">
            <v>Germany</v>
          </cell>
        </row>
        <row r="454">
          <cell r="A454">
            <v>10700</v>
          </cell>
          <cell r="B454" t="str">
            <v>SAVEA</v>
          </cell>
          <cell r="C454">
            <v>3</v>
          </cell>
          <cell r="D454">
            <v>35713</v>
          </cell>
          <cell r="E454">
            <v>35741</v>
          </cell>
          <cell r="F454">
            <v>35719</v>
          </cell>
          <cell r="G454">
            <v>1</v>
          </cell>
          <cell r="H454">
            <v>65.099999999999994</v>
          </cell>
          <cell r="I454" t="str">
            <v>Save-a-lot Markets</v>
          </cell>
          <cell r="J454" t="str">
            <v>187 Suffolk Ln.</v>
          </cell>
          <cell r="K454" t="str">
            <v>Boise</v>
          </cell>
          <cell r="L454" t="str">
            <v>ID</v>
          </cell>
          <cell r="M454" t="str">
            <v>83720</v>
          </cell>
          <cell r="N454" t="str">
            <v>USA</v>
          </cell>
        </row>
        <row r="455">
          <cell r="A455">
            <v>10701</v>
          </cell>
          <cell r="B455" t="str">
            <v>HUNGO</v>
          </cell>
          <cell r="C455">
            <v>6</v>
          </cell>
          <cell r="D455">
            <v>35716</v>
          </cell>
          <cell r="E455">
            <v>35730</v>
          </cell>
          <cell r="F455">
            <v>35718</v>
          </cell>
          <cell r="G455">
            <v>3</v>
          </cell>
          <cell r="H455">
            <v>220.31</v>
          </cell>
          <cell r="I455" t="str">
            <v>Hungry Owl All-Night Grocers</v>
          </cell>
          <cell r="J455" t="str">
            <v>8 Johnstown Road</v>
          </cell>
          <cell r="K455" t="str">
            <v>Cork</v>
          </cell>
          <cell r="L455" t="str">
            <v>Co. Cork</v>
          </cell>
          <cell r="N455" t="str">
            <v>Ireland</v>
          </cell>
        </row>
        <row r="456">
          <cell r="A456">
            <v>10702</v>
          </cell>
          <cell r="B456" t="str">
            <v>ALFKI</v>
          </cell>
          <cell r="C456">
            <v>4</v>
          </cell>
          <cell r="D456">
            <v>35716</v>
          </cell>
          <cell r="E456">
            <v>35758</v>
          </cell>
          <cell r="F456">
            <v>35724</v>
          </cell>
          <cell r="G456">
            <v>1</v>
          </cell>
          <cell r="H456">
            <v>23.94</v>
          </cell>
          <cell r="I456" t="str">
            <v>Alfred's Futterkiste</v>
          </cell>
          <cell r="J456" t="str">
            <v>Obere Str. 57</v>
          </cell>
          <cell r="K456" t="str">
            <v>Berlin</v>
          </cell>
          <cell r="M456" t="str">
            <v>12209</v>
          </cell>
          <cell r="N456" t="str">
            <v>Germany</v>
          </cell>
        </row>
        <row r="457">
          <cell r="A457">
            <v>10703</v>
          </cell>
          <cell r="B457" t="str">
            <v>FOLKO</v>
          </cell>
          <cell r="C457">
            <v>6</v>
          </cell>
          <cell r="D457">
            <v>35717</v>
          </cell>
          <cell r="E457">
            <v>35745</v>
          </cell>
          <cell r="F457">
            <v>35723</v>
          </cell>
          <cell r="G457">
            <v>2</v>
          </cell>
          <cell r="H457">
            <v>152.30000000000001</v>
          </cell>
          <cell r="I457" t="str">
            <v>Folk och fä HB</v>
          </cell>
          <cell r="J457" t="str">
            <v>Åkergatan 24</v>
          </cell>
          <cell r="K457" t="str">
            <v>Bräcke</v>
          </cell>
          <cell r="M457" t="str">
            <v>S-844 67</v>
          </cell>
          <cell r="N457" t="str">
            <v>Sweden</v>
          </cell>
        </row>
        <row r="458">
          <cell r="A458">
            <v>10704</v>
          </cell>
          <cell r="B458" t="str">
            <v>QUEEN</v>
          </cell>
          <cell r="C458">
            <v>6</v>
          </cell>
          <cell r="D458">
            <v>35717</v>
          </cell>
          <cell r="E458">
            <v>35745</v>
          </cell>
          <cell r="F458">
            <v>35741</v>
          </cell>
          <cell r="G458">
            <v>1</v>
          </cell>
          <cell r="H458">
            <v>4.78</v>
          </cell>
          <cell r="I458" t="str">
            <v>Queen Cozinha</v>
          </cell>
          <cell r="J458" t="str">
            <v>Alameda dos Canàrios, 891</v>
          </cell>
          <cell r="K458" t="str">
            <v>Sao Paulo</v>
          </cell>
          <cell r="L458" t="str">
            <v>SP</v>
          </cell>
          <cell r="M458" t="str">
            <v>05487-020</v>
          </cell>
          <cell r="N458" t="str">
            <v>Brazil</v>
          </cell>
        </row>
        <row r="459">
          <cell r="A459">
            <v>10705</v>
          </cell>
          <cell r="B459" t="str">
            <v>HILAA</v>
          </cell>
          <cell r="C459">
            <v>9</v>
          </cell>
          <cell r="D459">
            <v>35718</v>
          </cell>
          <cell r="E459">
            <v>35746</v>
          </cell>
          <cell r="F459">
            <v>35752</v>
          </cell>
          <cell r="G459">
            <v>2</v>
          </cell>
          <cell r="H459">
            <v>3.52</v>
          </cell>
          <cell r="I459" t="str">
            <v>HILARION-Abastos</v>
          </cell>
          <cell r="J459" t="str">
            <v>Carrera 22 con Ave. Carlos Soublette #8-35</v>
          </cell>
          <cell r="K459" t="str">
            <v>San Cristóbal</v>
          </cell>
          <cell r="L459" t="str">
            <v>Táchira</v>
          </cell>
          <cell r="M459" t="str">
            <v>5022</v>
          </cell>
          <cell r="N459" t="str">
            <v>Venezuela</v>
          </cell>
        </row>
        <row r="460">
          <cell r="A460">
            <v>10706</v>
          </cell>
          <cell r="B460" t="str">
            <v>OLDWO</v>
          </cell>
          <cell r="C460">
            <v>8</v>
          </cell>
          <cell r="D460">
            <v>35719</v>
          </cell>
          <cell r="E460">
            <v>35747</v>
          </cell>
          <cell r="F460">
            <v>35724</v>
          </cell>
          <cell r="G460">
            <v>3</v>
          </cell>
          <cell r="H460">
            <v>135.63</v>
          </cell>
          <cell r="I460" t="str">
            <v>Old World Delicatessen</v>
          </cell>
          <cell r="J460" t="str">
            <v>2743 Bering St.</v>
          </cell>
          <cell r="K460" t="str">
            <v>Anchorage</v>
          </cell>
          <cell r="L460" t="str">
            <v>AK</v>
          </cell>
          <cell r="M460" t="str">
            <v>99508</v>
          </cell>
          <cell r="N460" t="str">
            <v>USA</v>
          </cell>
        </row>
        <row r="461">
          <cell r="A461">
            <v>10707</v>
          </cell>
          <cell r="B461" t="str">
            <v>AROUT</v>
          </cell>
          <cell r="C461">
            <v>4</v>
          </cell>
          <cell r="D461">
            <v>35719</v>
          </cell>
          <cell r="E461">
            <v>35733</v>
          </cell>
          <cell r="F461">
            <v>35726</v>
          </cell>
          <cell r="G461">
            <v>3</v>
          </cell>
          <cell r="H461">
            <v>21.74</v>
          </cell>
          <cell r="I461" t="str">
            <v>Around the Horn</v>
          </cell>
          <cell r="J461" t="str">
            <v>Brook Farm Stratford St. Mary</v>
          </cell>
          <cell r="K461" t="str">
            <v>Colchester</v>
          </cell>
          <cell r="L461" t="str">
            <v>Essex</v>
          </cell>
          <cell r="M461" t="str">
            <v>CO7 6JX</v>
          </cell>
          <cell r="N461" t="str">
            <v>UK</v>
          </cell>
        </row>
        <row r="462">
          <cell r="A462">
            <v>10708</v>
          </cell>
          <cell r="B462" t="str">
            <v>THEBI</v>
          </cell>
          <cell r="C462">
            <v>6</v>
          </cell>
          <cell r="D462">
            <v>35720</v>
          </cell>
          <cell r="E462">
            <v>35762</v>
          </cell>
          <cell r="F462">
            <v>35739</v>
          </cell>
          <cell r="G462">
            <v>2</v>
          </cell>
          <cell r="H462">
            <v>2.96</v>
          </cell>
          <cell r="I462" t="str">
            <v>The Big Cheese</v>
          </cell>
          <cell r="J462" t="str">
            <v>89 Jefferson Way Suite 2</v>
          </cell>
          <cell r="K462" t="str">
            <v>Portland</v>
          </cell>
          <cell r="L462" t="str">
            <v>OR</v>
          </cell>
          <cell r="M462" t="str">
            <v>97201</v>
          </cell>
          <cell r="N462" t="str">
            <v>USA</v>
          </cell>
        </row>
        <row r="463">
          <cell r="A463">
            <v>10709</v>
          </cell>
          <cell r="B463" t="str">
            <v>GOURL</v>
          </cell>
          <cell r="C463">
            <v>1</v>
          </cell>
          <cell r="D463">
            <v>35720</v>
          </cell>
          <cell r="E463">
            <v>35748</v>
          </cell>
          <cell r="F463">
            <v>35754</v>
          </cell>
          <cell r="G463">
            <v>3</v>
          </cell>
          <cell r="H463">
            <v>210.8</v>
          </cell>
          <cell r="I463" t="str">
            <v>Gourmet Lanchonetes</v>
          </cell>
          <cell r="J463" t="str">
            <v>Av. Brasil, 442</v>
          </cell>
          <cell r="K463" t="str">
            <v>Campinas</v>
          </cell>
          <cell r="L463" t="str">
            <v>SP</v>
          </cell>
          <cell r="M463" t="str">
            <v>04876-786</v>
          </cell>
          <cell r="N463" t="str">
            <v>Brazil</v>
          </cell>
        </row>
        <row r="464">
          <cell r="A464">
            <v>10710</v>
          </cell>
          <cell r="B464" t="str">
            <v>FRANS</v>
          </cell>
          <cell r="C464">
            <v>1</v>
          </cell>
          <cell r="D464">
            <v>35723</v>
          </cell>
          <cell r="E464">
            <v>35751</v>
          </cell>
          <cell r="F464">
            <v>35726</v>
          </cell>
          <cell r="G464">
            <v>1</v>
          </cell>
          <cell r="H464">
            <v>4.9800000000000004</v>
          </cell>
          <cell r="I464" t="str">
            <v>Franchi S.p.A.</v>
          </cell>
          <cell r="J464" t="str">
            <v>Via Monte Bianco 34</v>
          </cell>
          <cell r="K464" t="str">
            <v>Torino</v>
          </cell>
          <cell r="M464" t="str">
            <v>10100</v>
          </cell>
          <cell r="N464" t="str">
            <v>Italy</v>
          </cell>
        </row>
        <row r="465">
          <cell r="A465">
            <v>10711</v>
          </cell>
          <cell r="B465" t="str">
            <v>SAVEA</v>
          </cell>
          <cell r="C465">
            <v>5</v>
          </cell>
          <cell r="D465">
            <v>35724</v>
          </cell>
          <cell r="E465">
            <v>35766</v>
          </cell>
          <cell r="F465">
            <v>35732</v>
          </cell>
          <cell r="G465">
            <v>2</v>
          </cell>
          <cell r="H465">
            <v>52.41</v>
          </cell>
          <cell r="I465" t="str">
            <v>Save-a-lot Markets</v>
          </cell>
          <cell r="J465" t="str">
            <v>187 Suffolk Ln.</v>
          </cell>
          <cell r="K465" t="str">
            <v>Boise</v>
          </cell>
          <cell r="L465" t="str">
            <v>ID</v>
          </cell>
          <cell r="M465" t="str">
            <v>83720</v>
          </cell>
          <cell r="N465" t="str">
            <v>USA</v>
          </cell>
        </row>
        <row r="466">
          <cell r="A466">
            <v>10712</v>
          </cell>
          <cell r="B466" t="str">
            <v>HUNGO</v>
          </cell>
          <cell r="C466">
            <v>3</v>
          </cell>
          <cell r="D466">
            <v>35724</v>
          </cell>
          <cell r="E466">
            <v>35752</v>
          </cell>
          <cell r="F466">
            <v>35734</v>
          </cell>
          <cell r="G466">
            <v>1</v>
          </cell>
          <cell r="H466">
            <v>89.93</v>
          </cell>
          <cell r="I466" t="str">
            <v>Hungry Owl All-Night Grocers</v>
          </cell>
          <cell r="J466" t="str">
            <v>8 Johnstown Road</v>
          </cell>
          <cell r="K466" t="str">
            <v>Cork</v>
          </cell>
          <cell r="L466" t="str">
            <v>Co. Cork</v>
          </cell>
          <cell r="N466" t="str">
            <v>Ireland</v>
          </cell>
        </row>
        <row r="467">
          <cell r="A467">
            <v>10713</v>
          </cell>
          <cell r="B467" t="str">
            <v>SAVEA</v>
          </cell>
          <cell r="C467">
            <v>1</v>
          </cell>
          <cell r="D467">
            <v>35725</v>
          </cell>
          <cell r="E467">
            <v>35753</v>
          </cell>
          <cell r="F467">
            <v>35727</v>
          </cell>
          <cell r="G467">
            <v>1</v>
          </cell>
          <cell r="H467">
            <v>167.05</v>
          </cell>
          <cell r="I467" t="str">
            <v>Save-a-lot Markets</v>
          </cell>
          <cell r="J467" t="str">
            <v>187 Suffolk Ln.</v>
          </cell>
          <cell r="K467" t="str">
            <v>Boise</v>
          </cell>
          <cell r="L467" t="str">
            <v>ID</v>
          </cell>
          <cell r="M467" t="str">
            <v>83720</v>
          </cell>
          <cell r="N467" t="str">
            <v>USA</v>
          </cell>
        </row>
        <row r="468">
          <cell r="A468">
            <v>10714</v>
          </cell>
          <cell r="B468" t="str">
            <v>SAVEA</v>
          </cell>
          <cell r="C468">
            <v>5</v>
          </cell>
          <cell r="D468">
            <v>35725</v>
          </cell>
          <cell r="E468">
            <v>35753</v>
          </cell>
          <cell r="F468">
            <v>35730</v>
          </cell>
          <cell r="G468">
            <v>3</v>
          </cell>
          <cell r="H468">
            <v>24.49</v>
          </cell>
          <cell r="I468" t="str">
            <v>Save-a-lot Markets</v>
          </cell>
          <cell r="J468" t="str">
            <v>187 Suffolk Ln.</v>
          </cell>
          <cell r="K468" t="str">
            <v>Boise</v>
          </cell>
          <cell r="L468" t="str">
            <v>ID</v>
          </cell>
          <cell r="M468" t="str">
            <v>83720</v>
          </cell>
          <cell r="N468" t="str">
            <v>USA</v>
          </cell>
        </row>
        <row r="469">
          <cell r="A469">
            <v>10715</v>
          </cell>
          <cell r="B469" t="str">
            <v>BONAP</v>
          </cell>
          <cell r="C469">
            <v>3</v>
          </cell>
          <cell r="D469">
            <v>35726</v>
          </cell>
          <cell r="E469">
            <v>35740</v>
          </cell>
          <cell r="F469">
            <v>35732</v>
          </cell>
          <cell r="G469">
            <v>1</v>
          </cell>
          <cell r="H469">
            <v>63.2</v>
          </cell>
          <cell r="I469" t="str">
            <v>Bon app'</v>
          </cell>
          <cell r="J469" t="str">
            <v>12, rue des Bouchers</v>
          </cell>
          <cell r="K469" t="str">
            <v>Marseille</v>
          </cell>
          <cell r="M469" t="str">
            <v>13008</v>
          </cell>
          <cell r="N469" t="str">
            <v>France</v>
          </cell>
        </row>
        <row r="470">
          <cell r="A470">
            <v>10716</v>
          </cell>
          <cell r="B470" t="str">
            <v>RANCH</v>
          </cell>
          <cell r="C470">
            <v>4</v>
          </cell>
          <cell r="D470">
            <v>35727</v>
          </cell>
          <cell r="E470">
            <v>35755</v>
          </cell>
          <cell r="F470">
            <v>35730</v>
          </cell>
          <cell r="G470">
            <v>2</v>
          </cell>
          <cell r="H470">
            <v>22.57</v>
          </cell>
          <cell r="I470" t="str">
            <v>Rancho grande</v>
          </cell>
          <cell r="J470" t="str">
            <v>Av. del Libertador 900</v>
          </cell>
          <cell r="K470" t="str">
            <v>Buenos Aires</v>
          </cell>
          <cell r="M470" t="str">
            <v>1010</v>
          </cell>
          <cell r="N470" t="str">
            <v>Argentina</v>
          </cell>
        </row>
        <row r="471">
          <cell r="A471">
            <v>10717</v>
          </cell>
          <cell r="B471" t="str">
            <v>FRANK</v>
          </cell>
          <cell r="C471">
            <v>1</v>
          </cell>
          <cell r="D471">
            <v>35727</v>
          </cell>
          <cell r="E471">
            <v>35755</v>
          </cell>
          <cell r="F471">
            <v>35732</v>
          </cell>
          <cell r="G471">
            <v>2</v>
          </cell>
          <cell r="H471">
            <v>59.25</v>
          </cell>
          <cell r="I471" t="str">
            <v>Frankenversand</v>
          </cell>
          <cell r="J471" t="str">
            <v>Berliner Platz 43</v>
          </cell>
          <cell r="K471" t="str">
            <v>München</v>
          </cell>
          <cell r="M471" t="str">
            <v>80805</v>
          </cell>
          <cell r="N471" t="str">
            <v>Germany</v>
          </cell>
        </row>
        <row r="472">
          <cell r="A472">
            <v>10718</v>
          </cell>
          <cell r="B472" t="str">
            <v>KOENE</v>
          </cell>
          <cell r="C472">
            <v>1</v>
          </cell>
          <cell r="D472">
            <v>35730</v>
          </cell>
          <cell r="E472">
            <v>35758</v>
          </cell>
          <cell r="F472">
            <v>35732</v>
          </cell>
          <cell r="G472">
            <v>3</v>
          </cell>
          <cell r="H472">
            <v>170.88</v>
          </cell>
          <cell r="I472" t="str">
            <v>Königlich Essen</v>
          </cell>
          <cell r="J472" t="str">
            <v>Maubelstr. 90</v>
          </cell>
          <cell r="K472" t="str">
            <v>Brandenburg</v>
          </cell>
          <cell r="M472" t="str">
            <v>14776</v>
          </cell>
          <cell r="N472" t="str">
            <v>Germany</v>
          </cell>
        </row>
        <row r="473">
          <cell r="A473">
            <v>10719</v>
          </cell>
          <cell r="B473" t="str">
            <v>LETSS</v>
          </cell>
          <cell r="C473">
            <v>8</v>
          </cell>
          <cell r="D473">
            <v>35730</v>
          </cell>
          <cell r="E473">
            <v>35758</v>
          </cell>
          <cell r="F473">
            <v>35739</v>
          </cell>
          <cell r="G473">
            <v>2</v>
          </cell>
          <cell r="H473">
            <v>51.44</v>
          </cell>
          <cell r="I473" t="str">
            <v>Let's Stop N Shop</v>
          </cell>
          <cell r="J473" t="str">
            <v>87 Polk St. Suite 5</v>
          </cell>
          <cell r="K473" t="str">
            <v>San Francisco</v>
          </cell>
          <cell r="L473" t="str">
            <v>CA</v>
          </cell>
          <cell r="M473" t="str">
            <v>94117</v>
          </cell>
          <cell r="N473" t="str">
            <v>USA</v>
          </cell>
        </row>
        <row r="474">
          <cell r="A474">
            <v>10720</v>
          </cell>
          <cell r="B474" t="str">
            <v>QUEDE</v>
          </cell>
          <cell r="C474">
            <v>8</v>
          </cell>
          <cell r="D474">
            <v>35731</v>
          </cell>
          <cell r="E474">
            <v>35745</v>
          </cell>
          <cell r="F474">
            <v>35739</v>
          </cell>
          <cell r="G474">
            <v>2</v>
          </cell>
          <cell r="H474">
            <v>9.5299999999999994</v>
          </cell>
          <cell r="I474" t="str">
            <v>Que Delícia</v>
          </cell>
          <cell r="J474" t="str">
            <v>Rua da Panificadora, 12</v>
          </cell>
          <cell r="K474" t="str">
            <v>Rio de Janeiro</v>
          </cell>
          <cell r="L474" t="str">
            <v>RJ</v>
          </cell>
          <cell r="M474" t="str">
            <v>02389-673</v>
          </cell>
          <cell r="N474" t="str">
            <v>Brazil</v>
          </cell>
        </row>
        <row r="475">
          <cell r="A475">
            <v>10721</v>
          </cell>
          <cell r="B475" t="str">
            <v>QUICK</v>
          </cell>
          <cell r="C475">
            <v>5</v>
          </cell>
          <cell r="D475">
            <v>35732</v>
          </cell>
          <cell r="E475">
            <v>35760</v>
          </cell>
          <cell r="F475">
            <v>35734</v>
          </cell>
          <cell r="G475">
            <v>3</v>
          </cell>
          <cell r="H475">
            <v>48.92</v>
          </cell>
          <cell r="I475" t="str">
            <v>QUICK-Stop</v>
          </cell>
          <cell r="J475" t="str">
            <v>Taucherstraße 10</v>
          </cell>
          <cell r="K475" t="str">
            <v>Cunewalde</v>
          </cell>
          <cell r="M475" t="str">
            <v>01307</v>
          </cell>
          <cell r="N475" t="str">
            <v>Germany</v>
          </cell>
        </row>
        <row r="476">
          <cell r="A476">
            <v>10722</v>
          </cell>
          <cell r="B476" t="str">
            <v>SAVEA</v>
          </cell>
          <cell r="C476">
            <v>8</v>
          </cell>
          <cell r="D476">
            <v>35732</v>
          </cell>
          <cell r="E476">
            <v>35774</v>
          </cell>
          <cell r="F476">
            <v>35738</v>
          </cell>
          <cell r="G476">
            <v>1</v>
          </cell>
          <cell r="H476">
            <v>74.58</v>
          </cell>
          <cell r="I476" t="str">
            <v>Save-a-lot Markets</v>
          </cell>
          <cell r="J476" t="str">
            <v>187 Suffolk Ln.</v>
          </cell>
          <cell r="K476" t="str">
            <v>Boise</v>
          </cell>
          <cell r="L476" t="str">
            <v>ID</v>
          </cell>
          <cell r="M476" t="str">
            <v>83720</v>
          </cell>
          <cell r="N476" t="str">
            <v>USA</v>
          </cell>
        </row>
        <row r="477">
          <cell r="A477">
            <v>10723</v>
          </cell>
          <cell r="B477" t="str">
            <v>WHITC</v>
          </cell>
          <cell r="C477">
            <v>3</v>
          </cell>
          <cell r="D477">
            <v>35733</v>
          </cell>
          <cell r="E477">
            <v>35761</v>
          </cell>
          <cell r="F477">
            <v>35759</v>
          </cell>
          <cell r="G477">
            <v>1</v>
          </cell>
          <cell r="H477">
            <v>21.72</v>
          </cell>
          <cell r="I477" t="str">
            <v>White Clover Markets</v>
          </cell>
          <cell r="J477" t="str">
            <v>1029 - 12th Ave. S.</v>
          </cell>
          <cell r="K477" t="str">
            <v>Seattle</v>
          </cell>
          <cell r="L477" t="str">
            <v>WA</v>
          </cell>
          <cell r="M477" t="str">
            <v>98124</v>
          </cell>
          <cell r="N477" t="str">
            <v>USA</v>
          </cell>
        </row>
        <row r="478">
          <cell r="A478">
            <v>10724</v>
          </cell>
          <cell r="B478" t="str">
            <v>MEREP</v>
          </cell>
          <cell r="C478">
            <v>8</v>
          </cell>
          <cell r="D478">
            <v>35733</v>
          </cell>
          <cell r="E478">
            <v>35775</v>
          </cell>
          <cell r="F478">
            <v>35739</v>
          </cell>
          <cell r="G478">
            <v>2</v>
          </cell>
          <cell r="H478">
            <v>57.75</v>
          </cell>
          <cell r="I478" t="str">
            <v>Mère Paillarde</v>
          </cell>
          <cell r="J478" t="str">
            <v>43 rue St. Laurent</v>
          </cell>
          <cell r="K478" t="str">
            <v>Montréal</v>
          </cell>
          <cell r="L478" t="str">
            <v>Québec</v>
          </cell>
          <cell r="M478" t="str">
            <v>H1J 1C3</v>
          </cell>
          <cell r="N478" t="str">
            <v>Canada</v>
          </cell>
        </row>
        <row r="479">
          <cell r="A479">
            <v>10725</v>
          </cell>
          <cell r="B479" t="str">
            <v>FAMIA</v>
          </cell>
          <cell r="C479">
            <v>4</v>
          </cell>
          <cell r="D479">
            <v>35734</v>
          </cell>
          <cell r="E479">
            <v>35762</v>
          </cell>
          <cell r="F479">
            <v>35739</v>
          </cell>
          <cell r="G479">
            <v>3</v>
          </cell>
          <cell r="H479">
            <v>10.83</v>
          </cell>
          <cell r="I479" t="str">
            <v>Familia Arquibaldo</v>
          </cell>
          <cell r="J479" t="str">
            <v>Rua Orós, 92</v>
          </cell>
          <cell r="K479" t="str">
            <v>Sao Paulo</v>
          </cell>
          <cell r="L479" t="str">
            <v>SP</v>
          </cell>
          <cell r="M479" t="str">
            <v>05442-030</v>
          </cell>
          <cell r="N479" t="str">
            <v>Brazil</v>
          </cell>
        </row>
        <row r="480">
          <cell r="A480">
            <v>10726</v>
          </cell>
          <cell r="B480" t="str">
            <v>EASTC</v>
          </cell>
          <cell r="C480">
            <v>4</v>
          </cell>
          <cell r="D480">
            <v>35737</v>
          </cell>
          <cell r="E480">
            <v>35751</v>
          </cell>
          <cell r="F480">
            <v>35769</v>
          </cell>
          <cell r="G480">
            <v>1</v>
          </cell>
          <cell r="H480">
            <v>16.559999999999999</v>
          </cell>
          <cell r="I480" t="str">
            <v>Eastern Connection</v>
          </cell>
          <cell r="J480" t="str">
            <v>35 King George</v>
          </cell>
          <cell r="K480" t="str">
            <v>London</v>
          </cell>
          <cell r="M480" t="str">
            <v>WX3 6FW</v>
          </cell>
          <cell r="N480" t="str">
            <v>UK</v>
          </cell>
        </row>
        <row r="481">
          <cell r="A481">
            <v>10727</v>
          </cell>
          <cell r="B481" t="str">
            <v>REGGC</v>
          </cell>
          <cell r="C481">
            <v>2</v>
          </cell>
          <cell r="D481">
            <v>35737</v>
          </cell>
          <cell r="E481">
            <v>35765</v>
          </cell>
          <cell r="F481">
            <v>35769</v>
          </cell>
          <cell r="G481">
            <v>1</v>
          </cell>
          <cell r="H481">
            <v>89.9</v>
          </cell>
          <cell r="I481" t="str">
            <v>Reggiani Caseifici</v>
          </cell>
          <cell r="J481" t="str">
            <v>Strada Provinciale 124</v>
          </cell>
          <cell r="K481" t="str">
            <v>Reggio Emilia</v>
          </cell>
          <cell r="M481" t="str">
            <v>42100</v>
          </cell>
          <cell r="N481" t="str">
            <v>Italy</v>
          </cell>
        </row>
        <row r="482">
          <cell r="A482">
            <v>10728</v>
          </cell>
          <cell r="B482" t="str">
            <v>QUEEN</v>
          </cell>
          <cell r="C482">
            <v>4</v>
          </cell>
          <cell r="D482">
            <v>35738</v>
          </cell>
          <cell r="E482">
            <v>35766</v>
          </cell>
          <cell r="F482">
            <v>35745</v>
          </cell>
          <cell r="G482">
            <v>2</v>
          </cell>
          <cell r="H482">
            <v>58.33</v>
          </cell>
          <cell r="I482" t="str">
            <v>Queen Cozinha</v>
          </cell>
          <cell r="J482" t="str">
            <v>Alameda dos Canàrios, 891</v>
          </cell>
          <cell r="K482" t="str">
            <v>Sao Paulo</v>
          </cell>
          <cell r="L482" t="str">
            <v>SP</v>
          </cell>
          <cell r="M482" t="str">
            <v>05487-020</v>
          </cell>
          <cell r="N482" t="str">
            <v>Brazil</v>
          </cell>
        </row>
        <row r="483">
          <cell r="A483">
            <v>10729</v>
          </cell>
          <cell r="B483" t="str">
            <v>LINOD</v>
          </cell>
          <cell r="C483">
            <v>8</v>
          </cell>
          <cell r="D483">
            <v>35738</v>
          </cell>
          <cell r="E483">
            <v>35780</v>
          </cell>
          <cell r="F483">
            <v>35748</v>
          </cell>
          <cell r="G483">
            <v>3</v>
          </cell>
          <cell r="H483">
            <v>141.06</v>
          </cell>
          <cell r="I483" t="str">
            <v>LINO-Delicateses</v>
          </cell>
          <cell r="J483" t="str">
            <v>Ave. 5 de Mayo Porlamar</v>
          </cell>
          <cell r="K483" t="str">
            <v>I. de Margarita</v>
          </cell>
          <cell r="L483" t="str">
            <v>Nueva Esparta</v>
          </cell>
          <cell r="M483" t="str">
            <v>4980</v>
          </cell>
          <cell r="N483" t="str">
            <v>Venezuela</v>
          </cell>
        </row>
        <row r="484">
          <cell r="A484">
            <v>10730</v>
          </cell>
          <cell r="B484" t="str">
            <v>BONAP</v>
          </cell>
          <cell r="C484">
            <v>5</v>
          </cell>
          <cell r="D484">
            <v>35739</v>
          </cell>
          <cell r="E484">
            <v>35767</v>
          </cell>
          <cell r="F484">
            <v>35748</v>
          </cell>
          <cell r="G484">
            <v>1</v>
          </cell>
          <cell r="H484">
            <v>20.12</v>
          </cell>
          <cell r="I484" t="str">
            <v>Bon app'</v>
          </cell>
          <cell r="J484" t="str">
            <v>12, rue des Bouchers</v>
          </cell>
          <cell r="K484" t="str">
            <v>Marseille</v>
          </cell>
          <cell r="M484" t="str">
            <v>13008</v>
          </cell>
          <cell r="N484" t="str">
            <v>France</v>
          </cell>
        </row>
        <row r="485">
          <cell r="A485">
            <v>10731</v>
          </cell>
          <cell r="B485" t="str">
            <v>CHOPS</v>
          </cell>
          <cell r="C485">
            <v>7</v>
          </cell>
          <cell r="D485">
            <v>35740</v>
          </cell>
          <cell r="E485">
            <v>35768</v>
          </cell>
          <cell r="F485">
            <v>35748</v>
          </cell>
          <cell r="G485">
            <v>1</v>
          </cell>
          <cell r="H485">
            <v>96.65</v>
          </cell>
          <cell r="I485" t="str">
            <v>Chop-suey Chinese</v>
          </cell>
          <cell r="J485" t="str">
            <v>Hauptstr. 31</v>
          </cell>
          <cell r="K485" t="str">
            <v>Bern</v>
          </cell>
          <cell r="M485" t="str">
            <v>3012</v>
          </cell>
          <cell r="N485" t="str">
            <v>Switzerland</v>
          </cell>
        </row>
        <row r="486">
          <cell r="A486">
            <v>10732</v>
          </cell>
          <cell r="B486" t="str">
            <v>BONAP</v>
          </cell>
          <cell r="C486">
            <v>3</v>
          </cell>
          <cell r="D486">
            <v>35740</v>
          </cell>
          <cell r="E486">
            <v>35768</v>
          </cell>
          <cell r="F486">
            <v>35741</v>
          </cell>
          <cell r="G486">
            <v>1</v>
          </cell>
          <cell r="H486">
            <v>16.97</v>
          </cell>
          <cell r="I486" t="str">
            <v>Bon app'</v>
          </cell>
          <cell r="J486" t="str">
            <v>12, rue des Bouchers</v>
          </cell>
          <cell r="K486" t="str">
            <v>Marseille</v>
          </cell>
          <cell r="M486" t="str">
            <v>13008</v>
          </cell>
          <cell r="N486" t="str">
            <v>France</v>
          </cell>
        </row>
        <row r="487">
          <cell r="A487">
            <v>10733</v>
          </cell>
          <cell r="B487" t="str">
            <v>BERGS</v>
          </cell>
          <cell r="C487">
            <v>1</v>
          </cell>
          <cell r="D487">
            <v>35741</v>
          </cell>
          <cell r="E487">
            <v>35769</v>
          </cell>
          <cell r="F487">
            <v>35744</v>
          </cell>
          <cell r="G487">
            <v>3</v>
          </cell>
          <cell r="H487">
            <v>110.11</v>
          </cell>
          <cell r="I487" t="str">
            <v>Berglunds snabbköp</v>
          </cell>
          <cell r="J487" t="str">
            <v>Berguvsvägen  8</v>
          </cell>
          <cell r="K487" t="str">
            <v>Luleå</v>
          </cell>
          <cell r="M487" t="str">
            <v>S-958 22</v>
          </cell>
          <cell r="N487" t="str">
            <v>Sweden</v>
          </cell>
        </row>
        <row r="488">
          <cell r="A488">
            <v>10734</v>
          </cell>
          <cell r="B488" t="str">
            <v>GOURL</v>
          </cell>
          <cell r="C488">
            <v>2</v>
          </cell>
          <cell r="D488">
            <v>35741</v>
          </cell>
          <cell r="E488">
            <v>35769</v>
          </cell>
          <cell r="F488">
            <v>35746</v>
          </cell>
          <cell r="G488">
            <v>3</v>
          </cell>
          <cell r="H488">
            <v>1.63</v>
          </cell>
          <cell r="I488" t="str">
            <v>Gourmet Lanchonetes</v>
          </cell>
          <cell r="J488" t="str">
            <v>Av. Brasil, 442</v>
          </cell>
          <cell r="K488" t="str">
            <v>Campinas</v>
          </cell>
          <cell r="L488" t="str">
            <v>SP</v>
          </cell>
          <cell r="M488" t="str">
            <v>04876-786</v>
          </cell>
          <cell r="N488" t="str">
            <v>Brazil</v>
          </cell>
        </row>
        <row r="489">
          <cell r="A489">
            <v>10735</v>
          </cell>
          <cell r="B489" t="str">
            <v>LETSS</v>
          </cell>
          <cell r="C489">
            <v>6</v>
          </cell>
          <cell r="D489">
            <v>35744</v>
          </cell>
          <cell r="E489">
            <v>35772</v>
          </cell>
          <cell r="F489">
            <v>35755</v>
          </cell>
          <cell r="G489">
            <v>2</v>
          </cell>
          <cell r="H489">
            <v>45.97</v>
          </cell>
          <cell r="I489" t="str">
            <v>Let's Stop N Shop</v>
          </cell>
          <cell r="J489" t="str">
            <v>87 Polk St. Suite 5</v>
          </cell>
          <cell r="K489" t="str">
            <v>San Francisco</v>
          </cell>
          <cell r="L489" t="str">
            <v>CA</v>
          </cell>
          <cell r="M489" t="str">
            <v>94117</v>
          </cell>
          <cell r="N489" t="str">
            <v>USA</v>
          </cell>
        </row>
        <row r="490">
          <cell r="A490">
            <v>10736</v>
          </cell>
          <cell r="B490" t="str">
            <v>HUNGO</v>
          </cell>
          <cell r="C490">
            <v>9</v>
          </cell>
          <cell r="D490">
            <v>35745</v>
          </cell>
          <cell r="E490">
            <v>35773</v>
          </cell>
          <cell r="F490">
            <v>35755</v>
          </cell>
          <cell r="G490">
            <v>2</v>
          </cell>
          <cell r="H490">
            <v>44.1</v>
          </cell>
          <cell r="I490" t="str">
            <v>Hungry Owl All-Night Grocers</v>
          </cell>
          <cell r="J490" t="str">
            <v>8 Johnstown Road</v>
          </cell>
          <cell r="K490" t="str">
            <v>Cork</v>
          </cell>
          <cell r="L490" t="str">
            <v>Co. Cork</v>
          </cell>
          <cell r="N490" t="str">
            <v>Ireland</v>
          </cell>
        </row>
        <row r="491">
          <cell r="A491">
            <v>10737</v>
          </cell>
          <cell r="B491" t="str">
            <v>VINET</v>
          </cell>
          <cell r="C491">
            <v>2</v>
          </cell>
          <cell r="D491">
            <v>35745</v>
          </cell>
          <cell r="E491">
            <v>35773</v>
          </cell>
          <cell r="F491">
            <v>35752</v>
          </cell>
          <cell r="G491">
            <v>2</v>
          </cell>
          <cell r="H491">
            <v>7.79</v>
          </cell>
          <cell r="I491" t="str">
            <v>Vins et alcools Chevalier</v>
          </cell>
          <cell r="J491" t="str">
            <v>59 rue de l'Abbaye</v>
          </cell>
          <cell r="K491" t="str">
            <v>Reims</v>
          </cell>
          <cell r="M491" t="str">
            <v>51100</v>
          </cell>
          <cell r="N491" t="str">
            <v>France</v>
          </cell>
        </row>
        <row r="492">
          <cell r="A492">
            <v>10738</v>
          </cell>
          <cell r="B492" t="str">
            <v>SPECD</v>
          </cell>
          <cell r="C492">
            <v>2</v>
          </cell>
          <cell r="D492">
            <v>35746</v>
          </cell>
          <cell r="E492">
            <v>35774</v>
          </cell>
          <cell r="F492">
            <v>35752</v>
          </cell>
          <cell r="G492">
            <v>1</v>
          </cell>
          <cell r="H492">
            <v>2.91</v>
          </cell>
          <cell r="I492" t="str">
            <v>Spécialités du monde</v>
          </cell>
          <cell r="J492" t="str">
            <v>25, rue Lauriston</v>
          </cell>
          <cell r="K492" t="str">
            <v>Paris</v>
          </cell>
          <cell r="M492" t="str">
            <v>75016</v>
          </cell>
          <cell r="N492" t="str">
            <v>France</v>
          </cell>
        </row>
        <row r="493">
          <cell r="A493">
            <v>10739</v>
          </cell>
          <cell r="B493" t="str">
            <v>VINET</v>
          </cell>
          <cell r="C493">
            <v>3</v>
          </cell>
          <cell r="D493">
            <v>35746</v>
          </cell>
          <cell r="E493">
            <v>35774</v>
          </cell>
          <cell r="F493">
            <v>35751</v>
          </cell>
          <cell r="G493">
            <v>3</v>
          </cell>
          <cell r="H493">
            <v>11.08</v>
          </cell>
          <cell r="I493" t="str">
            <v>Vins et alcools Chevalier</v>
          </cell>
          <cell r="J493" t="str">
            <v>59 rue de l'Abbaye</v>
          </cell>
          <cell r="K493" t="str">
            <v>Reims</v>
          </cell>
          <cell r="M493" t="str">
            <v>51100</v>
          </cell>
          <cell r="N493" t="str">
            <v>France</v>
          </cell>
        </row>
        <row r="494">
          <cell r="A494">
            <v>10740</v>
          </cell>
          <cell r="B494" t="str">
            <v>WHITC</v>
          </cell>
          <cell r="C494">
            <v>4</v>
          </cell>
          <cell r="D494">
            <v>35747</v>
          </cell>
          <cell r="E494">
            <v>35775</v>
          </cell>
          <cell r="F494">
            <v>35759</v>
          </cell>
          <cell r="G494">
            <v>2</v>
          </cell>
          <cell r="H494">
            <v>81.88</v>
          </cell>
          <cell r="I494" t="str">
            <v>White Clover Markets</v>
          </cell>
          <cell r="J494" t="str">
            <v>1029 - 12th Ave. S.</v>
          </cell>
          <cell r="K494" t="str">
            <v>Seattle</v>
          </cell>
          <cell r="L494" t="str">
            <v>WA</v>
          </cell>
          <cell r="M494" t="str">
            <v>98124</v>
          </cell>
          <cell r="N494" t="str">
            <v>USA</v>
          </cell>
        </row>
        <row r="495">
          <cell r="A495">
            <v>10741</v>
          </cell>
          <cell r="B495" t="str">
            <v>AROUT</v>
          </cell>
          <cell r="C495">
            <v>4</v>
          </cell>
          <cell r="D495">
            <v>35748</v>
          </cell>
          <cell r="E495">
            <v>35762</v>
          </cell>
          <cell r="F495">
            <v>35752</v>
          </cell>
          <cell r="G495">
            <v>3</v>
          </cell>
          <cell r="H495">
            <v>10.96</v>
          </cell>
          <cell r="I495" t="str">
            <v>Around the Horn</v>
          </cell>
          <cell r="J495" t="str">
            <v>Brook Farm Stratford St. Mary</v>
          </cell>
          <cell r="K495" t="str">
            <v>Colchester</v>
          </cell>
          <cell r="L495" t="str">
            <v>Essex</v>
          </cell>
          <cell r="M495" t="str">
            <v>CO7 6JX</v>
          </cell>
          <cell r="N495" t="str">
            <v>UK</v>
          </cell>
        </row>
        <row r="496">
          <cell r="A496">
            <v>10742</v>
          </cell>
          <cell r="B496" t="str">
            <v>BOTTM</v>
          </cell>
          <cell r="C496">
            <v>3</v>
          </cell>
          <cell r="D496">
            <v>35748</v>
          </cell>
          <cell r="E496">
            <v>35776</v>
          </cell>
          <cell r="F496">
            <v>35752</v>
          </cell>
          <cell r="G496">
            <v>3</v>
          </cell>
          <cell r="H496">
            <v>243.73</v>
          </cell>
          <cell r="I496" t="str">
            <v>Bottom-Dollar Markets</v>
          </cell>
          <cell r="J496" t="str">
            <v>23 Tsawassen Blvd.</v>
          </cell>
          <cell r="K496" t="str">
            <v>Tsawassen</v>
          </cell>
          <cell r="L496" t="str">
            <v>BC</v>
          </cell>
          <cell r="M496" t="str">
            <v>T2F 8M4</v>
          </cell>
          <cell r="N496" t="str">
            <v>Canada</v>
          </cell>
        </row>
        <row r="497">
          <cell r="A497">
            <v>10743</v>
          </cell>
          <cell r="B497" t="str">
            <v>AROUT</v>
          </cell>
          <cell r="C497">
            <v>1</v>
          </cell>
          <cell r="D497">
            <v>35751</v>
          </cell>
          <cell r="E497">
            <v>35779</v>
          </cell>
          <cell r="F497">
            <v>35755</v>
          </cell>
          <cell r="G497">
            <v>2</v>
          </cell>
          <cell r="H497">
            <v>23.72</v>
          </cell>
          <cell r="I497" t="str">
            <v>Around the Horn</v>
          </cell>
          <cell r="J497" t="str">
            <v>Brook Farm Stratford St. Mary</v>
          </cell>
          <cell r="K497" t="str">
            <v>Colchester</v>
          </cell>
          <cell r="L497" t="str">
            <v>Essex</v>
          </cell>
          <cell r="M497" t="str">
            <v>CO7 6JX</v>
          </cell>
          <cell r="N497" t="str">
            <v>UK</v>
          </cell>
        </row>
        <row r="498">
          <cell r="A498">
            <v>10744</v>
          </cell>
          <cell r="B498" t="str">
            <v>VAFFE</v>
          </cell>
          <cell r="C498">
            <v>6</v>
          </cell>
          <cell r="D498">
            <v>35751</v>
          </cell>
          <cell r="E498">
            <v>35779</v>
          </cell>
          <cell r="F498">
            <v>35758</v>
          </cell>
          <cell r="G498">
            <v>1</v>
          </cell>
          <cell r="H498">
            <v>69.19</v>
          </cell>
          <cell r="I498" t="str">
            <v>Vaffeljernet</v>
          </cell>
          <cell r="J498" t="str">
            <v>Smagsloget 45</v>
          </cell>
          <cell r="K498" t="str">
            <v>Århus</v>
          </cell>
          <cell r="M498" t="str">
            <v>8200</v>
          </cell>
          <cell r="N498" t="str">
            <v>Denmark</v>
          </cell>
        </row>
        <row r="499">
          <cell r="A499">
            <v>10745</v>
          </cell>
          <cell r="B499" t="str">
            <v>QUICK</v>
          </cell>
          <cell r="C499">
            <v>9</v>
          </cell>
          <cell r="D499">
            <v>35752</v>
          </cell>
          <cell r="E499">
            <v>35780</v>
          </cell>
          <cell r="F499">
            <v>35761</v>
          </cell>
          <cell r="G499">
            <v>1</v>
          </cell>
          <cell r="H499">
            <v>3.52</v>
          </cell>
          <cell r="I499" t="str">
            <v>QUICK-Stop</v>
          </cell>
          <cell r="J499" t="str">
            <v>Taucherstraße 10</v>
          </cell>
          <cell r="K499" t="str">
            <v>Cunewalde</v>
          </cell>
          <cell r="M499" t="str">
            <v>01307</v>
          </cell>
          <cell r="N499" t="str">
            <v>Germany</v>
          </cell>
        </row>
        <row r="500">
          <cell r="A500">
            <v>10746</v>
          </cell>
          <cell r="B500" t="str">
            <v>CHOPS</v>
          </cell>
          <cell r="C500">
            <v>1</v>
          </cell>
          <cell r="D500">
            <v>35753</v>
          </cell>
          <cell r="E500">
            <v>35781</v>
          </cell>
          <cell r="F500">
            <v>35755</v>
          </cell>
          <cell r="G500">
            <v>3</v>
          </cell>
          <cell r="H500">
            <v>31.43</v>
          </cell>
          <cell r="I500" t="str">
            <v>Chop-suey Chinese</v>
          </cell>
          <cell r="J500" t="str">
            <v>Hauptstr. 31</v>
          </cell>
          <cell r="K500" t="str">
            <v>Bern</v>
          </cell>
          <cell r="M500" t="str">
            <v>3012</v>
          </cell>
          <cell r="N500" t="str">
            <v>Switzerland</v>
          </cell>
        </row>
        <row r="501">
          <cell r="A501">
            <v>10747</v>
          </cell>
          <cell r="B501" t="str">
            <v>PICCO</v>
          </cell>
          <cell r="C501">
            <v>6</v>
          </cell>
          <cell r="D501">
            <v>35753</v>
          </cell>
          <cell r="E501">
            <v>35781</v>
          </cell>
          <cell r="F501">
            <v>35760</v>
          </cell>
          <cell r="G501">
            <v>1</v>
          </cell>
          <cell r="H501">
            <v>117.33</v>
          </cell>
          <cell r="I501" t="str">
            <v>Piccolo und mehr</v>
          </cell>
          <cell r="J501" t="str">
            <v>Geislweg 14</v>
          </cell>
          <cell r="K501" t="str">
            <v>Salzburg</v>
          </cell>
          <cell r="M501" t="str">
            <v>5020</v>
          </cell>
          <cell r="N501" t="str">
            <v>Austria</v>
          </cell>
        </row>
        <row r="502">
          <cell r="A502">
            <v>10748</v>
          </cell>
          <cell r="B502" t="str">
            <v>SAVEA</v>
          </cell>
          <cell r="C502">
            <v>3</v>
          </cell>
          <cell r="D502">
            <v>35754</v>
          </cell>
          <cell r="E502">
            <v>35782</v>
          </cell>
          <cell r="F502">
            <v>35762</v>
          </cell>
          <cell r="G502">
            <v>1</v>
          </cell>
          <cell r="H502">
            <v>232.55</v>
          </cell>
          <cell r="I502" t="str">
            <v>Save-a-lot Markets</v>
          </cell>
          <cell r="J502" t="str">
            <v>187 Suffolk Ln.</v>
          </cell>
          <cell r="K502" t="str">
            <v>Boise</v>
          </cell>
          <cell r="L502" t="str">
            <v>ID</v>
          </cell>
          <cell r="M502" t="str">
            <v>83720</v>
          </cell>
          <cell r="N502" t="str">
            <v>USA</v>
          </cell>
        </row>
        <row r="503">
          <cell r="A503">
            <v>10749</v>
          </cell>
          <cell r="B503" t="str">
            <v>ISLAT</v>
          </cell>
          <cell r="C503">
            <v>4</v>
          </cell>
          <cell r="D503">
            <v>35754</v>
          </cell>
          <cell r="E503">
            <v>35782</v>
          </cell>
          <cell r="F503">
            <v>35783</v>
          </cell>
          <cell r="G503">
            <v>2</v>
          </cell>
          <cell r="H503">
            <v>61.53</v>
          </cell>
          <cell r="I503" t="str">
            <v>Island Trading</v>
          </cell>
          <cell r="J503" t="str">
            <v>Garden House Crowther Way</v>
          </cell>
          <cell r="K503" t="str">
            <v>Cowes</v>
          </cell>
          <cell r="L503" t="str">
            <v>Isle of Wight</v>
          </cell>
          <cell r="M503" t="str">
            <v>PO31 7PJ</v>
          </cell>
          <cell r="N503" t="str">
            <v>UK</v>
          </cell>
        </row>
        <row r="504">
          <cell r="A504">
            <v>10750</v>
          </cell>
          <cell r="B504" t="str">
            <v>WARTH</v>
          </cell>
          <cell r="C504">
            <v>9</v>
          </cell>
          <cell r="D504">
            <v>35755</v>
          </cell>
          <cell r="E504">
            <v>35783</v>
          </cell>
          <cell r="F504">
            <v>35758</v>
          </cell>
          <cell r="G504">
            <v>1</v>
          </cell>
          <cell r="H504">
            <v>79.3</v>
          </cell>
          <cell r="I504" t="str">
            <v>Wartian Herkku</v>
          </cell>
          <cell r="J504" t="str">
            <v>Torikatu 38</v>
          </cell>
          <cell r="K504" t="str">
            <v>Oulu</v>
          </cell>
          <cell r="M504" t="str">
            <v>90110</v>
          </cell>
          <cell r="N504" t="str">
            <v>Finland</v>
          </cell>
        </row>
        <row r="505">
          <cell r="A505">
            <v>10751</v>
          </cell>
          <cell r="B505" t="str">
            <v>RICSU</v>
          </cell>
          <cell r="C505">
            <v>3</v>
          </cell>
          <cell r="D505">
            <v>35758</v>
          </cell>
          <cell r="E505">
            <v>35786</v>
          </cell>
          <cell r="F505">
            <v>35767</v>
          </cell>
          <cell r="G505">
            <v>3</v>
          </cell>
          <cell r="H505">
            <v>130.79</v>
          </cell>
          <cell r="I505" t="str">
            <v>Richter Supermarkt</v>
          </cell>
          <cell r="J505" t="str">
            <v>Starenweg 5</v>
          </cell>
          <cell r="K505" t="str">
            <v>Genève</v>
          </cell>
          <cell r="M505" t="str">
            <v>1204</v>
          </cell>
          <cell r="N505" t="str">
            <v>Switzerland</v>
          </cell>
        </row>
        <row r="506">
          <cell r="A506">
            <v>10752</v>
          </cell>
          <cell r="B506" t="str">
            <v>NORTS</v>
          </cell>
          <cell r="C506">
            <v>2</v>
          </cell>
          <cell r="D506">
            <v>35758</v>
          </cell>
          <cell r="E506">
            <v>35786</v>
          </cell>
          <cell r="F506">
            <v>35762</v>
          </cell>
          <cell r="G506">
            <v>3</v>
          </cell>
          <cell r="H506">
            <v>1.39</v>
          </cell>
          <cell r="I506" t="str">
            <v>North/South</v>
          </cell>
          <cell r="J506" t="str">
            <v>South House 300 Queensbridge</v>
          </cell>
          <cell r="K506" t="str">
            <v>London</v>
          </cell>
          <cell r="M506" t="str">
            <v>SW7 1RZ</v>
          </cell>
          <cell r="N506" t="str">
            <v>UK</v>
          </cell>
        </row>
        <row r="507">
          <cell r="A507">
            <v>10753</v>
          </cell>
          <cell r="B507" t="str">
            <v>FRANS</v>
          </cell>
          <cell r="C507">
            <v>3</v>
          </cell>
          <cell r="D507">
            <v>35759</v>
          </cell>
          <cell r="E507">
            <v>35787</v>
          </cell>
          <cell r="F507">
            <v>35761</v>
          </cell>
          <cell r="G507">
            <v>1</v>
          </cell>
          <cell r="H507">
            <v>7.7</v>
          </cell>
          <cell r="I507" t="str">
            <v>Franchi S.p.A.</v>
          </cell>
          <cell r="J507" t="str">
            <v>Via Monte Bianco 34</v>
          </cell>
          <cell r="K507" t="str">
            <v>Torino</v>
          </cell>
          <cell r="M507" t="str">
            <v>10100</v>
          </cell>
          <cell r="N507" t="str">
            <v>Italy</v>
          </cell>
        </row>
        <row r="508">
          <cell r="A508">
            <v>10754</v>
          </cell>
          <cell r="B508" t="str">
            <v>MAGAA</v>
          </cell>
          <cell r="C508">
            <v>6</v>
          </cell>
          <cell r="D508">
            <v>35759</v>
          </cell>
          <cell r="E508">
            <v>35787</v>
          </cell>
          <cell r="F508">
            <v>35761</v>
          </cell>
          <cell r="G508">
            <v>3</v>
          </cell>
          <cell r="H508">
            <v>2.38</v>
          </cell>
          <cell r="I508" t="str">
            <v>Magazzini Alimentari Riuniti</v>
          </cell>
          <cell r="J508" t="str">
            <v>Via Ludovico il Moro 22</v>
          </cell>
          <cell r="K508" t="str">
            <v>Bergamo</v>
          </cell>
          <cell r="M508" t="str">
            <v>24100</v>
          </cell>
          <cell r="N508" t="str">
            <v>Italy</v>
          </cell>
        </row>
        <row r="509">
          <cell r="A509">
            <v>10755</v>
          </cell>
          <cell r="B509" t="str">
            <v>BONAP</v>
          </cell>
          <cell r="C509">
            <v>4</v>
          </cell>
          <cell r="D509">
            <v>35760</v>
          </cell>
          <cell r="E509">
            <v>35788</v>
          </cell>
          <cell r="F509">
            <v>35762</v>
          </cell>
          <cell r="G509">
            <v>2</v>
          </cell>
          <cell r="H509">
            <v>16.71</v>
          </cell>
          <cell r="I509" t="str">
            <v>Bon app'</v>
          </cell>
          <cell r="J509" t="str">
            <v>12, rue des Bouchers</v>
          </cell>
          <cell r="K509" t="str">
            <v>Marseille</v>
          </cell>
          <cell r="M509" t="str">
            <v>13008</v>
          </cell>
          <cell r="N509" t="str">
            <v>France</v>
          </cell>
        </row>
        <row r="510">
          <cell r="A510">
            <v>10756</v>
          </cell>
          <cell r="B510" t="str">
            <v>SPLIR</v>
          </cell>
          <cell r="C510">
            <v>8</v>
          </cell>
          <cell r="D510">
            <v>35761</v>
          </cell>
          <cell r="E510">
            <v>35789</v>
          </cell>
          <cell r="F510">
            <v>35766</v>
          </cell>
          <cell r="G510">
            <v>2</v>
          </cell>
          <cell r="H510">
            <v>73.209999999999994</v>
          </cell>
          <cell r="I510" t="str">
            <v>Split Rail Beer &amp; Ale</v>
          </cell>
          <cell r="J510" t="str">
            <v>P.O. Box 555</v>
          </cell>
          <cell r="K510" t="str">
            <v>Lander</v>
          </cell>
          <cell r="L510" t="str">
            <v>WY</v>
          </cell>
          <cell r="M510" t="str">
            <v>82520</v>
          </cell>
          <cell r="N510" t="str">
            <v>USA</v>
          </cell>
        </row>
        <row r="511">
          <cell r="A511">
            <v>10757</v>
          </cell>
          <cell r="B511" t="str">
            <v>SAVEA</v>
          </cell>
          <cell r="C511">
            <v>6</v>
          </cell>
          <cell r="D511">
            <v>35761</v>
          </cell>
          <cell r="E511">
            <v>35789</v>
          </cell>
          <cell r="F511">
            <v>35779</v>
          </cell>
          <cell r="G511">
            <v>1</v>
          </cell>
          <cell r="H511">
            <v>8.19</v>
          </cell>
          <cell r="I511" t="str">
            <v>Save-a-lot Markets</v>
          </cell>
          <cell r="J511" t="str">
            <v>187 Suffolk Ln.</v>
          </cell>
          <cell r="K511" t="str">
            <v>Boise</v>
          </cell>
          <cell r="L511" t="str">
            <v>ID</v>
          </cell>
          <cell r="M511" t="str">
            <v>83720</v>
          </cell>
          <cell r="N511" t="str">
            <v>USA</v>
          </cell>
        </row>
        <row r="512">
          <cell r="A512">
            <v>10758</v>
          </cell>
          <cell r="B512" t="str">
            <v>RICSU</v>
          </cell>
          <cell r="C512">
            <v>3</v>
          </cell>
          <cell r="D512">
            <v>35762</v>
          </cell>
          <cell r="E512">
            <v>35790</v>
          </cell>
          <cell r="F512">
            <v>35768</v>
          </cell>
          <cell r="G512">
            <v>3</v>
          </cell>
          <cell r="H512">
            <v>138.16999999999999</v>
          </cell>
          <cell r="I512" t="str">
            <v>Richter Supermarkt</v>
          </cell>
          <cell r="J512" t="str">
            <v>Starenweg 5</v>
          </cell>
          <cell r="K512" t="str">
            <v>Genève</v>
          </cell>
          <cell r="M512" t="str">
            <v>1204</v>
          </cell>
          <cell r="N512" t="str">
            <v>Switzerland</v>
          </cell>
        </row>
        <row r="513">
          <cell r="A513">
            <v>10759</v>
          </cell>
          <cell r="B513" t="str">
            <v>ANATR</v>
          </cell>
          <cell r="C513">
            <v>3</v>
          </cell>
          <cell r="D513">
            <v>35762</v>
          </cell>
          <cell r="E513">
            <v>35790</v>
          </cell>
          <cell r="F513">
            <v>35776</v>
          </cell>
          <cell r="G513">
            <v>3</v>
          </cell>
          <cell r="H513">
            <v>11.99</v>
          </cell>
          <cell r="I513" t="str">
            <v>Ana Trujillo Emparedados y helados</v>
          </cell>
          <cell r="J513" t="str">
            <v>Avda. de la Constitución 2222</v>
          </cell>
          <cell r="K513" t="str">
            <v>México D.F.</v>
          </cell>
          <cell r="M513" t="str">
            <v>05021</v>
          </cell>
          <cell r="N513" t="str">
            <v>Mexico</v>
          </cell>
        </row>
        <row r="514">
          <cell r="A514">
            <v>10760</v>
          </cell>
          <cell r="B514" t="str">
            <v>MAISD</v>
          </cell>
          <cell r="C514">
            <v>4</v>
          </cell>
          <cell r="D514">
            <v>35765</v>
          </cell>
          <cell r="E514">
            <v>35793</v>
          </cell>
          <cell r="F514">
            <v>35774</v>
          </cell>
          <cell r="G514">
            <v>1</v>
          </cell>
          <cell r="H514">
            <v>155.63999999999999</v>
          </cell>
          <cell r="I514" t="str">
            <v>Maison Dewey</v>
          </cell>
          <cell r="J514" t="str">
            <v>Rue Joseph-Bens 532</v>
          </cell>
          <cell r="K514" t="str">
            <v>Bruxelles</v>
          </cell>
          <cell r="M514" t="str">
            <v>B-1180</v>
          </cell>
          <cell r="N514" t="str">
            <v>Belgium</v>
          </cell>
        </row>
        <row r="515">
          <cell r="A515">
            <v>10761</v>
          </cell>
          <cell r="B515" t="str">
            <v>RATTC</v>
          </cell>
          <cell r="C515">
            <v>5</v>
          </cell>
          <cell r="D515">
            <v>35766</v>
          </cell>
          <cell r="E515">
            <v>35794</v>
          </cell>
          <cell r="F515">
            <v>35772</v>
          </cell>
          <cell r="G515">
            <v>2</v>
          </cell>
          <cell r="H515">
            <v>18.66</v>
          </cell>
          <cell r="I515" t="str">
            <v>Rattlesnake Canyon Grocery</v>
          </cell>
          <cell r="J515" t="str">
            <v>2817 Milton Dr.</v>
          </cell>
          <cell r="K515" t="str">
            <v>Albuquerque</v>
          </cell>
          <cell r="L515" t="str">
            <v>NM</v>
          </cell>
          <cell r="M515" t="str">
            <v>87110</v>
          </cell>
          <cell r="N515" t="str">
            <v>USA</v>
          </cell>
        </row>
        <row r="516">
          <cell r="A516">
            <v>10762</v>
          </cell>
          <cell r="B516" t="str">
            <v>FOLKO</v>
          </cell>
          <cell r="C516">
            <v>3</v>
          </cell>
          <cell r="D516">
            <v>35766</v>
          </cell>
          <cell r="E516">
            <v>35794</v>
          </cell>
          <cell r="F516">
            <v>35773</v>
          </cell>
          <cell r="G516">
            <v>1</v>
          </cell>
          <cell r="H516">
            <v>328.74</v>
          </cell>
          <cell r="I516" t="str">
            <v>Folk och fä HB</v>
          </cell>
          <cell r="J516" t="str">
            <v>Åkergatan 24</v>
          </cell>
          <cell r="K516" t="str">
            <v>Bräcke</v>
          </cell>
          <cell r="M516" t="str">
            <v>S-844 67</v>
          </cell>
          <cell r="N516" t="str">
            <v>Sweden</v>
          </cell>
        </row>
        <row r="517">
          <cell r="A517">
            <v>10763</v>
          </cell>
          <cell r="B517" t="str">
            <v>FOLIG</v>
          </cell>
          <cell r="C517">
            <v>3</v>
          </cell>
          <cell r="D517">
            <v>35767</v>
          </cell>
          <cell r="E517">
            <v>35795</v>
          </cell>
          <cell r="F517">
            <v>35772</v>
          </cell>
          <cell r="G517">
            <v>3</v>
          </cell>
          <cell r="H517">
            <v>37.35</v>
          </cell>
          <cell r="I517" t="str">
            <v>Folies gourmandes</v>
          </cell>
          <cell r="J517" t="str">
            <v>184, chaussée de Tournai</v>
          </cell>
          <cell r="K517" t="str">
            <v>Lille</v>
          </cell>
          <cell r="M517" t="str">
            <v>59000</v>
          </cell>
          <cell r="N517" t="str">
            <v>France</v>
          </cell>
        </row>
        <row r="518">
          <cell r="A518">
            <v>10764</v>
          </cell>
          <cell r="B518" t="str">
            <v>ERNSH</v>
          </cell>
          <cell r="C518">
            <v>6</v>
          </cell>
          <cell r="D518">
            <v>35767</v>
          </cell>
          <cell r="E518">
            <v>35795</v>
          </cell>
          <cell r="F518">
            <v>35772</v>
          </cell>
          <cell r="G518">
            <v>3</v>
          </cell>
          <cell r="H518">
            <v>145.44999999999999</v>
          </cell>
          <cell r="I518" t="str">
            <v>Ernst Handel</v>
          </cell>
          <cell r="J518" t="str">
            <v>Kirchgasse 6</v>
          </cell>
          <cell r="K518" t="str">
            <v>Graz</v>
          </cell>
          <cell r="M518" t="str">
            <v>8010</v>
          </cell>
          <cell r="N518" t="str">
            <v>Austria</v>
          </cell>
        </row>
        <row r="519">
          <cell r="A519">
            <v>10765</v>
          </cell>
          <cell r="B519" t="str">
            <v>QUICK</v>
          </cell>
          <cell r="C519">
            <v>3</v>
          </cell>
          <cell r="D519">
            <v>35768</v>
          </cell>
          <cell r="E519">
            <v>35796</v>
          </cell>
          <cell r="F519">
            <v>35773</v>
          </cell>
          <cell r="G519">
            <v>3</v>
          </cell>
          <cell r="H519">
            <v>42.74</v>
          </cell>
          <cell r="I519" t="str">
            <v>QUICK-Stop</v>
          </cell>
          <cell r="J519" t="str">
            <v>Taucherstraße 10</v>
          </cell>
          <cell r="K519" t="str">
            <v>Cunewalde</v>
          </cell>
          <cell r="M519" t="str">
            <v>01307</v>
          </cell>
          <cell r="N519" t="str">
            <v>Germany</v>
          </cell>
        </row>
        <row r="520">
          <cell r="A520">
            <v>10766</v>
          </cell>
          <cell r="B520" t="str">
            <v>OTTIK</v>
          </cell>
          <cell r="C520">
            <v>4</v>
          </cell>
          <cell r="D520">
            <v>35769</v>
          </cell>
          <cell r="E520">
            <v>35797</v>
          </cell>
          <cell r="F520">
            <v>35773</v>
          </cell>
          <cell r="G520">
            <v>1</v>
          </cell>
          <cell r="H520">
            <v>157.55000000000001</v>
          </cell>
          <cell r="I520" t="str">
            <v>Ottilies Käseladen</v>
          </cell>
          <cell r="J520" t="str">
            <v>Mehrheimerstr. 369</v>
          </cell>
          <cell r="K520" t="str">
            <v>Köln</v>
          </cell>
          <cell r="M520" t="str">
            <v>50739</v>
          </cell>
          <cell r="N520" t="str">
            <v>Germany</v>
          </cell>
        </row>
        <row r="521">
          <cell r="A521">
            <v>10767</v>
          </cell>
          <cell r="B521" t="str">
            <v>SUPRD</v>
          </cell>
          <cell r="C521">
            <v>4</v>
          </cell>
          <cell r="D521">
            <v>35769</v>
          </cell>
          <cell r="E521">
            <v>35797</v>
          </cell>
          <cell r="F521">
            <v>35779</v>
          </cell>
          <cell r="G521">
            <v>3</v>
          </cell>
          <cell r="H521">
            <v>1.59</v>
          </cell>
          <cell r="I521" t="str">
            <v>Suprêmes délices</v>
          </cell>
          <cell r="J521" t="str">
            <v>Boulevard Tirou, 255</v>
          </cell>
          <cell r="K521" t="str">
            <v>Charleroi</v>
          </cell>
          <cell r="M521" t="str">
            <v>B-6000</v>
          </cell>
          <cell r="N521" t="str">
            <v>Belgium</v>
          </cell>
        </row>
        <row r="522">
          <cell r="A522">
            <v>10768</v>
          </cell>
          <cell r="B522" t="str">
            <v>AROUT</v>
          </cell>
          <cell r="C522">
            <v>3</v>
          </cell>
          <cell r="D522">
            <v>35772</v>
          </cell>
          <cell r="E522">
            <v>35800</v>
          </cell>
          <cell r="F522">
            <v>35779</v>
          </cell>
          <cell r="G522">
            <v>2</v>
          </cell>
          <cell r="H522">
            <v>146.32</v>
          </cell>
          <cell r="I522" t="str">
            <v>Around the Horn</v>
          </cell>
          <cell r="J522" t="str">
            <v>Brook Farm Stratford St. Mary</v>
          </cell>
          <cell r="K522" t="str">
            <v>Colchester</v>
          </cell>
          <cell r="L522" t="str">
            <v>Essex</v>
          </cell>
          <cell r="M522" t="str">
            <v>CO7 6JX</v>
          </cell>
          <cell r="N522" t="str">
            <v>UK</v>
          </cell>
        </row>
        <row r="523">
          <cell r="A523">
            <v>10769</v>
          </cell>
          <cell r="B523" t="str">
            <v>VAFFE</v>
          </cell>
          <cell r="C523">
            <v>3</v>
          </cell>
          <cell r="D523">
            <v>35772</v>
          </cell>
          <cell r="E523">
            <v>35800</v>
          </cell>
          <cell r="F523">
            <v>35776</v>
          </cell>
          <cell r="G523">
            <v>1</v>
          </cell>
          <cell r="H523">
            <v>65.06</v>
          </cell>
          <cell r="I523" t="str">
            <v>Vaffeljernet</v>
          </cell>
          <cell r="J523" t="str">
            <v>Smagsloget 45</v>
          </cell>
          <cell r="K523" t="str">
            <v>Århus</v>
          </cell>
          <cell r="M523" t="str">
            <v>8200</v>
          </cell>
          <cell r="N523" t="str">
            <v>Denmark</v>
          </cell>
        </row>
        <row r="524">
          <cell r="A524">
            <v>10770</v>
          </cell>
          <cell r="B524" t="str">
            <v>HANAR</v>
          </cell>
          <cell r="C524">
            <v>8</v>
          </cell>
          <cell r="D524">
            <v>35773</v>
          </cell>
          <cell r="E524">
            <v>35801</v>
          </cell>
          <cell r="F524">
            <v>35781</v>
          </cell>
          <cell r="G524">
            <v>3</v>
          </cell>
          <cell r="H524">
            <v>5.32</v>
          </cell>
          <cell r="I524" t="str">
            <v>Hanari Carnes</v>
          </cell>
          <cell r="J524" t="str">
            <v>Rua do Paço, 67</v>
          </cell>
          <cell r="K524" t="str">
            <v>Rio de Janeiro</v>
          </cell>
          <cell r="L524" t="str">
            <v>RJ</v>
          </cell>
          <cell r="M524" t="str">
            <v>05454-876</v>
          </cell>
          <cell r="N524" t="str">
            <v>Brazil</v>
          </cell>
        </row>
        <row r="525">
          <cell r="A525">
            <v>10771</v>
          </cell>
          <cell r="B525" t="str">
            <v>ERNSH</v>
          </cell>
          <cell r="C525">
            <v>9</v>
          </cell>
          <cell r="D525">
            <v>35774</v>
          </cell>
          <cell r="E525">
            <v>35802</v>
          </cell>
          <cell r="F525">
            <v>35797</v>
          </cell>
          <cell r="G525">
            <v>2</v>
          </cell>
          <cell r="H525">
            <v>11.19</v>
          </cell>
          <cell r="I525" t="str">
            <v>Ernst Handel</v>
          </cell>
          <cell r="J525" t="str">
            <v>Kirchgasse 6</v>
          </cell>
          <cell r="K525" t="str">
            <v>Graz</v>
          </cell>
          <cell r="M525" t="str">
            <v>8010</v>
          </cell>
          <cell r="N525" t="str">
            <v>Austria</v>
          </cell>
        </row>
        <row r="526">
          <cell r="A526">
            <v>10772</v>
          </cell>
          <cell r="B526" t="str">
            <v>LEHMS</v>
          </cell>
          <cell r="C526">
            <v>3</v>
          </cell>
          <cell r="D526">
            <v>35774</v>
          </cell>
          <cell r="E526">
            <v>35802</v>
          </cell>
          <cell r="F526">
            <v>35783</v>
          </cell>
          <cell r="G526">
            <v>2</v>
          </cell>
          <cell r="H526">
            <v>91.28</v>
          </cell>
          <cell r="I526" t="str">
            <v>Lehmanns Marktstand</v>
          </cell>
          <cell r="J526" t="str">
            <v>Magazinweg 7</v>
          </cell>
          <cell r="K526" t="str">
            <v>Frankfurt a.M.</v>
          </cell>
          <cell r="M526" t="str">
            <v>60528</v>
          </cell>
          <cell r="N526" t="str">
            <v>Germany</v>
          </cell>
        </row>
        <row r="527">
          <cell r="A527">
            <v>10773</v>
          </cell>
          <cell r="B527" t="str">
            <v>ERNSH</v>
          </cell>
          <cell r="C527">
            <v>1</v>
          </cell>
          <cell r="D527">
            <v>35775</v>
          </cell>
          <cell r="E527">
            <v>35803</v>
          </cell>
          <cell r="F527">
            <v>35780</v>
          </cell>
          <cell r="G527">
            <v>3</v>
          </cell>
          <cell r="H527">
            <v>96.43</v>
          </cell>
          <cell r="I527" t="str">
            <v>Ernst Handel</v>
          </cell>
          <cell r="J527" t="str">
            <v>Kirchgasse 6</v>
          </cell>
          <cell r="K527" t="str">
            <v>Graz</v>
          </cell>
          <cell r="M527" t="str">
            <v>8010</v>
          </cell>
          <cell r="N527" t="str">
            <v>Austria</v>
          </cell>
        </row>
        <row r="528">
          <cell r="A528">
            <v>10774</v>
          </cell>
          <cell r="B528" t="str">
            <v>FOLKO</v>
          </cell>
          <cell r="C528">
            <v>4</v>
          </cell>
          <cell r="D528">
            <v>35775</v>
          </cell>
          <cell r="E528">
            <v>35789</v>
          </cell>
          <cell r="F528">
            <v>35776</v>
          </cell>
          <cell r="G528">
            <v>1</v>
          </cell>
          <cell r="H528">
            <v>48.2</v>
          </cell>
          <cell r="I528" t="str">
            <v>Folk och fä HB</v>
          </cell>
          <cell r="J528" t="str">
            <v>Åkergatan 24</v>
          </cell>
          <cell r="K528" t="str">
            <v>Bräcke</v>
          </cell>
          <cell r="M528" t="str">
            <v>S-844 67</v>
          </cell>
          <cell r="N528" t="str">
            <v>Sweden</v>
          </cell>
        </row>
        <row r="529">
          <cell r="A529">
            <v>10775</v>
          </cell>
          <cell r="B529" t="str">
            <v>THECR</v>
          </cell>
          <cell r="C529">
            <v>7</v>
          </cell>
          <cell r="D529">
            <v>35776</v>
          </cell>
          <cell r="E529">
            <v>35804</v>
          </cell>
          <cell r="F529">
            <v>35790</v>
          </cell>
          <cell r="G529">
            <v>1</v>
          </cell>
          <cell r="H529">
            <v>20.25</v>
          </cell>
          <cell r="I529" t="str">
            <v>The Cracker Box</v>
          </cell>
          <cell r="J529" t="str">
            <v>55 Grizzly Peak Rd.</v>
          </cell>
          <cell r="K529" t="str">
            <v>Butte</v>
          </cell>
          <cell r="L529" t="str">
            <v>MT</v>
          </cell>
          <cell r="M529" t="str">
            <v>59801</v>
          </cell>
          <cell r="N529" t="str">
            <v>USA</v>
          </cell>
        </row>
        <row r="530">
          <cell r="A530">
            <v>10776</v>
          </cell>
          <cell r="B530" t="str">
            <v>ERNSH</v>
          </cell>
          <cell r="C530">
            <v>1</v>
          </cell>
          <cell r="D530">
            <v>35779</v>
          </cell>
          <cell r="E530">
            <v>35807</v>
          </cell>
          <cell r="F530">
            <v>35782</v>
          </cell>
          <cell r="G530">
            <v>3</v>
          </cell>
          <cell r="H530">
            <v>351.53</v>
          </cell>
          <cell r="I530" t="str">
            <v>Ernst Handel</v>
          </cell>
          <cell r="J530" t="str">
            <v>Kirchgasse 6</v>
          </cell>
          <cell r="K530" t="str">
            <v>Graz</v>
          </cell>
          <cell r="M530" t="str">
            <v>8010</v>
          </cell>
          <cell r="N530" t="str">
            <v>Austria</v>
          </cell>
        </row>
        <row r="531">
          <cell r="A531">
            <v>10777</v>
          </cell>
          <cell r="B531" t="str">
            <v>GOURL</v>
          </cell>
          <cell r="C531">
            <v>7</v>
          </cell>
          <cell r="D531">
            <v>35779</v>
          </cell>
          <cell r="E531">
            <v>35793</v>
          </cell>
          <cell r="F531">
            <v>35816</v>
          </cell>
          <cell r="G531">
            <v>2</v>
          </cell>
          <cell r="H531">
            <v>3.01</v>
          </cell>
          <cell r="I531" t="str">
            <v>Gourmet Lanchonetes</v>
          </cell>
          <cell r="J531" t="str">
            <v>Av. Brasil, 442</v>
          </cell>
          <cell r="K531" t="str">
            <v>Campinas</v>
          </cell>
          <cell r="L531" t="str">
            <v>SP</v>
          </cell>
          <cell r="M531" t="str">
            <v>04876-786</v>
          </cell>
          <cell r="N531" t="str">
            <v>Brazil</v>
          </cell>
        </row>
        <row r="532">
          <cell r="A532">
            <v>10778</v>
          </cell>
          <cell r="B532" t="str">
            <v>BERGS</v>
          </cell>
          <cell r="C532">
            <v>3</v>
          </cell>
          <cell r="D532">
            <v>35780</v>
          </cell>
          <cell r="E532">
            <v>35808</v>
          </cell>
          <cell r="F532">
            <v>35788</v>
          </cell>
          <cell r="G532">
            <v>1</v>
          </cell>
          <cell r="H532">
            <v>6.79</v>
          </cell>
          <cell r="I532" t="str">
            <v>Berglunds snabbköp</v>
          </cell>
          <cell r="J532" t="str">
            <v>Berguvsvägen  8</v>
          </cell>
          <cell r="K532" t="str">
            <v>Luleå</v>
          </cell>
          <cell r="M532" t="str">
            <v>S-958 22</v>
          </cell>
          <cell r="N532" t="str">
            <v>Sweden</v>
          </cell>
        </row>
        <row r="533">
          <cell r="A533">
            <v>10779</v>
          </cell>
          <cell r="B533" t="str">
            <v>MORGK</v>
          </cell>
          <cell r="C533">
            <v>3</v>
          </cell>
          <cell r="D533">
            <v>35780</v>
          </cell>
          <cell r="E533">
            <v>35808</v>
          </cell>
          <cell r="F533">
            <v>35809</v>
          </cell>
          <cell r="G533">
            <v>2</v>
          </cell>
          <cell r="H533">
            <v>58.13</v>
          </cell>
          <cell r="I533" t="str">
            <v>Morgenstern Gesundkost</v>
          </cell>
          <cell r="J533" t="str">
            <v>Heerstr. 22</v>
          </cell>
          <cell r="K533" t="str">
            <v>Leipzig</v>
          </cell>
          <cell r="M533" t="str">
            <v>04179</v>
          </cell>
          <cell r="N533" t="str">
            <v>Germany</v>
          </cell>
        </row>
        <row r="534">
          <cell r="A534">
            <v>10780</v>
          </cell>
          <cell r="B534" t="str">
            <v>LILAS</v>
          </cell>
          <cell r="C534">
            <v>2</v>
          </cell>
          <cell r="D534">
            <v>35780</v>
          </cell>
          <cell r="E534">
            <v>35794</v>
          </cell>
          <cell r="F534">
            <v>35789</v>
          </cell>
          <cell r="G534">
            <v>1</v>
          </cell>
          <cell r="H534">
            <v>42.13</v>
          </cell>
          <cell r="I534" t="str">
            <v>LILA-Supermercado</v>
          </cell>
          <cell r="J534" t="str">
            <v>Carrera 52 con Ave. Bolívar #65-98 Llano Largo</v>
          </cell>
          <cell r="K534" t="str">
            <v>Barquisimeto</v>
          </cell>
          <cell r="L534" t="str">
            <v>Lara</v>
          </cell>
          <cell r="M534" t="str">
            <v>3508</v>
          </cell>
          <cell r="N534" t="str">
            <v>Venezuela</v>
          </cell>
        </row>
        <row r="535">
          <cell r="A535">
            <v>10781</v>
          </cell>
          <cell r="B535" t="str">
            <v>WARTH</v>
          </cell>
          <cell r="C535">
            <v>2</v>
          </cell>
          <cell r="D535">
            <v>35781</v>
          </cell>
          <cell r="E535">
            <v>35809</v>
          </cell>
          <cell r="F535">
            <v>35783</v>
          </cell>
          <cell r="G535">
            <v>3</v>
          </cell>
          <cell r="H535">
            <v>73.16</v>
          </cell>
          <cell r="I535" t="str">
            <v>Wartian Herkku</v>
          </cell>
          <cell r="J535" t="str">
            <v>Torikatu 38</v>
          </cell>
          <cell r="K535" t="str">
            <v>Oulu</v>
          </cell>
          <cell r="M535" t="str">
            <v>90110</v>
          </cell>
          <cell r="N535" t="str">
            <v>Finland</v>
          </cell>
        </row>
        <row r="536">
          <cell r="A536">
            <v>10782</v>
          </cell>
          <cell r="B536" t="str">
            <v>CACTU</v>
          </cell>
          <cell r="C536">
            <v>9</v>
          </cell>
          <cell r="D536">
            <v>35781</v>
          </cell>
          <cell r="E536">
            <v>35809</v>
          </cell>
          <cell r="F536">
            <v>35786</v>
          </cell>
          <cell r="G536">
            <v>3</v>
          </cell>
          <cell r="H536">
            <v>1.1000000000000001</v>
          </cell>
          <cell r="I536" t="str">
            <v>Cactus Comidas para llevar</v>
          </cell>
          <cell r="J536" t="str">
            <v>Cerrito 333</v>
          </cell>
          <cell r="K536" t="str">
            <v>Buenos Aires</v>
          </cell>
          <cell r="M536" t="str">
            <v>1010</v>
          </cell>
          <cell r="N536" t="str">
            <v>Argentina</v>
          </cell>
        </row>
        <row r="537">
          <cell r="A537">
            <v>10783</v>
          </cell>
          <cell r="B537" t="str">
            <v>HANAR</v>
          </cell>
          <cell r="C537">
            <v>4</v>
          </cell>
          <cell r="D537">
            <v>35782</v>
          </cell>
          <cell r="E537">
            <v>35810</v>
          </cell>
          <cell r="F537">
            <v>35783</v>
          </cell>
          <cell r="G537">
            <v>2</v>
          </cell>
          <cell r="H537">
            <v>124.98</v>
          </cell>
          <cell r="I537" t="str">
            <v>Hanari Carnes</v>
          </cell>
          <cell r="J537" t="str">
            <v>Rua do Paço, 67</v>
          </cell>
          <cell r="K537" t="str">
            <v>Rio de Janeiro</v>
          </cell>
          <cell r="L537" t="str">
            <v>RJ</v>
          </cell>
          <cell r="M537" t="str">
            <v>05454-876</v>
          </cell>
          <cell r="N537" t="str">
            <v>Brazil</v>
          </cell>
        </row>
        <row r="538">
          <cell r="A538">
            <v>10784</v>
          </cell>
          <cell r="B538" t="str">
            <v>MAGAA</v>
          </cell>
          <cell r="C538">
            <v>4</v>
          </cell>
          <cell r="D538">
            <v>35782</v>
          </cell>
          <cell r="E538">
            <v>35810</v>
          </cell>
          <cell r="F538">
            <v>35786</v>
          </cell>
          <cell r="G538">
            <v>3</v>
          </cell>
          <cell r="H538">
            <v>70.09</v>
          </cell>
          <cell r="I538" t="str">
            <v>Magazzini Alimentari Riuniti</v>
          </cell>
          <cell r="J538" t="str">
            <v>Via Ludovico il Moro 22</v>
          </cell>
          <cell r="K538" t="str">
            <v>Bergamo</v>
          </cell>
          <cell r="M538" t="str">
            <v>24100</v>
          </cell>
          <cell r="N538" t="str">
            <v>Italy</v>
          </cell>
        </row>
        <row r="539">
          <cell r="A539">
            <v>10785</v>
          </cell>
          <cell r="B539" t="str">
            <v>GROSR</v>
          </cell>
          <cell r="C539">
            <v>1</v>
          </cell>
          <cell r="D539">
            <v>35782</v>
          </cell>
          <cell r="E539">
            <v>35810</v>
          </cell>
          <cell r="F539">
            <v>35788</v>
          </cell>
          <cell r="G539">
            <v>3</v>
          </cell>
          <cell r="H539">
            <v>1.51</v>
          </cell>
          <cell r="I539" t="str">
            <v>GROSELLA-Restaurante</v>
          </cell>
          <cell r="J539" t="str">
            <v>5ª Ave. Los Palos Grandes</v>
          </cell>
          <cell r="K539" t="str">
            <v>Caracas</v>
          </cell>
          <cell r="L539" t="str">
            <v>DF</v>
          </cell>
          <cell r="M539" t="str">
            <v>1081</v>
          </cell>
          <cell r="N539" t="str">
            <v>Venezuela</v>
          </cell>
        </row>
        <row r="540">
          <cell r="A540">
            <v>10786</v>
          </cell>
          <cell r="B540" t="str">
            <v>QUEEN</v>
          </cell>
          <cell r="C540">
            <v>8</v>
          </cell>
          <cell r="D540">
            <v>35783</v>
          </cell>
          <cell r="E540">
            <v>35811</v>
          </cell>
          <cell r="F540">
            <v>35787</v>
          </cell>
          <cell r="G540">
            <v>1</v>
          </cell>
          <cell r="H540">
            <v>110.87</v>
          </cell>
          <cell r="I540" t="str">
            <v>Queen Cozinha</v>
          </cell>
          <cell r="J540" t="str">
            <v>Alameda dos Canàrios, 891</v>
          </cell>
          <cell r="K540" t="str">
            <v>Sao Paulo</v>
          </cell>
          <cell r="L540" t="str">
            <v>SP</v>
          </cell>
          <cell r="M540" t="str">
            <v>05487-020</v>
          </cell>
          <cell r="N540" t="str">
            <v>Brazil</v>
          </cell>
        </row>
        <row r="541">
          <cell r="A541">
            <v>10787</v>
          </cell>
          <cell r="B541" t="str">
            <v>LAMAI</v>
          </cell>
          <cell r="C541">
            <v>2</v>
          </cell>
          <cell r="D541">
            <v>35783</v>
          </cell>
          <cell r="E541">
            <v>35797</v>
          </cell>
          <cell r="F541">
            <v>35790</v>
          </cell>
          <cell r="G541">
            <v>1</v>
          </cell>
          <cell r="H541">
            <v>249.93</v>
          </cell>
          <cell r="I541" t="str">
            <v>La maison d'Asie</v>
          </cell>
          <cell r="J541" t="str">
            <v>1 rue Alsace-Lorraine</v>
          </cell>
          <cell r="K541" t="str">
            <v>Toulouse</v>
          </cell>
          <cell r="M541" t="str">
            <v>31000</v>
          </cell>
          <cell r="N541" t="str">
            <v>France</v>
          </cell>
        </row>
        <row r="542">
          <cell r="A542">
            <v>10788</v>
          </cell>
          <cell r="B542" t="str">
            <v>QUICK</v>
          </cell>
          <cell r="C542">
            <v>1</v>
          </cell>
          <cell r="D542">
            <v>35786</v>
          </cell>
          <cell r="E542">
            <v>35814</v>
          </cell>
          <cell r="F542">
            <v>35814</v>
          </cell>
          <cell r="G542">
            <v>2</v>
          </cell>
          <cell r="H542">
            <v>42.7</v>
          </cell>
          <cell r="I542" t="str">
            <v>QUICK-Stop</v>
          </cell>
          <cell r="J542" t="str">
            <v>Taucherstraße 10</v>
          </cell>
          <cell r="K542" t="str">
            <v>Cunewalde</v>
          </cell>
          <cell r="M542" t="str">
            <v>01307</v>
          </cell>
          <cell r="N542" t="str">
            <v>Germany</v>
          </cell>
        </row>
        <row r="543">
          <cell r="A543">
            <v>10789</v>
          </cell>
          <cell r="B543" t="str">
            <v>FOLIG</v>
          </cell>
          <cell r="C543">
            <v>1</v>
          </cell>
          <cell r="D543">
            <v>35786</v>
          </cell>
          <cell r="E543">
            <v>35814</v>
          </cell>
          <cell r="F543">
            <v>35795</v>
          </cell>
          <cell r="G543">
            <v>2</v>
          </cell>
          <cell r="H543">
            <v>100.6</v>
          </cell>
          <cell r="I543" t="str">
            <v>Folies gourmandes</v>
          </cell>
          <cell r="J543" t="str">
            <v>184, chaussée de Tournai</v>
          </cell>
          <cell r="K543" t="str">
            <v>Lille</v>
          </cell>
          <cell r="M543" t="str">
            <v>59000</v>
          </cell>
          <cell r="N543" t="str">
            <v>France</v>
          </cell>
        </row>
        <row r="544">
          <cell r="A544">
            <v>10790</v>
          </cell>
          <cell r="B544" t="str">
            <v>GOURL</v>
          </cell>
          <cell r="C544">
            <v>6</v>
          </cell>
          <cell r="D544">
            <v>35786</v>
          </cell>
          <cell r="E544">
            <v>35814</v>
          </cell>
          <cell r="F544">
            <v>35790</v>
          </cell>
          <cell r="G544">
            <v>1</v>
          </cell>
          <cell r="H544">
            <v>28.23</v>
          </cell>
          <cell r="I544" t="str">
            <v>Gourmet Lanchonetes</v>
          </cell>
          <cell r="J544" t="str">
            <v>Av. Brasil, 442</v>
          </cell>
          <cell r="K544" t="str">
            <v>Campinas</v>
          </cell>
          <cell r="L544" t="str">
            <v>SP</v>
          </cell>
          <cell r="M544" t="str">
            <v>04876-786</v>
          </cell>
          <cell r="N544" t="str">
            <v>Brazil</v>
          </cell>
        </row>
        <row r="545">
          <cell r="A545">
            <v>10791</v>
          </cell>
          <cell r="B545" t="str">
            <v>FRANK</v>
          </cell>
          <cell r="C545">
            <v>6</v>
          </cell>
          <cell r="D545">
            <v>35787</v>
          </cell>
          <cell r="E545">
            <v>35815</v>
          </cell>
          <cell r="F545">
            <v>35796</v>
          </cell>
          <cell r="G545">
            <v>2</v>
          </cell>
          <cell r="H545">
            <v>16.850000000000001</v>
          </cell>
          <cell r="I545" t="str">
            <v>Frankenversand</v>
          </cell>
          <cell r="J545" t="str">
            <v>Berliner Platz 43</v>
          </cell>
          <cell r="K545" t="str">
            <v>München</v>
          </cell>
          <cell r="M545" t="str">
            <v>80805</v>
          </cell>
          <cell r="N545" t="str">
            <v>Germany</v>
          </cell>
        </row>
        <row r="546">
          <cell r="A546">
            <v>10792</v>
          </cell>
          <cell r="B546" t="str">
            <v>WOLZA</v>
          </cell>
          <cell r="C546">
            <v>1</v>
          </cell>
          <cell r="D546">
            <v>35787</v>
          </cell>
          <cell r="E546">
            <v>35815</v>
          </cell>
          <cell r="F546">
            <v>35795</v>
          </cell>
          <cell r="G546">
            <v>3</v>
          </cell>
          <cell r="H546">
            <v>23.79</v>
          </cell>
          <cell r="I546" t="str">
            <v>Wolski Zajazd</v>
          </cell>
          <cell r="J546" t="str">
            <v>ul. Filtrowa 68</v>
          </cell>
          <cell r="K546" t="str">
            <v>Warszawa</v>
          </cell>
          <cell r="M546" t="str">
            <v>01-012</v>
          </cell>
          <cell r="N546" t="str">
            <v>Poland</v>
          </cell>
        </row>
        <row r="547">
          <cell r="A547">
            <v>10793</v>
          </cell>
          <cell r="B547" t="str">
            <v>AROUT</v>
          </cell>
          <cell r="C547">
            <v>3</v>
          </cell>
          <cell r="D547">
            <v>35788</v>
          </cell>
          <cell r="E547">
            <v>35816</v>
          </cell>
          <cell r="F547">
            <v>35803</v>
          </cell>
          <cell r="G547">
            <v>3</v>
          </cell>
          <cell r="H547">
            <v>4.5199999999999996</v>
          </cell>
          <cell r="I547" t="str">
            <v>Around the Horn</v>
          </cell>
          <cell r="J547" t="str">
            <v>Brook Farm Stratford St. Mary</v>
          </cell>
          <cell r="K547" t="str">
            <v>Colchester</v>
          </cell>
          <cell r="L547" t="str">
            <v>Essex</v>
          </cell>
          <cell r="M547" t="str">
            <v>CO7 6JX</v>
          </cell>
          <cell r="N547" t="str">
            <v>UK</v>
          </cell>
        </row>
        <row r="548">
          <cell r="A548">
            <v>10794</v>
          </cell>
          <cell r="B548" t="str">
            <v>QUEDE</v>
          </cell>
          <cell r="C548">
            <v>6</v>
          </cell>
          <cell r="D548">
            <v>35788</v>
          </cell>
          <cell r="E548">
            <v>35816</v>
          </cell>
          <cell r="F548">
            <v>35797</v>
          </cell>
          <cell r="G548">
            <v>1</v>
          </cell>
          <cell r="H548">
            <v>21.49</v>
          </cell>
          <cell r="I548" t="str">
            <v>Que Delícia</v>
          </cell>
          <cell r="J548" t="str">
            <v>Rua da Panificadora, 12</v>
          </cell>
          <cell r="K548" t="str">
            <v>Rio de Janeiro</v>
          </cell>
          <cell r="L548" t="str">
            <v>RJ</v>
          </cell>
          <cell r="M548" t="str">
            <v>02389-673</v>
          </cell>
          <cell r="N548" t="str">
            <v>Brazil</v>
          </cell>
        </row>
        <row r="549">
          <cell r="A549">
            <v>10795</v>
          </cell>
          <cell r="B549" t="str">
            <v>ERNSH</v>
          </cell>
          <cell r="C549">
            <v>8</v>
          </cell>
          <cell r="D549">
            <v>35788</v>
          </cell>
          <cell r="E549">
            <v>35816</v>
          </cell>
          <cell r="F549">
            <v>35815</v>
          </cell>
          <cell r="G549">
            <v>2</v>
          </cell>
          <cell r="H549">
            <v>126.66</v>
          </cell>
          <cell r="I549" t="str">
            <v>Ernst Handel</v>
          </cell>
          <cell r="J549" t="str">
            <v>Kirchgasse 6</v>
          </cell>
          <cell r="K549" t="str">
            <v>Graz</v>
          </cell>
          <cell r="M549" t="str">
            <v>8010</v>
          </cell>
          <cell r="N549" t="str">
            <v>Austria</v>
          </cell>
        </row>
        <row r="550">
          <cell r="A550">
            <v>10796</v>
          </cell>
          <cell r="B550" t="str">
            <v>HILAA</v>
          </cell>
          <cell r="C550">
            <v>3</v>
          </cell>
          <cell r="D550">
            <v>35789</v>
          </cell>
          <cell r="E550">
            <v>35817</v>
          </cell>
          <cell r="F550">
            <v>35809</v>
          </cell>
          <cell r="G550">
            <v>1</v>
          </cell>
          <cell r="H550">
            <v>26.52</v>
          </cell>
          <cell r="I550" t="str">
            <v>HILARION-Abastos</v>
          </cell>
          <cell r="J550" t="str">
            <v>Carrera 22 con Ave. Carlos Soublette #8-35</v>
          </cell>
          <cell r="K550" t="str">
            <v>San Cristóbal</v>
          </cell>
          <cell r="L550" t="str">
            <v>Táchira</v>
          </cell>
          <cell r="M550" t="str">
            <v>5022</v>
          </cell>
          <cell r="N550" t="str">
            <v>Venezuela</v>
          </cell>
        </row>
        <row r="551">
          <cell r="A551">
            <v>10797</v>
          </cell>
          <cell r="B551" t="str">
            <v>DRACD</v>
          </cell>
          <cell r="C551">
            <v>7</v>
          </cell>
          <cell r="D551">
            <v>35789</v>
          </cell>
          <cell r="E551">
            <v>35817</v>
          </cell>
          <cell r="F551">
            <v>35800</v>
          </cell>
          <cell r="G551">
            <v>2</v>
          </cell>
          <cell r="H551">
            <v>33.35</v>
          </cell>
          <cell r="I551" t="str">
            <v>Drachenblut Delikatessen</v>
          </cell>
          <cell r="J551" t="str">
            <v>Walserweg 21</v>
          </cell>
          <cell r="K551" t="str">
            <v>Aachen</v>
          </cell>
          <cell r="M551" t="str">
            <v>52066</v>
          </cell>
          <cell r="N551" t="str">
            <v>Germany</v>
          </cell>
        </row>
        <row r="552">
          <cell r="A552">
            <v>10798</v>
          </cell>
          <cell r="B552" t="str">
            <v>ISLAT</v>
          </cell>
          <cell r="C552">
            <v>2</v>
          </cell>
          <cell r="D552">
            <v>35790</v>
          </cell>
          <cell r="E552">
            <v>35818</v>
          </cell>
          <cell r="F552">
            <v>35800</v>
          </cell>
          <cell r="G552">
            <v>1</v>
          </cell>
          <cell r="H552">
            <v>2.33</v>
          </cell>
          <cell r="I552" t="str">
            <v>Island Trading</v>
          </cell>
          <cell r="J552" t="str">
            <v>Garden House Crowther Way</v>
          </cell>
          <cell r="K552" t="str">
            <v>Cowes</v>
          </cell>
          <cell r="L552" t="str">
            <v>Isle of Wight</v>
          </cell>
          <cell r="M552" t="str">
            <v>PO31 7PJ</v>
          </cell>
          <cell r="N552" t="str">
            <v>UK</v>
          </cell>
        </row>
        <row r="553">
          <cell r="A553">
            <v>10799</v>
          </cell>
          <cell r="B553" t="str">
            <v>KOENE</v>
          </cell>
          <cell r="C553">
            <v>9</v>
          </cell>
          <cell r="D553">
            <v>35790</v>
          </cell>
          <cell r="E553">
            <v>35832</v>
          </cell>
          <cell r="F553">
            <v>35800</v>
          </cell>
          <cell r="G553">
            <v>3</v>
          </cell>
          <cell r="H553">
            <v>30.76</v>
          </cell>
          <cell r="I553" t="str">
            <v>Königlich Essen</v>
          </cell>
          <cell r="J553" t="str">
            <v>Maubelstr. 90</v>
          </cell>
          <cell r="K553" t="str">
            <v>Brandenburg</v>
          </cell>
          <cell r="M553" t="str">
            <v>14776</v>
          </cell>
          <cell r="N553" t="str">
            <v>Germany</v>
          </cell>
        </row>
        <row r="554">
          <cell r="A554">
            <v>10800</v>
          </cell>
          <cell r="B554" t="str">
            <v>SEVES</v>
          </cell>
          <cell r="C554">
            <v>1</v>
          </cell>
          <cell r="D554">
            <v>35790</v>
          </cell>
          <cell r="E554">
            <v>35818</v>
          </cell>
          <cell r="F554">
            <v>35800</v>
          </cell>
          <cell r="G554">
            <v>3</v>
          </cell>
          <cell r="H554">
            <v>137.44</v>
          </cell>
          <cell r="I554" t="str">
            <v>Seven Seas Imports</v>
          </cell>
          <cell r="J554" t="str">
            <v>90 Wadhurst Rd.</v>
          </cell>
          <cell r="K554" t="str">
            <v>London</v>
          </cell>
          <cell r="M554" t="str">
            <v>OX15 4NB</v>
          </cell>
          <cell r="N554" t="str">
            <v>UK</v>
          </cell>
        </row>
        <row r="555">
          <cell r="A555">
            <v>10801</v>
          </cell>
          <cell r="B555" t="str">
            <v>BOLID</v>
          </cell>
          <cell r="C555">
            <v>4</v>
          </cell>
          <cell r="D555">
            <v>35793</v>
          </cell>
          <cell r="E555">
            <v>35821</v>
          </cell>
          <cell r="F555">
            <v>35795</v>
          </cell>
          <cell r="G555">
            <v>2</v>
          </cell>
          <cell r="H555">
            <v>97.09</v>
          </cell>
          <cell r="I555" t="str">
            <v>Bólido Comidas preparadas</v>
          </cell>
          <cell r="J555" t="str">
            <v>C/ Araquil, 67</v>
          </cell>
          <cell r="K555" t="str">
            <v>Madrid</v>
          </cell>
          <cell r="M555" t="str">
            <v>28023</v>
          </cell>
          <cell r="N555" t="str">
            <v>Spain</v>
          </cell>
        </row>
        <row r="556">
          <cell r="A556">
            <v>10802</v>
          </cell>
          <cell r="B556" t="str">
            <v>SIMOB</v>
          </cell>
          <cell r="C556">
            <v>4</v>
          </cell>
          <cell r="D556">
            <v>35793</v>
          </cell>
          <cell r="E556">
            <v>35821</v>
          </cell>
          <cell r="F556">
            <v>35797</v>
          </cell>
          <cell r="G556">
            <v>2</v>
          </cell>
          <cell r="H556">
            <v>257.26</v>
          </cell>
          <cell r="I556" t="str">
            <v>Simons bistro</v>
          </cell>
          <cell r="J556" t="str">
            <v>Vinbæltet 34</v>
          </cell>
          <cell r="K556" t="str">
            <v>Kobenhavn</v>
          </cell>
          <cell r="M556" t="str">
            <v>1734</v>
          </cell>
          <cell r="N556" t="str">
            <v>Denmark</v>
          </cell>
        </row>
        <row r="557">
          <cell r="A557">
            <v>10803</v>
          </cell>
          <cell r="B557" t="str">
            <v>WELLI</v>
          </cell>
          <cell r="C557">
            <v>4</v>
          </cell>
          <cell r="D557">
            <v>35794</v>
          </cell>
          <cell r="E557">
            <v>35822</v>
          </cell>
          <cell r="F557">
            <v>35801</v>
          </cell>
          <cell r="G557">
            <v>1</v>
          </cell>
          <cell r="H557">
            <v>55.23</v>
          </cell>
          <cell r="I557" t="str">
            <v>Wellington Importadora</v>
          </cell>
          <cell r="J557" t="str">
            <v>Rua do Mercado, 12</v>
          </cell>
          <cell r="K557" t="str">
            <v>Resende</v>
          </cell>
          <cell r="L557" t="str">
            <v>SP</v>
          </cell>
          <cell r="M557" t="str">
            <v>08737-363</v>
          </cell>
          <cell r="N557" t="str">
            <v>Brazil</v>
          </cell>
        </row>
        <row r="558">
          <cell r="A558">
            <v>10804</v>
          </cell>
          <cell r="B558" t="str">
            <v>SEVES</v>
          </cell>
          <cell r="C558">
            <v>6</v>
          </cell>
          <cell r="D558">
            <v>35794</v>
          </cell>
          <cell r="E558">
            <v>35822</v>
          </cell>
          <cell r="F558">
            <v>35802</v>
          </cell>
          <cell r="G558">
            <v>2</v>
          </cell>
          <cell r="H558">
            <v>27.33</v>
          </cell>
          <cell r="I558" t="str">
            <v>Seven Seas Imports</v>
          </cell>
          <cell r="J558" t="str">
            <v>90 Wadhurst Rd.</v>
          </cell>
          <cell r="K558" t="str">
            <v>London</v>
          </cell>
          <cell r="M558" t="str">
            <v>OX15 4NB</v>
          </cell>
          <cell r="N558" t="str">
            <v>UK</v>
          </cell>
        </row>
        <row r="559">
          <cell r="A559">
            <v>10805</v>
          </cell>
          <cell r="B559" t="str">
            <v>THEBI</v>
          </cell>
          <cell r="C559">
            <v>2</v>
          </cell>
          <cell r="D559">
            <v>35794</v>
          </cell>
          <cell r="E559">
            <v>35822</v>
          </cell>
          <cell r="F559">
            <v>35804</v>
          </cell>
          <cell r="G559">
            <v>3</v>
          </cell>
          <cell r="H559">
            <v>237.34</v>
          </cell>
          <cell r="I559" t="str">
            <v>The Big Cheese</v>
          </cell>
          <cell r="J559" t="str">
            <v>89 Jefferson Way Suite 2</v>
          </cell>
          <cell r="K559" t="str">
            <v>Portland</v>
          </cell>
          <cell r="L559" t="str">
            <v>OR</v>
          </cell>
          <cell r="M559" t="str">
            <v>97201</v>
          </cell>
          <cell r="N559" t="str">
            <v>USA</v>
          </cell>
        </row>
        <row r="560">
          <cell r="A560">
            <v>10806</v>
          </cell>
          <cell r="B560" t="str">
            <v>VICTE</v>
          </cell>
          <cell r="C560">
            <v>3</v>
          </cell>
          <cell r="D560">
            <v>35795</v>
          </cell>
          <cell r="E560">
            <v>35823</v>
          </cell>
          <cell r="F560">
            <v>35800</v>
          </cell>
          <cell r="G560">
            <v>2</v>
          </cell>
          <cell r="H560">
            <v>22.11</v>
          </cell>
          <cell r="I560" t="str">
            <v>Victuailles en stock</v>
          </cell>
          <cell r="J560" t="str">
            <v>2, rue du Commerce</v>
          </cell>
          <cell r="K560" t="str">
            <v>Lyon</v>
          </cell>
          <cell r="M560" t="str">
            <v>69004</v>
          </cell>
          <cell r="N560" t="str">
            <v>France</v>
          </cell>
        </row>
        <row r="561">
          <cell r="A561">
            <v>10807</v>
          </cell>
          <cell r="B561" t="str">
            <v>FRANS</v>
          </cell>
          <cell r="C561">
            <v>4</v>
          </cell>
          <cell r="D561">
            <v>35795</v>
          </cell>
          <cell r="E561">
            <v>35823</v>
          </cell>
          <cell r="F561">
            <v>35825</v>
          </cell>
          <cell r="G561">
            <v>1</v>
          </cell>
          <cell r="H561">
            <v>1.36</v>
          </cell>
          <cell r="I561" t="str">
            <v>Franchi S.p.A.</v>
          </cell>
          <cell r="J561" t="str">
            <v>Via Monte Bianco 34</v>
          </cell>
          <cell r="K561" t="str">
            <v>Torino</v>
          </cell>
          <cell r="M561" t="str">
            <v>10100</v>
          </cell>
          <cell r="N561" t="str">
            <v>Italy</v>
          </cell>
        </row>
        <row r="562">
          <cell r="A562">
            <v>10808</v>
          </cell>
          <cell r="B562" t="str">
            <v>OLDWO</v>
          </cell>
          <cell r="C562">
            <v>2</v>
          </cell>
          <cell r="D562">
            <v>35796</v>
          </cell>
          <cell r="E562">
            <v>35824</v>
          </cell>
          <cell r="F562">
            <v>35804</v>
          </cell>
          <cell r="G562">
            <v>3</v>
          </cell>
          <cell r="H562">
            <v>45.53</v>
          </cell>
          <cell r="I562" t="str">
            <v>Old World Delicatessen</v>
          </cell>
          <cell r="J562" t="str">
            <v>2743 Bering St.</v>
          </cell>
          <cell r="K562" t="str">
            <v>Anchorage</v>
          </cell>
          <cell r="L562" t="str">
            <v>AK</v>
          </cell>
          <cell r="M562" t="str">
            <v>99508</v>
          </cell>
          <cell r="N562" t="str">
            <v>USA</v>
          </cell>
        </row>
        <row r="563">
          <cell r="A563">
            <v>10809</v>
          </cell>
          <cell r="B563" t="str">
            <v>WELLI</v>
          </cell>
          <cell r="C563">
            <v>7</v>
          </cell>
          <cell r="D563">
            <v>35796</v>
          </cell>
          <cell r="E563">
            <v>35824</v>
          </cell>
          <cell r="F563">
            <v>35802</v>
          </cell>
          <cell r="G563">
            <v>1</v>
          </cell>
          <cell r="H563">
            <v>4.87</v>
          </cell>
          <cell r="I563" t="str">
            <v>Wellington Importadora</v>
          </cell>
          <cell r="J563" t="str">
            <v>Rua do Mercado, 12</v>
          </cell>
          <cell r="K563" t="str">
            <v>Resende</v>
          </cell>
          <cell r="L563" t="str">
            <v>SP</v>
          </cell>
          <cell r="M563" t="str">
            <v>08737-363</v>
          </cell>
          <cell r="N563" t="str">
            <v>Brazil</v>
          </cell>
        </row>
        <row r="564">
          <cell r="A564">
            <v>10810</v>
          </cell>
          <cell r="B564" t="str">
            <v>LAUGB</v>
          </cell>
          <cell r="C564">
            <v>2</v>
          </cell>
          <cell r="D564">
            <v>35796</v>
          </cell>
          <cell r="E564">
            <v>35824</v>
          </cell>
          <cell r="F564">
            <v>35802</v>
          </cell>
          <cell r="G564">
            <v>3</v>
          </cell>
          <cell r="H564">
            <v>4.33</v>
          </cell>
          <cell r="I564" t="str">
            <v>Laughing Bacchus Wine Cellars</v>
          </cell>
          <cell r="J564" t="str">
            <v>2319 Elm St.</v>
          </cell>
          <cell r="K564" t="str">
            <v>Vancouver</v>
          </cell>
          <cell r="L564" t="str">
            <v>BC</v>
          </cell>
          <cell r="M564" t="str">
            <v>V3F 2K1</v>
          </cell>
          <cell r="N564" t="str">
            <v>Canada</v>
          </cell>
        </row>
        <row r="565">
          <cell r="A565">
            <v>10811</v>
          </cell>
          <cell r="B565" t="str">
            <v>LINOD</v>
          </cell>
          <cell r="C565">
            <v>8</v>
          </cell>
          <cell r="D565">
            <v>35797</v>
          </cell>
          <cell r="E565">
            <v>35825</v>
          </cell>
          <cell r="F565">
            <v>35803</v>
          </cell>
          <cell r="G565">
            <v>1</v>
          </cell>
          <cell r="H565">
            <v>31.22</v>
          </cell>
          <cell r="I565" t="str">
            <v>LINO-Delicateses</v>
          </cell>
          <cell r="J565" t="str">
            <v>Ave. 5 de Mayo Porlamar</v>
          </cell>
          <cell r="K565" t="str">
            <v>I. de Margarita</v>
          </cell>
          <cell r="L565" t="str">
            <v>Nueva Esparta</v>
          </cell>
          <cell r="M565" t="str">
            <v>4980</v>
          </cell>
          <cell r="N565" t="str">
            <v>Venezuela</v>
          </cell>
        </row>
        <row r="566">
          <cell r="A566">
            <v>10812</v>
          </cell>
          <cell r="B566" t="str">
            <v>REGGC</v>
          </cell>
          <cell r="C566">
            <v>5</v>
          </cell>
          <cell r="D566">
            <v>35797</v>
          </cell>
          <cell r="E566">
            <v>35825</v>
          </cell>
          <cell r="F566">
            <v>35807</v>
          </cell>
          <cell r="G566">
            <v>1</v>
          </cell>
          <cell r="H566">
            <v>59.78</v>
          </cell>
          <cell r="I566" t="str">
            <v>Reggiani Caseifici</v>
          </cell>
          <cell r="J566" t="str">
            <v>Strada Provinciale 124</v>
          </cell>
          <cell r="K566" t="str">
            <v>Reggio Emilia</v>
          </cell>
          <cell r="M566" t="str">
            <v>42100</v>
          </cell>
          <cell r="N566" t="str">
            <v>Italy</v>
          </cell>
        </row>
        <row r="567">
          <cell r="A567">
            <v>10813</v>
          </cell>
          <cell r="B567" t="str">
            <v>RICAR</v>
          </cell>
          <cell r="C567">
            <v>1</v>
          </cell>
          <cell r="D567">
            <v>35800</v>
          </cell>
          <cell r="E567">
            <v>35828</v>
          </cell>
          <cell r="F567">
            <v>35804</v>
          </cell>
          <cell r="G567">
            <v>1</v>
          </cell>
          <cell r="H567">
            <v>47.38</v>
          </cell>
          <cell r="I567" t="str">
            <v>Ricardo Adocicados</v>
          </cell>
          <cell r="J567" t="str">
            <v>Av. Copacabana, 267</v>
          </cell>
          <cell r="K567" t="str">
            <v>Rio de Janeiro</v>
          </cell>
          <cell r="L567" t="str">
            <v>RJ</v>
          </cell>
          <cell r="M567" t="str">
            <v>02389-890</v>
          </cell>
          <cell r="N567" t="str">
            <v>Brazil</v>
          </cell>
        </row>
        <row r="568">
          <cell r="A568">
            <v>10814</v>
          </cell>
          <cell r="B568" t="str">
            <v>VICTE</v>
          </cell>
          <cell r="C568">
            <v>3</v>
          </cell>
          <cell r="D568">
            <v>35800</v>
          </cell>
          <cell r="E568">
            <v>35828</v>
          </cell>
          <cell r="F568">
            <v>35809</v>
          </cell>
          <cell r="G568">
            <v>3</v>
          </cell>
          <cell r="H568">
            <v>130.94</v>
          </cell>
          <cell r="I568" t="str">
            <v>Victuailles en stock</v>
          </cell>
          <cell r="J568" t="str">
            <v>2, rue du Commerce</v>
          </cell>
          <cell r="K568" t="str">
            <v>Lyon</v>
          </cell>
          <cell r="M568" t="str">
            <v>69004</v>
          </cell>
          <cell r="N568" t="str">
            <v>France</v>
          </cell>
        </row>
        <row r="569">
          <cell r="A569">
            <v>10815</v>
          </cell>
          <cell r="B569" t="str">
            <v>SAVEA</v>
          </cell>
          <cell r="C569">
            <v>2</v>
          </cell>
          <cell r="D569">
            <v>35800</v>
          </cell>
          <cell r="E569">
            <v>35828</v>
          </cell>
          <cell r="F569">
            <v>35809</v>
          </cell>
          <cell r="G569">
            <v>3</v>
          </cell>
          <cell r="H569">
            <v>14.62</v>
          </cell>
          <cell r="I569" t="str">
            <v>Save-a-lot Markets</v>
          </cell>
          <cell r="J569" t="str">
            <v>187 Suffolk Ln.</v>
          </cell>
          <cell r="K569" t="str">
            <v>Boise</v>
          </cell>
          <cell r="L569" t="str">
            <v>ID</v>
          </cell>
          <cell r="M569" t="str">
            <v>83720</v>
          </cell>
          <cell r="N569" t="str">
            <v>USA</v>
          </cell>
        </row>
        <row r="570">
          <cell r="A570">
            <v>10816</v>
          </cell>
          <cell r="B570" t="str">
            <v>GREAL</v>
          </cell>
          <cell r="C570">
            <v>4</v>
          </cell>
          <cell r="D570">
            <v>35801</v>
          </cell>
          <cell r="E570">
            <v>35829</v>
          </cell>
          <cell r="F570">
            <v>35830</v>
          </cell>
          <cell r="G570">
            <v>2</v>
          </cell>
          <cell r="H570">
            <v>719.78</v>
          </cell>
          <cell r="I570" t="str">
            <v>Great Lakes Food Market</v>
          </cell>
          <cell r="J570" t="str">
            <v>2732 Baker Blvd.</v>
          </cell>
          <cell r="K570" t="str">
            <v>Eugene</v>
          </cell>
          <cell r="L570" t="str">
            <v>OR</v>
          </cell>
          <cell r="M570" t="str">
            <v>97403</v>
          </cell>
          <cell r="N570" t="str">
            <v>USA</v>
          </cell>
        </row>
        <row r="571">
          <cell r="A571">
            <v>10817</v>
          </cell>
          <cell r="B571" t="str">
            <v>KOENE</v>
          </cell>
          <cell r="C571">
            <v>3</v>
          </cell>
          <cell r="D571">
            <v>35801</v>
          </cell>
          <cell r="E571">
            <v>35815</v>
          </cell>
          <cell r="F571">
            <v>35808</v>
          </cell>
          <cell r="G571">
            <v>2</v>
          </cell>
          <cell r="H571">
            <v>306.07</v>
          </cell>
          <cell r="I571" t="str">
            <v>Königlich Essen</v>
          </cell>
          <cell r="J571" t="str">
            <v>Maubelstr. 90</v>
          </cell>
          <cell r="K571" t="str">
            <v>Brandenburg</v>
          </cell>
          <cell r="M571" t="str">
            <v>14776</v>
          </cell>
          <cell r="N571" t="str">
            <v>Germany</v>
          </cell>
        </row>
        <row r="572">
          <cell r="A572">
            <v>10818</v>
          </cell>
          <cell r="B572" t="str">
            <v>MAGAA</v>
          </cell>
          <cell r="C572">
            <v>7</v>
          </cell>
          <cell r="D572">
            <v>35802</v>
          </cell>
          <cell r="E572">
            <v>35830</v>
          </cell>
          <cell r="F572">
            <v>35807</v>
          </cell>
          <cell r="G572">
            <v>3</v>
          </cell>
          <cell r="H572">
            <v>65.48</v>
          </cell>
          <cell r="I572" t="str">
            <v>Magazzini Alimentari Riuniti</v>
          </cell>
          <cell r="J572" t="str">
            <v>Via Ludovico il Moro 22</v>
          </cell>
          <cell r="K572" t="str">
            <v>Bergamo</v>
          </cell>
          <cell r="M572" t="str">
            <v>24100</v>
          </cell>
          <cell r="N572" t="str">
            <v>Italy</v>
          </cell>
        </row>
        <row r="573">
          <cell r="A573">
            <v>10819</v>
          </cell>
          <cell r="B573" t="str">
            <v>CACTU</v>
          </cell>
          <cell r="C573">
            <v>2</v>
          </cell>
          <cell r="D573">
            <v>35802</v>
          </cell>
          <cell r="E573">
            <v>35830</v>
          </cell>
          <cell r="F573">
            <v>35811</v>
          </cell>
          <cell r="G573">
            <v>3</v>
          </cell>
          <cell r="H573">
            <v>19.760000000000002</v>
          </cell>
          <cell r="I573" t="str">
            <v>Cactus Comidas para llevar</v>
          </cell>
          <cell r="J573" t="str">
            <v>Cerrito 333</v>
          </cell>
          <cell r="K573" t="str">
            <v>Buenos Aires</v>
          </cell>
          <cell r="M573" t="str">
            <v>1010</v>
          </cell>
          <cell r="N573" t="str">
            <v>Argentina</v>
          </cell>
        </row>
        <row r="574">
          <cell r="A574">
            <v>10820</v>
          </cell>
          <cell r="B574" t="str">
            <v>RATTC</v>
          </cell>
          <cell r="C574">
            <v>3</v>
          </cell>
          <cell r="D574">
            <v>35802</v>
          </cell>
          <cell r="E574">
            <v>35830</v>
          </cell>
          <cell r="F574">
            <v>35808</v>
          </cell>
          <cell r="G574">
            <v>2</v>
          </cell>
          <cell r="H574">
            <v>37.520000000000003</v>
          </cell>
          <cell r="I574" t="str">
            <v>Rattlesnake Canyon Grocery</v>
          </cell>
          <cell r="J574" t="str">
            <v>2817 Milton Dr.</v>
          </cell>
          <cell r="K574" t="str">
            <v>Albuquerque</v>
          </cell>
          <cell r="L574" t="str">
            <v>NM</v>
          </cell>
          <cell r="M574" t="str">
            <v>87110</v>
          </cell>
          <cell r="N574" t="str">
            <v>USA</v>
          </cell>
        </row>
        <row r="575">
          <cell r="A575">
            <v>10821</v>
          </cell>
          <cell r="B575" t="str">
            <v>SPLIR</v>
          </cell>
          <cell r="C575">
            <v>1</v>
          </cell>
          <cell r="D575">
            <v>35803</v>
          </cell>
          <cell r="E575">
            <v>35831</v>
          </cell>
          <cell r="F575">
            <v>35810</v>
          </cell>
          <cell r="G575">
            <v>1</v>
          </cell>
          <cell r="H575">
            <v>36.68</v>
          </cell>
          <cell r="I575" t="str">
            <v>Split Rail Beer &amp; Ale</v>
          </cell>
          <cell r="J575" t="str">
            <v>P.O. Box 555</v>
          </cell>
          <cell r="K575" t="str">
            <v>Lander</v>
          </cell>
          <cell r="L575" t="str">
            <v>WY</v>
          </cell>
          <cell r="M575" t="str">
            <v>82520</v>
          </cell>
          <cell r="N575" t="str">
            <v>USA</v>
          </cell>
        </row>
        <row r="576">
          <cell r="A576">
            <v>10822</v>
          </cell>
          <cell r="B576" t="str">
            <v>TRAIH</v>
          </cell>
          <cell r="C576">
            <v>6</v>
          </cell>
          <cell r="D576">
            <v>35803</v>
          </cell>
          <cell r="E576">
            <v>35831</v>
          </cell>
          <cell r="F576">
            <v>35811</v>
          </cell>
          <cell r="G576">
            <v>3</v>
          </cell>
          <cell r="H576">
            <v>7</v>
          </cell>
          <cell r="I576" t="str">
            <v>Trail's Head Gourmet Provisioners</v>
          </cell>
          <cell r="J576" t="str">
            <v>722 DaVinci Blvd.</v>
          </cell>
          <cell r="K576" t="str">
            <v>Kirkland</v>
          </cell>
          <cell r="L576" t="str">
            <v>WA</v>
          </cell>
          <cell r="M576" t="str">
            <v>98034</v>
          </cell>
          <cell r="N576" t="str">
            <v>USA</v>
          </cell>
        </row>
        <row r="577">
          <cell r="A577">
            <v>10823</v>
          </cell>
          <cell r="B577" t="str">
            <v>LILAS</v>
          </cell>
          <cell r="C577">
            <v>5</v>
          </cell>
          <cell r="D577">
            <v>35804</v>
          </cell>
          <cell r="E577">
            <v>35832</v>
          </cell>
          <cell r="F577">
            <v>35808</v>
          </cell>
          <cell r="G577">
            <v>2</v>
          </cell>
          <cell r="H577">
            <v>163.97</v>
          </cell>
          <cell r="I577" t="str">
            <v>LILA-Supermercado</v>
          </cell>
          <cell r="J577" t="str">
            <v>Carrera 52 con Ave. Bolívar #65-98 Llano Largo</v>
          </cell>
          <cell r="K577" t="str">
            <v>Barquisimeto</v>
          </cell>
          <cell r="L577" t="str">
            <v>Lara</v>
          </cell>
          <cell r="M577" t="str">
            <v>3508</v>
          </cell>
          <cell r="N577" t="str">
            <v>Venezuela</v>
          </cell>
        </row>
        <row r="578">
          <cell r="A578">
            <v>10824</v>
          </cell>
          <cell r="B578" t="str">
            <v>FOLKO</v>
          </cell>
          <cell r="C578">
            <v>8</v>
          </cell>
          <cell r="D578">
            <v>35804</v>
          </cell>
          <cell r="E578">
            <v>35832</v>
          </cell>
          <cell r="F578">
            <v>35825</v>
          </cell>
          <cell r="G578">
            <v>1</v>
          </cell>
          <cell r="H578">
            <v>1.23</v>
          </cell>
          <cell r="I578" t="str">
            <v>Folk och fä HB</v>
          </cell>
          <cell r="J578" t="str">
            <v>Åkergatan 24</v>
          </cell>
          <cell r="K578" t="str">
            <v>Bräcke</v>
          </cell>
          <cell r="M578" t="str">
            <v>S-844 67</v>
          </cell>
          <cell r="N578" t="str">
            <v>Sweden</v>
          </cell>
        </row>
        <row r="579">
          <cell r="A579">
            <v>10825</v>
          </cell>
          <cell r="B579" t="str">
            <v>DRACD</v>
          </cell>
          <cell r="C579">
            <v>1</v>
          </cell>
          <cell r="D579">
            <v>35804</v>
          </cell>
          <cell r="E579">
            <v>35832</v>
          </cell>
          <cell r="F579">
            <v>35809</v>
          </cell>
          <cell r="G579">
            <v>1</v>
          </cell>
          <cell r="H579">
            <v>79.25</v>
          </cell>
          <cell r="I579" t="str">
            <v>Drachenblut Delikatessen</v>
          </cell>
          <cell r="J579" t="str">
            <v>Walserweg 21</v>
          </cell>
          <cell r="K579" t="str">
            <v>Aachen</v>
          </cell>
          <cell r="M579" t="str">
            <v>52066</v>
          </cell>
          <cell r="N579" t="str">
            <v>Germany</v>
          </cell>
        </row>
        <row r="580">
          <cell r="A580">
            <v>10826</v>
          </cell>
          <cell r="B580" t="str">
            <v>BLONP</v>
          </cell>
          <cell r="C580">
            <v>6</v>
          </cell>
          <cell r="D580">
            <v>35807</v>
          </cell>
          <cell r="E580">
            <v>35835</v>
          </cell>
          <cell r="F580">
            <v>35832</v>
          </cell>
          <cell r="G580">
            <v>1</v>
          </cell>
          <cell r="H580">
            <v>7.09</v>
          </cell>
          <cell r="I580" t="str">
            <v>Blondel père et fils</v>
          </cell>
          <cell r="J580" t="str">
            <v>24, place Kléber</v>
          </cell>
          <cell r="K580" t="str">
            <v>Strasbourg</v>
          </cell>
          <cell r="M580" t="str">
            <v>67000</v>
          </cell>
          <cell r="N580" t="str">
            <v>France</v>
          </cell>
        </row>
        <row r="581">
          <cell r="A581">
            <v>10827</v>
          </cell>
          <cell r="B581" t="str">
            <v>BONAP</v>
          </cell>
          <cell r="C581">
            <v>1</v>
          </cell>
          <cell r="D581">
            <v>35807</v>
          </cell>
          <cell r="E581">
            <v>35821</v>
          </cell>
          <cell r="F581">
            <v>35832</v>
          </cell>
          <cell r="G581">
            <v>2</v>
          </cell>
          <cell r="H581">
            <v>63.54</v>
          </cell>
          <cell r="I581" t="str">
            <v>Bon app'</v>
          </cell>
          <cell r="J581" t="str">
            <v>12, rue des Bouchers</v>
          </cell>
          <cell r="K581" t="str">
            <v>Marseille</v>
          </cell>
          <cell r="M581" t="str">
            <v>13008</v>
          </cell>
          <cell r="N581" t="str">
            <v>France</v>
          </cell>
        </row>
        <row r="582">
          <cell r="A582">
            <v>10828</v>
          </cell>
          <cell r="B582" t="str">
            <v>RANCH</v>
          </cell>
          <cell r="C582">
            <v>9</v>
          </cell>
          <cell r="D582">
            <v>35808</v>
          </cell>
          <cell r="E582">
            <v>35822</v>
          </cell>
          <cell r="F582">
            <v>35830</v>
          </cell>
          <cell r="G582">
            <v>1</v>
          </cell>
          <cell r="H582">
            <v>90.85</v>
          </cell>
          <cell r="I582" t="str">
            <v>Rancho grande</v>
          </cell>
          <cell r="J582" t="str">
            <v>Av. del Libertador 900</v>
          </cell>
          <cell r="K582" t="str">
            <v>Buenos Aires</v>
          </cell>
          <cell r="M582" t="str">
            <v>1010</v>
          </cell>
          <cell r="N582" t="str">
            <v>Argentina</v>
          </cell>
        </row>
        <row r="583">
          <cell r="A583">
            <v>10829</v>
          </cell>
          <cell r="B583" t="str">
            <v>ISLAT</v>
          </cell>
          <cell r="C583">
            <v>9</v>
          </cell>
          <cell r="D583">
            <v>35808</v>
          </cell>
          <cell r="E583">
            <v>35836</v>
          </cell>
          <cell r="F583">
            <v>35818</v>
          </cell>
          <cell r="G583">
            <v>1</v>
          </cell>
          <cell r="H583">
            <v>154.72</v>
          </cell>
          <cell r="I583" t="str">
            <v>Island Trading</v>
          </cell>
          <cell r="J583" t="str">
            <v>Garden House Crowther Way</v>
          </cell>
          <cell r="K583" t="str">
            <v>Cowes</v>
          </cell>
          <cell r="L583" t="str">
            <v>Isle of Wight</v>
          </cell>
          <cell r="M583" t="str">
            <v>PO31 7PJ</v>
          </cell>
          <cell r="N583" t="str">
            <v>UK</v>
          </cell>
        </row>
        <row r="584">
          <cell r="A584">
            <v>10830</v>
          </cell>
          <cell r="B584" t="str">
            <v>TRADH</v>
          </cell>
          <cell r="C584">
            <v>4</v>
          </cell>
          <cell r="D584">
            <v>35808</v>
          </cell>
          <cell r="E584">
            <v>35850</v>
          </cell>
          <cell r="F584">
            <v>35816</v>
          </cell>
          <cell r="G584">
            <v>2</v>
          </cell>
          <cell r="H584">
            <v>81.83</v>
          </cell>
          <cell r="I584" t="str">
            <v>Tradiçao Hipermercados</v>
          </cell>
          <cell r="J584" t="str">
            <v>Av. Inês de Castro, 414</v>
          </cell>
          <cell r="K584" t="str">
            <v>Sao Paulo</v>
          </cell>
          <cell r="L584" t="str">
            <v>SP</v>
          </cell>
          <cell r="M584" t="str">
            <v>05634-030</v>
          </cell>
          <cell r="N584" t="str">
            <v>Brazil</v>
          </cell>
        </row>
        <row r="585">
          <cell r="A585">
            <v>10831</v>
          </cell>
          <cell r="B585" t="str">
            <v>SANTG</v>
          </cell>
          <cell r="C585">
            <v>3</v>
          </cell>
          <cell r="D585">
            <v>35809</v>
          </cell>
          <cell r="E585">
            <v>35837</v>
          </cell>
          <cell r="F585">
            <v>35818</v>
          </cell>
          <cell r="G585">
            <v>2</v>
          </cell>
          <cell r="H585">
            <v>72.19</v>
          </cell>
          <cell r="I585" t="str">
            <v>Santé Gourmet</v>
          </cell>
          <cell r="J585" t="str">
            <v>Erling Skakkes gate 78</v>
          </cell>
          <cell r="K585" t="str">
            <v>Stavern</v>
          </cell>
          <cell r="M585" t="str">
            <v>4110</v>
          </cell>
          <cell r="N585" t="str">
            <v>Norway</v>
          </cell>
        </row>
        <row r="586">
          <cell r="A586">
            <v>10832</v>
          </cell>
          <cell r="B586" t="str">
            <v>LAMAI</v>
          </cell>
          <cell r="C586">
            <v>2</v>
          </cell>
          <cell r="D586">
            <v>35809</v>
          </cell>
          <cell r="E586">
            <v>35837</v>
          </cell>
          <cell r="F586">
            <v>35814</v>
          </cell>
          <cell r="G586">
            <v>2</v>
          </cell>
          <cell r="H586">
            <v>43.26</v>
          </cell>
          <cell r="I586" t="str">
            <v>La maison d'Asie</v>
          </cell>
          <cell r="J586" t="str">
            <v>1 rue Alsace-Lorraine</v>
          </cell>
          <cell r="K586" t="str">
            <v>Toulouse</v>
          </cell>
          <cell r="M586" t="str">
            <v>31000</v>
          </cell>
          <cell r="N586" t="str">
            <v>France</v>
          </cell>
        </row>
        <row r="587">
          <cell r="A587">
            <v>10833</v>
          </cell>
          <cell r="B587" t="str">
            <v>OTTIK</v>
          </cell>
          <cell r="C587">
            <v>6</v>
          </cell>
          <cell r="D587">
            <v>35810</v>
          </cell>
          <cell r="E587">
            <v>35838</v>
          </cell>
          <cell r="F587">
            <v>35818</v>
          </cell>
          <cell r="G587">
            <v>2</v>
          </cell>
          <cell r="H587">
            <v>71.489999999999995</v>
          </cell>
          <cell r="I587" t="str">
            <v>Ottilies Käseladen</v>
          </cell>
          <cell r="J587" t="str">
            <v>Mehrheimerstr. 369</v>
          </cell>
          <cell r="K587" t="str">
            <v>Köln</v>
          </cell>
          <cell r="M587" t="str">
            <v>50739</v>
          </cell>
          <cell r="N587" t="str">
            <v>Germany</v>
          </cell>
        </row>
        <row r="588">
          <cell r="A588">
            <v>10834</v>
          </cell>
          <cell r="B588" t="str">
            <v>TRADH</v>
          </cell>
          <cell r="C588">
            <v>1</v>
          </cell>
          <cell r="D588">
            <v>35810</v>
          </cell>
          <cell r="E588">
            <v>35838</v>
          </cell>
          <cell r="F588">
            <v>35814</v>
          </cell>
          <cell r="G588">
            <v>3</v>
          </cell>
          <cell r="H588">
            <v>29.78</v>
          </cell>
          <cell r="I588" t="str">
            <v>Tradiçao Hipermercados</v>
          </cell>
          <cell r="J588" t="str">
            <v>Av. Inês de Castro, 414</v>
          </cell>
          <cell r="K588" t="str">
            <v>Sao Paulo</v>
          </cell>
          <cell r="L588" t="str">
            <v>SP</v>
          </cell>
          <cell r="M588" t="str">
            <v>05634-030</v>
          </cell>
          <cell r="N588" t="str">
            <v>Brazil</v>
          </cell>
        </row>
        <row r="589">
          <cell r="A589">
            <v>10835</v>
          </cell>
          <cell r="B589" t="str">
            <v>ALFKI</v>
          </cell>
          <cell r="C589">
            <v>1</v>
          </cell>
          <cell r="D589">
            <v>35810</v>
          </cell>
          <cell r="E589">
            <v>35838</v>
          </cell>
          <cell r="F589">
            <v>35816</v>
          </cell>
          <cell r="G589">
            <v>3</v>
          </cell>
          <cell r="H589">
            <v>69.53</v>
          </cell>
          <cell r="I589" t="str">
            <v>Alfred's Futterkiste</v>
          </cell>
          <cell r="J589" t="str">
            <v>Obere Str. 57</v>
          </cell>
          <cell r="K589" t="str">
            <v>Berlin</v>
          </cell>
          <cell r="M589" t="str">
            <v>12209</v>
          </cell>
          <cell r="N589" t="str">
            <v>Germany</v>
          </cell>
        </row>
        <row r="590">
          <cell r="A590">
            <v>10836</v>
          </cell>
          <cell r="B590" t="str">
            <v>ERNSH</v>
          </cell>
          <cell r="C590">
            <v>7</v>
          </cell>
          <cell r="D590">
            <v>35811</v>
          </cell>
          <cell r="E590">
            <v>35839</v>
          </cell>
          <cell r="F590">
            <v>35816</v>
          </cell>
          <cell r="G590">
            <v>1</v>
          </cell>
          <cell r="H590">
            <v>411.88</v>
          </cell>
          <cell r="I590" t="str">
            <v>Ernst Handel</v>
          </cell>
          <cell r="J590" t="str">
            <v>Kirchgasse 6</v>
          </cell>
          <cell r="K590" t="str">
            <v>Graz</v>
          </cell>
          <cell r="M590" t="str">
            <v>8010</v>
          </cell>
          <cell r="N590" t="str">
            <v>Austria</v>
          </cell>
        </row>
        <row r="591">
          <cell r="A591">
            <v>10837</v>
          </cell>
          <cell r="B591" t="str">
            <v>BERGS</v>
          </cell>
          <cell r="C591">
            <v>9</v>
          </cell>
          <cell r="D591">
            <v>35811</v>
          </cell>
          <cell r="E591">
            <v>35839</v>
          </cell>
          <cell r="F591">
            <v>35818</v>
          </cell>
          <cell r="G591">
            <v>3</v>
          </cell>
          <cell r="H591">
            <v>13.32</v>
          </cell>
          <cell r="I591" t="str">
            <v>Berglunds snabbköp</v>
          </cell>
          <cell r="J591" t="str">
            <v>Berguvsvägen  8</v>
          </cell>
          <cell r="K591" t="str">
            <v>Luleå</v>
          </cell>
          <cell r="M591" t="str">
            <v>S-958 22</v>
          </cell>
          <cell r="N591" t="str">
            <v>Sweden</v>
          </cell>
        </row>
        <row r="592">
          <cell r="A592">
            <v>10838</v>
          </cell>
          <cell r="B592" t="str">
            <v>LINOD</v>
          </cell>
          <cell r="C592">
            <v>3</v>
          </cell>
          <cell r="D592">
            <v>35814</v>
          </cell>
          <cell r="E592">
            <v>35842</v>
          </cell>
          <cell r="F592">
            <v>35818</v>
          </cell>
          <cell r="G592">
            <v>3</v>
          </cell>
          <cell r="H592">
            <v>59.28</v>
          </cell>
          <cell r="I592" t="str">
            <v>LINO-Delicateses</v>
          </cell>
          <cell r="J592" t="str">
            <v>Ave. 5 de Mayo Porlamar</v>
          </cell>
          <cell r="K592" t="str">
            <v>I. de Margarita</v>
          </cell>
          <cell r="L592" t="str">
            <v>Nueva Esparta</v>
          </cell>
          <cell r="M592" t="str">
            <v>4980</v>
          </cell>
          <cell r="N592" t="str">
            <v>Venezuela</v>
          </cell>
        </row>
        <row r="593">
          <cell r="A593">
            <v>10839</v>
          </cell>
          <cell r="B593" t="str">
            <v>TRADH</v>
          </cell>
          <cell r="C593">
            <v>3</v>
          </cell>
          <cell r="D593">
            <v>35814</v>
          </cell>
          <cell r="E593">
            <v>35842</v>
          </cell>
          <cell r="F593">
            <v>35817</v>
          </cell>
          <cell r="G593">
            <v>3</v>
          </cell>
          <cell r="H593">
            <v>35.43</v>
          </cell>
          <cell r="I593" t="str">
            <v>Tradiçao Hipermercados</v>
          </cell>
          <cell r="J593" t="str">
            <v>Av. Inês de Castro, 414</v>
          </cell>
          <cell r="K593" t="str">
            <v>Sao Paulo</v>
          </cell>
          <cell r="L593" t="str">
            <v>SP</v>
          </cell>
          <cell r="M593" t="str">
            <v>05634-030</v>
          </cell>
          <cell r="N593" t="str">
            <v>Brazil</v>
          </cell>
        </row>
        <row r="594">
          <cell r="A594">
            <v>10840</v>
          </cell>
          <cell r="B594" t="str">
            <v>LINOD</v>
          </cell>
          <cell r="C594">
            <v>4</v>
          </cell>
          <cell r="D594">
            <v>35814</v>
          </cell>
          <cell r="E594">
            <v>35856</v>
          </cell>
          <cell r="F594">
            <v>35842</v>
          </cell>
          <cell r="G594">
            <v>2</v>
          </cell>
          <cell r="H594">
            <v>2.71</v>
          </cell>
          <cell r="I594" t="str">
            <v>LINO-Delicateses</v>
          </cell>
          <cell r="J594" t="str">
            <v>Ave. 5 de Mayo Porlamar</v>
          </cell>
          <cell r="K594" t="str">
            <v>I. de Margarita</v>
          </cell>
          <cell r="L594" t="str">
            <v>Nueva Esparta</v>
          </cell>
          <cell r="M594" t="str">
            <v>4980</v>
          </cell>
          <cell r="N594" t="str">
            <v>Venezuela</v>
          </cell>
        </row>
        <row r="595">
          <cell r="A595">
            <v>10841</v>
          </cell>
          <cell r="B595" t="str">
            <v>SUPRD</v>
          </cell>
          <cell r="C595">
            <v>5</v>
          </cell>
          <cell r="D595">
            <v>35815</v>
          </cell>
          <cell r="E595">
            <v>35843</v>
          </cell>
          <cell r="F595">
            <v>35824</v>
          </cell>
          <cell r="G595">
            <v>2</v>
          </cell>
          <cell r="H595">
            <v>424.3</v>
          </cell>
          <cell r="I595" t="str">
            <v>Suprêmes délices</v>
          </cell>
          <cell r="J595" t="str">
            <v>Boulevard Tirou, 255</v>
          </cell>
          <cell r="K595" t="str">
            <v>Charleroi</v>
          </cell>
          <cell r="M595" t="str">
            <v>B-6000</v>
          </cell>
          <cell r="N595" t="str">
            <v>Belgium</v>
          </cell>
        </row>
        <row r="596">
          <cell r="A596">
            <v>10842</v>
          </cell>
          <cell r="B596" t="str">
            <v>TORTU</v>
          </cell>
          <cell r="C596">
            <v>1</v>
          </cell>
          <cell r="D596">
            <v>35815</v>
          </cell>
          <cell r="E596">
            <v>35843</v>
          </cell>
          <cell r="F596">
            <v>35824</v>
          </cell>
          <cell r="G596">
            <v>3</v>
          </cell>
          <cell r="H596">
            <v>54.42</v>
          </cell>
          <cell r="I596" t="str">
            <v>Tortuga Restaurante</v>
          </cell>
          <cell r="J596" t="str">
            <v>Avda. Azteca 123</v>
          </cell>
          <cell r="K596" t="str">
            <v>México D.F.</v>
          </cell>
          <cell r="M596" t="str">
            <v>05033</v>
          </cell>
          <cell r="N596" t="str">
            <v>Mexico</v>
          </cell>
        </row>
        <row r="597">
          <cell r="A597">
            <v>10843</v>
          </cell>
          <cell r="B597" t="str">
            <v>VICTE</v>
          </cell>
          <cell r="C597">
            <v>4</v>
          </cell>
          <cell r="D597">
            <v>35816</v>
          </cell>
          <cell r="E597">
            <v>35844</v>
          </cell>
          <cell r="F597">
            <v>35821</v>
          </cell>
          <cell r="G597">
            <v>2</v>
          </cell>
          <cell r="H597">
            <v>9.26</v>
          </cell>
          <cell r="I597" t="str">
            <v>Victuailles en stock</v>
          </cell>
          <cell r="J597" t="str">
            <v>2, rue du Commerce</v>
          </cell>
          <cell r="K597" t="str">
            <v>Lyon</v>
          </cell>
          <cell r="M597" t="str">
            <v>69004</v>
          </cell>
          <cell r="N597" t="str">
            <v>France</v>
          </cell>
        </row>
        <row r="598">
          <cell r="A598">
            <v>10844</v>
          </cell>
          <cell r="B598" t="str">
            <v>PICCO</v>
          </cell>
          <cell r="C598">
            <v>8</v>
          </cell>
          <cell r="D598">
            <v>35816</v>
          </cell>
          <cell r="E598">
            <v>35844</v>
          </cell>
          <cell r="F598">
            <v>35821</v>
          </cell>
          <cell r="G598">
            <v>2</v>
          </cell>
          <cell r="H598">
            <v>25.22</v>
          </cell>
          <cell r="I598" t="str">
            <v>Piccolo und mehr</v>
          </cell>
          <cell r="J598" t="str">
            <v>Geislweg 14</v>
          </cell>
          <cell r="K598" t="str">
            <v>Salzburg</v>
          </cell>
          <cell r="M598" t="str">
            <v>5020</v>
          </cell>
          <cell r="N598" t="str">
            <v>Austria</v>
          </cell>
        </row>
        <row r="599">
          <cell r="A599">
            <v>10845</v>
          </cell>
          <cell r="B599" t="str">
            <v>QUICK</v>
          </cell>
          <cell r="C599">
            <v>8</v>
          </cell>
          <cell r="D599">
            <v>35816</v>
          </cell>
          <cell r="E599">
            <v>35830</v>
          </cell>
          <cell r="F599">
            <v>35825</v>
          </cell>
          <cell r="G599">
            <v>1</v>
          </cell>
          <cell r="H599">
            <v>212.98</v>
          </cell>
          <cell r="I599" t="str">
            <v>QUICK-Stop</v>
          </cell>
          <cell r="J599" t="str">
            <v>Taucherstraße 10</v>
          </cell>
          <cell r="K599" t="str">
            <v>Cunewalde</v>
          </cell>
          <cell r="M599" t="str">
            <v>01307</v>
          </cell>
          <cell r="N599" t="str">
            <v>Germany</v>
          </cell>
        </row>
        <row r="600">
          <cell r="A600">
            <v>10846</v>
          </cell>
          <cell r="B600" t="str">
            <v>SUPRD</v>
          </cell>
          <cell r="C600">
            <v>2</v>
          </cell>
          <cell r="D600">
            <v>35817</v>
          </cell>
          <cell r="E600">
            <v>35859</v>
          </cell>
          <cell r="F600">
            <v>35818</v>
          </cell>
          <cell r="G600">
            <v>3</v>
          </cell>
          <cell r="H600">
            <v>56.46</v>
          </cell>
          <cell r="I600" t="str">
            <v>Suprêmes délices</v>
          </cell>
          <cell r="J600" t="str">
            <v>Boulevard Tirou, 255</v>
          </cell>
          <cell r="K600" t="str">
            <v>Charleroi</v>
          </cell>
          <cell r="M600" t="str">
            <v>B-6000</v>
          </cell>
          <cell r="N600" t="str">
            <v>Belgium</v>
          </cell>
        </row>
        <row r="601">
          <cell r="A601">
            <v>10847</v>
          </cell>
          <cell r="B601" t="str">
            <v>SAVEA</v>
          </cell>
          <cell r="C601">
            <v>4</v>
          </cell>
          <cell r="D601">
            <v>35817</v>
          </cell>
          <cell r="E601">
            <v>35831</v>
          </cell>
          <cell r="F601">
            <v>35836</v>
          </cell>
          <cell r="G601">
            <v>3</v>
          </cell>
          <cell r="H601">
            <v>487.57</v>
          </cell>
          <cell r="I601" t="str">
            <v>Save-a-lot Markets</v>
          </cell>
          <cell r="J601" t="str">
            <v>187 Suffolk Ln.</v>
          </cell>
          <cell r="K601" t="str">
            <v>Boise</v>
          </cell>
          <cell r="L601" t="str">
            <v>ID</v>
          </cell>
          <cell r="M601" t="str">
            <v>83720</v>
          </cell>
          <cell r="N601" t="str">
            <v>USA</v>
          </cell>
        </row>
        <row r="602">
          <cell r="A602">
            <v>10848</v>
          </cell>
          <cell r="B602" t="str">
            <v>CONSH</v>
          </cell>
          <cell r="C602">
            <v>7</v>
          </cell>
          <cell r="D602">
            <v>35818</v>
          </cell>
          <cell r="E602">
            <v>35846</v>
          </cell>
          <cell r="F602">
            <v>35824</v>
          </cell>
          <cell r="G602">
            <v>2</v>
          </cell>
          <cell r="H602">
            <v>38.24</v>
          </cell>
          <cell r="I602" t="str">
            <v>Consolidated Holdings</v>
          </cell>
          <cell r="J602" t="str">
            <v>Berkeley Gardens 12  Brewery</v>
          </cell>
          <cell r="K602" t="str">
            <v>London</v>
          </cell>
          <cell r="M602" t="str">
            <v>WX1 6LT</v>
          </cell>
          <cell r="N602" t="str">
            <v>UK</v>
          </cell>
        </row>
        <row r="603">
          <cell r="A603">
            <v>10849</v>
          </cell>
          <cell r="B603" t="str">
            <v>KOENE</v>
          </cell>
          <cell r="C603">
            <v>9</v>
          </cell>
          <cell r="D603">
            <v>35818</v>
          </cell>
          <cell r="E603">
            <v>35846</v>
          </cell>
          <cell r="F603">
            <v>35825</v>
          </cell>
          <cell r="G603">
            <v>2</v>
          </cell>
          <cell r="H603">
            <v>0.56000000000000005</v>
          </cell>
          <cell r="I603" t="str">
            <v>Königlich Essen</v>
          </cell>
          <cell r="J603" t="str">
            <v>Maubelstr. 90</v>
          </cell>
          <cell r="K603" t="str">
            <v>Brandenburg</v>
          </cell>
          <cell r="M603" t="str">
            <v>14776</v>
          </cell>
          <cell r="N603" t="str">
            <v>Germany</v>
          </cell>
        </row>
        <row r="604">
          <cell r="A604">
            <v>10850</v>
          </cell>
          <cell r="B604" t="str">
            <v>VICTE</v>
          </cell>
          <cell r="C604">
            <v>1</v>
          </cell>
          <cell r="D604">
            <v>35818</v>
          </cell>
          <cell r="E604">
            <v>35860</v>
          </cell>
          <cell r="F604">
            <v>35825</v>
          </cell>
          <cell r="G604">
            <v>1</v>
          </cell>
          <cell r="H604">
            <v>49.19</v>
          </cell>
          <cell r="I604" t="str">
            <v>Victuailles en stock</v>
          </cell>
          <cell r="J604" t="str">
            <v>2, rue du Commerce</v>
          </cell>
          <cell r="K604" t="str">
            <v>Lyon</v>
          </cell>
          <cell r="M604" t="str">
            <v>69004</v>
          </cell>
          <cell r="N604" t="str">
            <v>France</v>
          </cell>
        </row>
        <row r="605">
          <cell r="A605">
            <v>10851</v>
          </cell>
          <cell r="B605" t="str">
            <v>RICAR</v>
          </cell>
          <cell r="C605">
            <v>5</v>
          </cell>
          <cell r="D605">
            <v>35821</v>
          </cell>
          <cell r="E605">
            <v>35849</v>
          </cell>
          <cell r="F605">
            <v>35828</v>
          </cell>
          <cell r="G605">
            <v>1</v>
          </cell>
          <cell r="H605">
            <v>160.55000000000001</v>
          </cell>
          <cell r="I605" t="str">
            <v>Ricardo Adocicados</v>
          </cell>
          <cell r="J605" t="str">
            <v>Av. Copacabana, 267</v>
          </cell>
          <cell r="K605" t="str">
            <v>Rio de Janeiro</v>
          </cell>
          <cell r="L605" t="str">
            <v>RJ</v>
          </cell>
          <cell r="M605" t="str">
            <v>02389-890</v>
          </cell>
          <cell r="N605" t="str">
            <v>Brazil</v>
          </cell>
        </row>
        <row r="606">
          <cell r="A606">
            <v>10852</v>
          </cell>
          <cell r="B606" t="str">
            <v>RATTC</v>
          </cell>
          <cell r="C606">
            <v>8</v>
          </cell>
          <cell r="D606">
            <v>35821</v>
          </cell>
          <cell r="E606">
            <v>35835</v>
          </cell>
          <cell r="F606">
            <v>35825</v>
          </cell>
          <cell r="G606">
            <v>1</v>
          </cell>
          <cell r="H606">
            <v>174.05</v>
          </cell>
          <cell r="I606" t="str">
            <v>Rattlesnake Canyon Grocery</v>
          </cell>
          <cell r="J606" t="str">
            <v>2817 Milton Dr.</v>
          </cell>
          <cell r="K606" t="str">
            <v>Albuquerque</v>
          </cell>
          <cell r="L606" t="str">
            <v>NM</v>
          </cell>
          <cell r="M606" t="str">
            <v>87110</v>
          </cell>
          <cell r="N606" t="str">
            <v>USA</v>
          </cell>
        </row>
        <row r="607">
          <cell r="A607">
            <v>10853</v>
          </cell>
          <cell r="B607" t="str">
            <v>BLAUS</v>
          </cell>
          <cell r="C607">
            <v>9</v>
          </cell>
          <cell r="D607">
            <v>35822</v>
          </cell>
          <cell r="E607">
            <v>35850</v>
          </cell>
          <cell r="F607">
            <v>35829</v>
          </cell>
          <cell r="G607">
            <v>2</v>
          </cell>
          <cell r="H607">
            <v>53.83</v>
          </cell>
          <cell r="I607" t="str">
            <v>Blauer See Delikatessen</v>
          </cell>
          <cell r="J607" t="str">
            <v>Forsterstr. 57</v>
          </cell>
          <cell r="K607" t="str">
            <v>Mannheim</v>
          </cell>
          <cell r="M607" t="str">
            <v>68306</v>
          </cell>
          <cell r="N607" t="str">
            <v>Germany</v>
          </cell>
        </row>
        <row r="608">
          <cell r="A608">
            <v>10854</v>
          </cell>
          <cell r="B608" t="str">
            <v>ERNSH</v>
          </cell>
          <cell r="C608">
            <v>3</v>
          </cell>
          <cell r="D608">
            <v>35822</v>
          </cell>
          <cell r="E608">
            <v>35850</v>
          </cell>
          <cell r="F608">
            <v>35831</v>
          </cell>
          <cell r="G608">
            <v>2</v>
          </cell>
          <cell r="H608">
            <v>100.22</v>
          </cell>
          <cell r="I608" t="str">
            <v>Ernst Handel</v>
          </cell>
          <cell r="J608" t="str">
            <v>Kirchgasse 6</v>
          </cell>
          <cell r="K608" t="str">
            <v>Graz</v>
          </cell>
          <cell r="M608" t="str">
            <v>8010</v>
          </cell>
          <cell r="N608" t="str">
            <v>Austria</v>
          </cell>
        </row>
        <row r="609">
          <cell r="A609">
            <v>10855</v>
          </cell>
          <cell r="B609" t="str">
            <v>OLDWO</v>
          </cell>
          <cell r="C609">
            <v>3</v>
          </cell>
          <cell r="D609">
            <v>35822</v>
          </cell>
          <cell r="E609">
            <v>35850</v>
          </cell>
          <cell r="F609">
            <v>35830</v>
          </cell>
          <cell r="G609">
            <v>1</v>
          </cell>
          <cell r="H609">
            <v>170.97</v>
          </cell>
          <cell r="I609" t="str">
            <v>Old World Delicatessen</v>
          </cell>
          <cell r="J609" t="str">
            <v>2743 Bering St.</v>
          </cell>
          <cell r="K609" t="str">
            <v>Anchorage</v>
          </cell>
          <cell r="L609" t="str">
            <v>AK</v>
          </cell>
          <cell r="M609" t="str">
            <v>99508</v>
          </cell>
          <cell r="N609" t="str">
            <v>USA</v>
          </cell>
        </row>
        <row r="610">
          <cell r="A610">
            <v>10856</v>
          </cell>
          <cell r="B610" t="str">
            <v>ANTON</v>
          </cell>
          <cell r="C610">
            <v>3</v>
          </cell>
          <cell r="D610">
            <v>35823</v>
          </cell>
          <cell r="E610">
            <v>35851</v>
          </cell>
          <cell r="F610">
            <v>35836</v>
          </cell>
          <cell r="G610">
            <v>2</v>
          </cell>
          <cell r="H610">
            <v>58.43</v>
          </cell>
          <cell r="I610" t="str">
            <v>Antonio Moreno Taquería</v>
          </cell>
          <cell r="J610" t="str">
            <v>Mataderos  2312</v>
          </cell>
          <cell r="K610" t="str">
            <v>México D.F.</v>
          </cell>
          <cell r="M610" t="str">
            <v>05023</v>
          </cell>
          <cell r="N610" t="str">
            <v>Mexico</v>
          </cell>
        </row>
        <row r="611">
          <cell r="A611">
            <v>10857</v>
          </cell>
          <cell r="B611" t="str">
            <v>BERGS</v>
          </cell>
          <cell r="C611">
            <v>8</v>
          </cell>
          <cell r="D611">
            <v>35823</v>
          </cell>
          <cell r="E611">
            <v>35851</v>
          </cell>
          <cell r="F611">
            <v>35832</v>
          </cell>
          <cell r="G611">
            <v>2</v>
          </cell>
          <cell r="H611">
            <v>188.85</v>
          </cell>
          <cell r="I611" t="str">
            <v>Berglunds snabbköp</v>
          </cell>
          <cell r="J611" t="str">
            <v>Berguvsvägen  8</v>
          </cell>
          <cell r="K611" t="str">
            <v>Luleå</v>
          </cell>
          <cell r="M611" t="str">
            <v>S-958 22</v>
          </cell>
          <cell r="N611" t="str">
            <v>Sweden</v>
          </cell>
        </row>
        <row r="612">
          <cell r="A612">
            <v>10858</v>
          </cell>
          <cell r="B612" t="str">
            <v>LACOR</v>
          </cell>
          <cell r="C612">
            <v>2</v>
          </cell>
          <cell r="D612">
            <v>35824</v>
          </cell>
          <cell r="E612">
            <v>35852</v>
          </cell>
          <cell r="F612">
            <v>35829</v>
          </cell>
          <cell r="G612">
            <v>1</v>
          </cell>
          <cell r="H612">
            <v>52.51</v>
          </cell>
          <cell r="I612" t="str">
            <v>La corne d'abondance</v>
          </cell>
          <cell r="J612" t="str">
            <v>67, avenue de l'Europe</v>
          </cell>
          <cell r="K612" t="str">
            <v>Versailles</v>
          </cell>
          <cell r="M612" t="str">
            <v>78000</v>
          </cell>
          <cell r="N612" t="str">
            <v>France</v>
          </cell>
        </row>
        <row r="613">
          <cell r="A613">
            <v>10859</v>
          </cell>
          <cell r="B613" t="str">
            <v>FRANK</v>
          </cell>
          <cell r="C613">
            <v>1</v>
          </cell>
          <cell r="D613">
            <v>35824</v>
          </cell>
          <cell r="E613">
            <v>35852</v>
          </cell>
          <cell r="F613">
            <v>35828</v>
          </cell>
          <cell r="G613">
            <v>2</v>
          </cell>
          <cell r="H613">
            <v>76.099999999999994</v>
          </cell>
          <cell r="I613" t="str">
            <v>Frankenversand</v>
          </cell>
          <cell r="J613" t="str">
            <v>Berliner Platz 43</v>
          </cell>
          <cell r="K613" t="str">
            <v>München</v>
          </cell>
          <cell r="M613" t="str">
            <v>80805</v>
          </cell>
          <cell r="N613" t="str">
            <v>Germany</v>
          </cell>
        </row>
        <row r="614">
          <cell r="A614">
            <v>10860</v>
          </cell>
          <cell r="B614" t="str">
            <v>FRANR</v>
          </cell>
          <cell r="C614">
            <v>3</v>
          </cell>
          <cell r="D614">
            <v>35824</v>
          </cell>
          <cell r="E614">
            <v>35852</v>
          </cell>
          <cell r="F614">
            <v>35830</v>
          </cell>
          <cell r="G614">
            <v>3</v>
          </cell>
          <cell r="H614">
            <v>19.260000000000002</v>
          </cell>
          <cell r="I614" t="str">
            <v>France restauration</v>
          </cell>
          <cell r="J614" t="str">
            <v>54, rue Royale</v>
          </cell>
          <cell r="K614" t="str">
            <v>Nantes</v>
          </cell>
          <cell r="M614" t="str">
            <v>44000</v>
          </cell>
          <cell r="N614" t="str">
            <v>France</v>
          </cell>
        </row>
        <row r="615">
          <cell r="A615">
            <v>10861</v>
          </cell>
          <cell r="B615" t="str">
            <v>WHITC</v>
          </cell>
          <cell r="C615">
            <v>4</v>
          </cell>
          <cell r="D615">
            <v>35825</v>
          </cell>
          <cell r="E615">
            <v>35853</v>
          </cell>
          <cell r="F615">
            <v>35843</v>
          </cell>
          <cell r="G615">
            <v>2</v>
          </cell>
          <cell r="H615">
            <v>14.93</v>
          </cell>
          <cell r="I615" t="str">
            <v>White Clover Markets</v>
          </cell>
          <cell r="J615" t="str">
            <v>1029 - 12th Ave. S.</v>
          </cell>
          <cell r="K615" t="str">
            <v>Seattle</v>
          </cell>
          <cell r="L615" t="str">
            <v>WA</v>
          </cell>
          <cell r="M615" t="str">
            <v>98124</v>
          </cell>
          <cell r="N615" t="str">
            <v>USA</v>
          </cell>
        </row>
        <row r="616">
          <cell r="A616">
            <v>10862</v>
          </cell>
          <cell r="B616" t="str">
            <v>LEHMS</v>
          </cell>
          <cell r="C616">
            <v>8</v>
          </cell>
          <cell r="D616">
            <v>35825</v>
          </cell>
          <cell r="E616">
            <v>35867</v>
          </cell>
          <cell r="F616">
            <v>35828</v>
          </cell>
          <cell r="G616">
            <v>2</v>
          </cell>
          <cell r="H616">
            <v>53.23</v>
          </cell>
          <cell r="I616" t="str">
            <v>Lehmanns Marktstand</v>
          </cell>
          <cell r="J616" t="str">
            <v>Magazinweg 7</v>
          </cell>
          <cell r="K616" t="str">
            <v>Frankfurt a.M.</v>
          </cell>
          <cell r="M616" t="str">
            <v>60528</v>
          </cell>
          <cell r="N616" t="str">
            <v>Germany</v>
          </cell>
        </row>
        <row r="617">
          <cell r="A617">
            <v>10863</v>
          </cell>
          <cell r="B617" t="str">
            <v>HILAA</v>
          </cell>
          <cell r="C617">
            <v>4</v>
          </cell>
          <cell r="D617">
            <v>35828</v>
          </cell>
          <cell r="E617">
            <v>35856</v>
          </cell>
          <cell r="F617">
            <v>35843</v>
          </cell>
          <cell r="G617">
            <v>2</v>
          </cell>
          <cell r="H617">
            <v>30.26</v>
          </cell>
          <cell r="I617" t="str">
            <v>HILARION-Abastos</v>
          </cell>
          <cell r="J617" t="str">
            <v>Carrera 22 con Ave. Carlos Soublette #8-35</v>
          </cell>
          <cell r="K617" t="str">
            <v>San Cristóbal</v>
          </cell>
          <cell r="L617" t="str">
            <v>Táchira</v>
          </cell>
          <cell r="M617" t="str">
            <v>5022</v>
          </cell>
          <cell r="N617" t="str">
            <v>Venezuela</v>
          </cell>
        </row>
        <row r="618">
          <cell r="A618">
            <v>10864</v>
          </cell>
          <cell r="B618" t="str">
            <v>AROUT</v>
          </cell>
          <cell r="C618">
            <v>4</v>
          </cell>
          <cell r="D618">
            <v>35828</v>
          </cell>
          <cell r="E618">
            <v>35856</v>
          </cell>
          <cell r="F618">
            <v>35835</v>
          </cell>
          <cell r="G618">
            <v>2</v>
          </cell>
          <cell r="H618">
            <v>3.04</v>
          </cell>
          <cell r="I618" t="str">
            <v>Around the Horn</v>
          </cell>
          <cell r="J618" t="str">
            <v>Brook Farm Stratford St. Mary</v>
          </cell>
          <cell r="K618" t="str">
            <v>Colchester</v>
          </cell>
          <cell r="L618" t="str">
            <v>Essex</v>
          </cell>
          <cell r="M618" t="str">
            <v>CO7 6JX</v>
          </cell>
          <cell r="N618" t="str">
            <v>UK</v>
          </cell>
        </row>
        <row r="619">
          <cell r="A619">
            <v>10865</v>
          </cell>
          <cell r="B619" t="str">
            <v>QUICK</v>
          </cell>
          <cell r="C619">
            <v>2</v>
          </cell>
          <cell r="D619">
            <v>35828</v>
          </cell>
          <cell r="E619">
            <v>35842</v>
          </cell>
          <cell r="F619">
            <v>35838</v>
          </cell>
          <cell r="G619">
            <v>1</v>
          </cell>
          <cell r="H619">
            <v>348.14</v>
          </cell>
          <cell r="I619" t="str">
            <v>QUICK-Stop</v>
          </cell>
          <cell r="J619" t="str">
            <v>Taucherstraße 10</v>
          </cell>
          <cell r="K619" t="str">
            <v>Cunewalde</v>
          </cell>
          <cell r="M619" t="str">
            <v>01307</v>
          </cell>
          <cell r="N619" t="str">
            <v>Germany</v>
          </cell>
        </row>
        <row r="620">
          <cell r="A620">
            <v>10866</v>
          </cell>
          <cell r="B620" t="str">
            <v>BERGS</v>
          </cell>
          <cell r="C620">
            <v>5</v>
          </cell>
          <cell r="D620">
            <v>35829</v>
          </cell>
          <cell r="E620">
            <v>35857</v>
          </cell>
          <cell r="F620">
            <v>35838</v>
          </cell>
          <cell r="G620">
            <v>1</v>
          </cell>
          <cell r="H620">
            <v>109.11</v>
          </cell>
          <cell r="I620" t="str">
            <v>Berglunds snabbköp</v>
          </cell>
          <cell r="J620" t="str">
            <v>Berguvsvägen  8</v>
          </cell>
          <cell r="K620" t="str">
            <v>Luleå</v>
          </cell>
          <cell r="M620" t="str">
            <v>S-958 22</v>
          </cell>
          <cell r="N620" t="str">
            <v>Sweden</v>
          </cell>
        </row>
        <row r="621">
          <cell r="A621">
            <v>10867</v>
          </cell>
          <cell r="B621" t="str">
            <v>LONEP</v>
          </cell>
          <cell r="C621">
            <v>6</v>
          </cell>
          <cell r="D621">
            <v>35829</v>
          </cell>
          <cell r="E621">
            <v>35871</v>
          </cell>
          <cell r="F621">
            <v>35837</v>
          </cell>
          <cell r="G621">
            <v>1</v>
          </cell>
          <cell r="H621">
            <v>1.93</v>
          </cell>
          <cell r="I621" t="str">
            <v>Lonesome Pine Restaurant</v>
          </cell>
          <cell r="J621" t="str">
            <v>89 Chiaroscuro Rd.</v>
          </cell>
          <cell r="K621" t="str">
            <v>Portland</v>
          </cell>
          <cell r="L621" t="str">
            <v>OR</v>
          </cell>
          <cell r="M621" t="str">
            <v>97219</v>
          </cell>
          <cell r="N621" t="str">
            <v>USA</v>
          </cell>
        </row>
        <row r="622">
          <cell r="A622">
            <v>10868</v>
          </cell>
          <cell r="B622" t="str">
            <v>QUEEN</v>
          </cell>
          <cell r="C622">
            <v>7</v>
          </cell>
          <cell r="D622">
            <v>35830</v>
          </cell>
          <cell r="E622">
            <v>35858</v>
          </cell>
          <cell r="F622">
            <v>35849</v>
          </cell>
          <cell r="G622">
            <v>2</v>
          </cell>
          <cell r="H622">
            <v>191.27</v>
          </cell>
          <cell r="I622" t="str">
            <v>Queen Cozinha</v>
          </cell>
          <cell r="J622" t="str">
            <v>Alameda dos Canàrios, 891</v>
          </cell>
          <cell r="K622" t="str">
            <v>Sao Paulo</v>
          </cell>
          <cell r="L622" t="str">
            <v>SP</v>
          </cell>
          <cell r="M622" t="str">
            <v>05487-020</v>
          </cell>
          <cell r="N622" t="str">
            <v>Brazil</v>
          </cell>
        </row>
        <row r="623">
          <cell r="A623">
            <v>10869</v>
          </cell>
          <cell r="B623" t="str">
            <v>SEVES</v>
          </cell>
          <cell r="C623">
            <v>5</v>
          </cell>
          <cell r="D623">
            <v>35830</v>
          </cell>
          <cell r="E623">
            <v>35858</v>
          </cell>
          <cell r="F623">
            <v>35835</v>
          </cell>
          <cell r="G623">
            <v>1</v>
          </cell>
          <cell r="H623">
            <v>143.28</v>
          </cell>
          <cell r="I623" t="str">
            <v>Seven Seas Imports</v>
          </cell>
          <cell r="J623" t="str">
            <v>90 Wadhurst Rd.</v>
          </cell>
          <cell r="K623" t="str">
            <v>London</v>
          </cell>
          <cell r="M623" t="str">
            <v>OX15 4NB</v>
          </cell>
          <cell r="N623" t="str">
            <v>UK</v>
          </cell>
        </row>
        <row r="624">
          <cell r="A624">
            <v>10870</v>
          </cell>
          <cell r="B624" t="str">
            <v>WOLZA</v>
          </cell>
          <cell r="C624">
            <v>5</v>
          </cell>
          <cell r="D624">
            <v>35830</v>
          </cell>
          <cell r="E624">
            <v>35858</v>
          </cell>
          <cell r="F624">
            <v>35839</v>
          </cell>
          <cell r="G624">
            <v>3</v>
          </cell>
          <cell r="H624">
            <v>12.04</v>
          </cell>
          <cell r="I624" t="str">
            <v>Wolski Zajazd</v>
          </cell>
          <cell r="J624" t="str">
            <v>ul. Filtrowa 68</v>
          </cell>
          <cell r="K624" t="str">
            <v>Warszawa</v>
          </cell>
          <cell r="M624" t="str">
            <v>01-012</v>
          </cell>
          <cell r="N624" t="str">
            <v>Poland</v>
          </cell>
        </row>
        <row r="625">
          <cell r="A625">
            <v>10871</v>
          </cell>
          <cell r="B625" t="str">
            <v>BONAP</v>
          </cell>
          <cell r="C625">
            <v>9</v>
          </cell>
          <cell r="D625">
            <v>35831</v>
          </cell>
          <cell r="E625">
            <v>35859</v>
          </cell>
          <cell r="F625">
            <v>35836</v>
          </cell>
          <cell r="G625">
            <v>2</v>
          </cell>
          <cell r="H625">
            <v>112.27</v>
          </cell>
          <cell r="I625" t="str">
            <v>Bon app'</v>
          </cell>
          <cell r="J625" t="str">
            <v>12, rue des Bouchers</v>
          </cell>
          <cell r="K625" t="str">
            <v>Marseille</v>
          </cell>
          <cell r="M625" t="str">
            <v>13008</v>
          </cell>
          <cell r="N625" t="str">
            <v>France</v>
          </cell>
        </row>
        <row r="626">
          <cell r="A626">
            <v>10872</v>
          </cell>
          <cell r="B626" t="str">
            <v>GODOS</v>
          </cell>
          <cell r="C626">
            <v>5</v>
          </cell>
          <cell r="D626">
            <v>35831</v>
          </cell>
          <cell r="E626">
            <v>35859</v>
          </cell>
          <cell r="F626">
            <v>35835</v>
          </cell>
          <cell r="G626">
            <v>2</v>
          </cell>
          <cell r="H626">
            <v>175.32</v>
          </cell>
          <cell r="I626" t="str">
            <v>Godos Cocina Típica</v>
          </cell>
          <cell r="J626" t="str">
            <v>C/ Romero, 33</v>
          </cell>
          <cell r="K626" t="str">
            <v>Sevilla</v>
          </cell>
          <cell r="M626" t="str">
            <v>41101</v>
          </cell>
          <cell r="N626" t="str">
            <v>Spain</v>
          </cell>
        </row>
        <row r="627">
          <cell r="A627">
            <v>10873</v>
          </cell>
          <cell r="B627" t="str">
            <v>WILMK</v>
          </cell>
          <cell r="C627">
            <v>4</v>
          </cell>
          <cell r="D627">
            <v>35832</v>
          </cell>
          <cell r="E627">
            <v>35860</v>
          </cell>
          <cell r="F627">
            <v>35835</v>
          </cell>
          <cell r="G627">
            <v>1</v>
          </cell>
          <cell r="H627">
            <v>0.82</v>
          </cell>
          <cell r="I627" t="str">
            <v>Wilman Kala</v>
          </cell>
          <cell r="J627" t="str">
            <v>Keskuskatu 45</v>
          </cell>
          <cell r="K627" t="str">
            <v>Helsinki</v>
          </cell>
          <cell r="M627" t="str">
            <v>21240</v>
          </cell>
          <cell r="N627" t="str">
            <v>Finland</v>
          </cell>
        </row>
        <row r="628">
          <cell r="A628">
            <v>10874</v>
          </cell>
          <cell r="B628" t="str">
            <v>GODOS</v>
          </cell>
          <cell r="C628">
            <v>5</v>
          </cell>
          <cell r="D628">
            <v>35832</v>
          </cell>
          <cell r="E628">
            <v>35860</v>
          </cell>
          <cell r="F628">
            <v>35837</v>
          </cell>
          <cell r="G628">
            <v>2</v>
          </cell>
          <cell r="H628">
            <v>19.579999999999998</v>
          </cell>
          <cell r="I628" t="str">
            <v>Godos Cocina Típica</v>
          </cell>
          <cell r="J628" t="str">
            <v>C/ Romero, 33</v>
          </cell>
          <cell r="K628" t="str">
            <v>Sevilla</v>
          </cell>
          <cell r="M628" t="str">
            <v>41101</v>
          </cell>
          <cell r="N628" t="str">
            <v>Spain</v>
          </cell>
        </row>
        <row r="629">
          <cell r="A629">
            <v>10875</v>
          </cell>
          <cell r="B629" t="str">
            <v>BERGS</v>
          </cell>
          <cell r="C629">
            <v>4</v>
          </cell>
          <cell r="D629">
            <v>35832</v>
          </cell>
          <cell r="E629">
            <v>35860</v>
          </cell>
          <cell r="F629">
            <v>35857</v>
          </cell>
          <cell r="G629">
            <v>2</v>
          </cell>
          <cell r="H629">
            <v>32.369999999999997</v>
          </cell>
          <cell r="I629" t="str">
            <v>Berglunds snabbköp</v>
          </cell>
          <cell r="J629" t="str">
            <v>Berguvsvägen  8</v>
          </cell>
          <cell r="K629" t="str">
            <v>Luleå</v>
          </cell>
          <cell r="M629" t="str">
            <v>S-958 22</v>
          </cell>
          <cell r="N629" t="str">
            <v>Sweden</v>
          </cell>
        </row>
        <row r="630">
          <cell r="A630">
            <v>10876</v>
          </cell>
          <cell r="B630" t="str">
            <v>BONAP</v>
          </cell>
          <cell r="C630">
            <v>7</v>
          </cell>
          <cell r="D630">
            <v>35835</v>
          </cell>
          <cell r="E630">
            <v>35863</v>
          </cell>
          <cell r="F630">
            <v>35838</v>
          </cell>
          <cell r="G630">
            <v>3</v>
          </cell>
          <cell r="H630">
            <v>60.42</v>
          </cell>
          <cell r="I630" t="str">
            <v>Bon app'</v>
          </cell>
          <cell r="J630" t="str">
            <v>12, rue des Bouchers</v>
          </cell>
          <cell r="K630" t="str">
            <v>Marseille</v>
          </cell>
          <cell r="M630" t="str">
            <v>13008</v>
          </cell>
          <cell r="N630" t="str">
            <v>France</v>
          </cell>
        </row>
        <row r="631">
          <cell r="A631">
            <v>10877</v>
          </cell>
          <cell r="B631" t="str">
            <v>RICAR</v>
          </cell>
          <cell r="C631">
            <v>1</v>
          </cell>
          <cell r="D631">
            <v>35835</v>
          </cell>
          <cell r="E631">
            <v>35863</v>
          </cell>
          <cell r="F631">
            <v>35845</v>
          </cell>
          <cell r="G631">
            <v>1</v>
          </cell>
          <cell r="H631">
            <v>38.06</v>
          </cell>
          <cell r="I631" t="str">
            <v>Ricardo Adocicados</v>
          </cell>
          <cell r="J631" t="str">
            <v>Av. Copacabana, 267</v>
          </cell>
          <cell r="K631" t="str">
            <v>Rio de Janeiro</v>
          </cell>
          <cell r="L631" t="str">
            <v>RJ</v>
          </cell>
          <cell r="M631" t="str">
            <v>02389-890</v>
          </cell>
          <cell r="N631" t="str">
            <v>Brazil</v>
          </cell>
        </row>
        <row r="632">
          <cell r="A632">
            <v>10878</v>
          </cell>
          <cell r="B632" t="str">
            <v>QUICK</v>
          </cell>
          <cell r="C632">
            <v>4</v>
          </cell>
          <cell r="D632">
            <v>35836</v>
          </cell>
          <cell r="E632">
            <v>35864</v>
          </cell>
          <cell r="F632">
            <v>35838</v>
          </cell>
          <cell r="G632">
            <v>1</v>
          </cell>
          <cell r="H632">
            <v>46.69</v>
          </cell>
          <cell r="I632" t="str">
            <v>QUICK-Stop</v>
          </cell>
          <cell r="J632" t="str">
            <v>Taucherstraße 10</v>
          </cell>
          <cell r="K632" t="str">
            <v>Cunewalde</v>
          </cell>
          <cell r="M632" t="str">
            <v>01307</v>
          </cell>
          <cell r="N632" t="str">
            <v>Germany</v>
          </cell>
        </row>
        <row r="633">
          <cell r="A633">
            <v>10879</v>
          </cell>
          <cell r="B633" t="str">
            <v>WILMK</v>
          </cell>
          <cell r="C633">
            <v>3</v>
          </cell>
          <cell r="D633">
            <v>35836</v>
          </cell>
          <cell r="E633">
            <v>35864</v>
          </cell>
          <cell r="F633">
            <v>35838</v>
          </cell>
          <cell r="G633">
            <v>3</v>
          </cell>
          <cell r="H633">
            <v>8.5</v>
          </cell>
          <cell r="I633" t="str">
            <v>Wilman Kala</v>
          </cell>
          <cell r="J633" t="str">
            <v>Keskuskatu 45</v>
          </cell>
          <cell r="K633" t="str">
            <v>Helsinki</v>
          </cell>
          <cell r="M633" t="str">
            <v>21240</v>
          </cell>
          <cell r="N633" t="str">
            <v>Finland</v>
          </cell>
        </row>
        <row r="634">
          <cell r="A634">
            <v>10880</v>
          </cell>
          <cell r="B634" t="str">
            <v>FOLKO</v>
          </cell>
          <cell r="C634">
            <v>7</v>
          </cell>
          <cell r="D634">
            <v>35836</v>
          </cell>
          <cell r="E634">
            <v>35878</v>
          </cell>
          <cell r="F634">
            <v>35844</v>
          </cell>
          <cell r="G634">
            <v>1</v>
          </cell>
          <cell r="H634">
            <v>88.01</v>
          </cell>
          <cell r="I634" t="str">
            <v>Folk och fä HB</v>
          </cell>
          <cell r="J634" t="str">
            <v>Åkergatan 24</v>
          </cell>
          <cell r="K634" t="str">
            <v>Bräcke</v>
          </cell>
          <cell r="M634" t="str">
            <v>S-844 67</v>
          </cell>
          <cell r="N634" t="str">
            <v>Sweden</v>
          </cell>
        </row>
        <row r="635">
          <cell r="A635">
            <v>10881</v>
          </cell>
          <cell r="B635" t="str">
            <v>CACTU</v>
          </cell>
          <cell r="C635">
            <v>4</v>
          </cell>
          <cell r="D635">
            <v>35837</v>
          </cell>
          <cell r="E635">
            <v>35865</v>
          </cell>
          <cell r="F635">
            <v>35844</v>
          </cell>
          <cell r="G635">
            <v>1</v>
          </cell>
          <cell r="H635">
            <v>2.84</v>
          </cell>
          <cell r="I635" t="str">
            <v>Cactus Comidas para llevar</v>
          </cell>
          <cell r="J635" t="str">
            <v>Cerrito 333</v>
          </cell>
          <cell r="K635" t="str">
            <v>Buenos Aires</v>
          </cell>
          <cell r="M635" t="str">
            <v>1010</v>
          </cell>
          <cell r="N635" t="str">
            <v>Argentina</v>
          </cell>
        </row>
        <row r="636">
          <cell r="A636">
            <v>10882</v>
          </cell>
          <cell r="B636" t="str">
            <v>SAVEA</v>
          </cell>
          <cell r="C636">
            <v>4</v>
          </cell>
          <cell r="D636">
            <v>35837</v>
          </cell>
          <cell r="E636">
            <v>35865</v>
          </cell>
          <cell r="F636">
            <v>35846</v>
          </cell>
          <cell r="G636">
            <v>3</v>
          </cell>
          <cell r="H636">
            <v>23.1</v>
          </cell>
          <cell r="I636" t="str">
            <v>Save-a-lot Markets</v>
          </cell>
          <cell r="J636" t="str">
            <v>187 Suffolk Ln.</v>
          </cell>
          <cell r="K636" t="str">
            <v>Boise</v>
          </cell>
          <cell r="L636" t="str">
            <v>ID</v>
          </cell>
          <cell r="M636" t="str">
            <v>83720</v>
          </cell>
          <cell r="N636" t="str">
            <v>USA</v>
          </cell>
        </row>
        <row r="637">
          <cell r="A637">
            <v>10883</v>
          </cell>
          <cell r="B637" t="str">
            <v>LONEP</v>
          </cell>
          <cell r="C637">
            <v>8</v>
          </cell>
          <cell r="D637">
            <v>35838</v>
          </cell>
          <cell r="E637">
            <v>35866</v>
          </cell>
          <cell r="F637">
            <v>35846</v>
          </cell>
          <cell r="G637">
            <v>3</v>
          </cell>
          <cell r="H637">
            <v>0.53</v>
          </cell>
          <cell r="I637" t="str">
            <v>Lonesome Pine Restaurant</v>
          </cell>
          <cell r="J637" t="str">
            <v>89 Chiaroscuro Rd.</v>
          </cell>
          <cell r="K637" t="str">
            <v>Portland</v>
          </cell>
          <cell r="L637" t="str">
            <v>OR</v>
          </cell>
          <cell r="M637" t="str">
            <v>97219</v>
          </cell>
          <cell r="N637" t="str">
            <v>USA</v>
          </cell>
        </row>
        <row r="638">
          <cell r="A638">
            <v>10884</v>
          </cell>
          <cell r="B638" t="str">
            <v>LETSS</v>
          </cell>
          <cell r="C638">
            <v>4</v>
          </cell>
          <cell r="D638">
            <v>35838</v>
          </cell>
          <cell r="E638">
            <v>35866</v>
          </cell>
          <cell r="F638">
            <v>35839</v>
          </cell>
          <cell r="G638">
            <v>2</v>
          </cell>
          <cell r="H638">
            <v>90.97</v>
          </cell>
          <cell r="I638" t="str">
            <v>Let's Stop N Shop</v>
          </cell>
          <cell r="J638" t="str">
            <v>87 Polk St. Suite 5</v>
          </cell>
          <cell r="K638" t="str">
            <v>San Francisco</v>
          </cell>
          <cell r="L638" t="str">
            <v>CA</v>
          </cell>
          <cell r="M638" t="str">
            <v>94117</v>
          </cell>
          <cell r="N638" t="str">
            <v>USA</v>
          </cell>
        </row>
        <row r="639">
          <cell r="A639">
            <v>10885</v>
          </cell>
          <cell r="B639" t="str">
            <v>SUPRD</v>
          </cell>
          <cell r="C639">
            <v>6</v>
          </cell>
          <cell r="D639">
            <v>35838</v>
          </cell>
          <cell r="E639">
            <v>35866</v>
          </cell>
          <cell r="F639">
            <v>35844</v>
          </cell>
          <cell r="G639">
            <v>3</v>
          </cell>
          <cell r="H639">
            <v>5.64</v>
          </cell>
          <cell r="I639" t="str">
            <v>Suprêmes délices</v>
          </cell>
          <cell r="J639" t="str">
            <v>Boulevard Tirou, 255</v>
          </cell>
          <cell r="K639" t="str">
            <v>Charleroi</v>
          </cell>
          <cell r="M639" t="str">
            <v>B-6000</v>
          </cell>
          <cell r="N639" t="str">
            <v>Belgium</v>
          </cell>
        </row>
        <row r="640">
          <cell r="A640">
            <v>10886</v>
          </cell>
          <cell r="B640" t="str">
            <v>HANAR</v>
          </cell>
          <cell r="C640">
            <v>1</v>
          </cell>
          <cell r="D640">
            <v>35839</v>
          </cell>
          <cell r="E640">
            <v>35867</v>
          </cell>
          <cell r="F640">
            <v>35856</v>
          </cell>
          <cell r="G640">
            <v>1</v>
          </cell>
          <cell r="H640">
            <v>4.99</v>
          </cell>
          <cell r="I640" t="str">
            <v>Hanari Carnes</v>
          </cell>
          <cell r="J640" t="str">
            <v>Rua do Paço, 67</v>
          </cell>
          <cell r="K640" t="str">
            <v>Rio de Janeiro</v>
          </cell>
          <cell r="L640" t="str">
            <v>RJ</v>
          </cell>
          <cell r="M640" t="str">
            <v>05454-876</v>
          </cell>
          <cell r="N640" t="str">
            <v>Brazil</v>
          </cell>
        </row>
        <row r="641">
          <cell r="A641">
            <v>10887</v>
          </cell>
          <cell r="B641" t="str">
            <v>GALED</v>
          </cell>
          <cell r="C641">
            <v>8</v>
          </cell>
          <cell r="D641">
            <v>35839</v>
          </cell>
          <cell r="E641">
            <v>35867</v>
          </cell>
          <cell r="F641">
            <v>35842</v>
          </cell>
          <cell r="G641">
            <v>3</v>
          </cell>
          <cell r="H641">
            <v>1.25</v>
          </cell>
          <cell r="I641" t="str">
            <v>Galería del gastronómo</v>
          </cell>
          <cell r="J641" t="str">
            <v>Rambla de Cataluña, 23</v>
          </cell>
          <cell r="K641" t="str">
            <v>Barcelona</v>
          </cell>
          <cell r="M641" t="str">
            <v>8022</v>
          </cell>
          <cell r="N641" t="str">
            <v>Spain</v>
          </cell>
        </row>
        <row r="642">
          <cell r="A642">
            <v>10888</v>
          </cell>
          <cell r="B642" t="str">
            <v>GODOS</v>
          </cell>
          <cell r="C642">
            <v>1</v>
          </cell>
          <cell r="D642">
            <v>35842</v>
          </cell>
          <cell r="E642">
            <v>35870</v>
          </cell>
          <cell r="F642">
            <v>35849</v>
          </cell>
          <cell r="G642">
            <v>2</v>
          </cell>
          <cell r="H642">
            <v>51.87</v>
          </cell>
          <cell r="I642" t="str">
            <v>Godos Cocina Típica</v>
          </cell>
          <cell r="J642" t="str">
            <v>C/ Romero, 33</v>
          </cell>
          <cell r="K642" t="str">
            <v>Sevilla</v>
          </cell>
          <cell r="M642" t="str">
            <v>41101</v>
          </cell>
          <cell r="N642" t="str">
            <v>Spain</v>
          </cell>
        </row>
        <row r="643">
          <cell r="A643">
            <v>10889</v>
          </cell>
          <cell r="B643" t="str">
            <v>RATTC</v>
          </cell>
          <cell r="C643">
            <v>9</v>
          </cell>
          <cell r="D643">
            <v>35842</v>
          </cell>
          <cell r="E643">
            <v>35870</v>
          </cell>
          <cell r="F643">
            <v>35849</v>
          </cell>
          <cell r="G643">
            <v>3</v>
          </cell>
          <cell r="H643">
            <v>280.61</v>
          </cell>
          <cell r="I643" t="str">
            <v>Rattlesnake Canyon Grocery</v>
          </cell>
          <cell r="J643" t="str">
            <v>2817 Milton Dr.</v>
          </cell>
          <cell r="K643" t="str">
            <v>Albuquerque</v>
          </cell>
          <cell r="L643" t="str">
            <v>NM</v>
          </cell>
          <cell r="M643" t="str">
            <v>87110</v>
          </cell>
          <cell r="N643" t="str">
            <v>USA</v>
          </cell>
        </row>
        <row r="644">
          <cell r="A644">
            <v>10890</v>
          </cell>
          <cell r="B644" t="str">
            <v>DUMON</v>
          </cell>
          <cell r="C644">
            <v>7</v>
          </cell>
          <cell r="D644">
            <v>35842</v>
          </cell>
          <cell r="E644">
            <v>35870</v>
          </cell>
          <cell r="F644">
            <v>35844</v>
          </cell>
          <cell r="G644">
            <v>1</v>
          </cell>
          <cell r="H644">
            <v>32.76</v>
          </cell>
          <cell r="I644" t="str">
            <v>Du monde entier</v>
          </cell>
          <cell r="J644" t="str">
            <v>67, rue des Cinquante Otages</v>
          </cell>
          <cell r="K644" t="str">
            <v>Nantes</v>
          </cell>
          <cell r="M644" t="str">
            <v>44000</v>
          </cell>
          <cell r="N644" t="str">
            <v>France</v>
          </cell>
        </row>
        <row r="645">
          <cell r="A645">
            <v>10891</v>
          </cell>
          <cell r="B645" t="str">
            <v>LEHMS</v>
          </cell>
          <cell r="C645">
            <v>7</v>
          </cell>
          <cell r="D645">
            <v>35843</v>
          </cell>
          <cell r="E645">
            <v>35871</v>
          </cell>
          <cell r="F645">
            <v>35845</v>
          </cell>
          <cell r="G645">
            <v>2</v>
          </cell>
          <cell r="H645">
            <v>20.37</v>
          </cell>
          <cell r="I645" t="str">
            <v>Lehmanns Marktstand</v>
          </cell>
          <cell r="J645" t="str">
            <v>Magazinweg 7</v>
          </cell>
          <cell r="K645" t="str">
            <v>Frankfurt a.M.</v>
          </cell>
          <cell r="M645" t="str">
            <v>60528</v>
          </cell>
          <cell r="N645" t="str">
            <v>Germany</v>
          </cell>
        </row>
        <row r="646">
          <cell r="A646">
            <v>10892</v>
          </cell>
          <cell r="B646" t="str">
            <v>MAISD</v>
          </cell>
          <cell r="C646">
            <v>4</v>
          </cell>
          <cell r="D646">
            <v>35843</v>
          </cell>
          <cell r="E646">
            <v>35871</v>
          </cell>
          <cell r="F646">
            <v>35845</v>
          </cell>
          <cell r="G646">
            <v>2</v>
          </cell>
          <cell r="H646">
            <v>120.27</v>
          </cell>
          <cell r="I646" t="str">
            <v>Maison Dewey</v>
          </cell>
          <cell r="J646" t="str">
            <v>Rue Joseph-Bens 532</v>
          </cell>
          <cell r="K646" t="str">
            <v>Bruxelles</v>
          </cell>
          <cell r="M646" t="str">
            <v>B-1180</v>
          </cell>
          <cell r="N646" t="str">
            <v>Belgium</v>
          </cell>
        </row>
        <row r="647">
          <cell r="A647">
            <v>10893</v>
          </cell>
          <cell r="B647" t="str">
            <v>KOENE</v>
          </cell>
          <cell r="C647">
            <v>9</v>
          </cell>
          <cell r="D647">
            <v>35844</v>
          </cell>
          <cell r="E647">
            <v>35872</v>
          </cell>
          <cell r="F647">
            <v>35846</v>
          </cell>
          <cell r="G647">
            <v>2</v>
          </cell>
          <cell r="H647">
            <v>77.78</v>
          </cell>
          <cell r="I647" t="str">
            <v>Königlich Essen</v>
          </cell>
          <cell r="J647" t="str">
            <v>Maubelstr. 90</v>
          </cell>
          <cell r="K647" t="str">
            <v>Brandenburg</v>
          </cell>
          <cell r="M647" t="str">
            <v>14776</v>
          </cell>
          <cell r="N647" t="str">
            <v>Germany</v>
          </cell>
        </row>
        <row r="648">
          <cell r="A648">
            <v>10894</v>
          </cell>
          <cell r="B648" t="str">
            <v>SAVEA</v>
          </cell>
          <cell r="C648">
            <v>1</v>
          </cell>
          <cell r="D648">
            <v>35844</v>
          </cell>
          <cell r="E648">
            <v>35872</v>
          </cell>
          <cell r="F648">
            <v>35846</v>
          </cell>
          <cell r="G648">
            <v>1</v>
          </cell>
          <cell r="H648">
            <v>116.13</v>
          </cell>
          <cell r="I648" t="str">
            <v>Save-a-lot Markets</v>
          </cell>
          <cell r="J648" t="str">
            <v>187 Suffolk Ln.</v>
          </cell>
          <cell r="K648" t="str">
            <v>Boise</v>
          </cell>
          <cell r="L648" t="str">
            <v>ID</v>
          </cell>
          <cell r="M648" t="str">
            <v>83720</v>
          </cell>
          <cell r="N648" t="str">
            <v>USA</v>
          </cell>
        </row>
        <row r="649">
          <cell r="A649">
            <v>10895</v>
          </cell>
          <cell r="B649" t="str">
            <v>ERNSH</v>
          </cell>
          <cell r="C649">
            <v>3</v>
          </cell>
          <cell r="D649">
            <v>35844</v>
          </cell>
          <cell r="E649">
            <v>35872</v>
          </cell>
          <cell r="F649">
            <v>35849</v>
          </cell>
          <cell r="G649">
            <v>1</v>
          </cell>
          <cell r="H649">
            <v>162.75</v>
          </cell>
          <cell r="I649" t="str">
            <v>Ernst Handel</v>
          </cell>
          <cell r="J649" t="str">
            <v>Kirchgasse 6</v>
          </cell>
          <cell r="K649" t="str">
            <v>Graz</v>
          </cell>
          <cell r="M649" t="str">
            <v>8010</v>
          </cell>
          <cell r="N649" t="str">
            <v>Austria</v>
          </cell>
        </row>
        <row r="650">
          <cell r="A650">
            <v>10896</v>
          </cell>
          <cell r="B650" t="str">
            <v>MAISD</v>
          </cell>
          <cell r="C650">
            <v>7</v>
          </cell>
          <cell r="D650">
            <v>35845</v>
          </cell>
          <cell r="E650">
            <v>35873</v>
          </cell>
          <cell r="F650">
            <v>35853</v>
          </cell>
          <cell r="G650">
            <v>3</v>
          </cell>
          <cell r="H650">
            <v>32.450000000000003</v>
          </cell>
          <cell r="I650" t="str">
            <v>Maison Dewey</v>
          </cell>
          <cell r="J650" t="str">
            <v>Rue Joseph-Bens 532</v>
          </cell>
          <cell r="K650" t="str">
            <v>Bruxelles</v>
          </cell>
          <cell r="M650" t="str">
            <v>B-1180</v>
          </cell>
          <cell r="N650" t="str">
            <v>Belgium</v>
          </cell>
        </row>
        <row r="651">
          <cell r="A651">
            <v>10897</v>
          </cell>
          <cell r="B651" t="str">
            <v>HUNGO</v>
          </cell>
          <cell r="C651">
            <v>3</v>
          </cell>
          <cell r="D651">
            <v>35845</v>
          </cell>
          <cell r="E651">
            <v>35873</v>
          </cell>
          <cell r="F651">
            <v>35851</v>
          </cell>
          <cell r="G651">
            <v>2</v>
          </cell>
          <cell r="H651">
            <v>603.54</v>
          </cell>
          <cell r="I651" t="str">
            <v>Hungry Owl All-Night Grocers</v>
          </cell>
          <cell r="J651" t="str">
            <v>8 Johnstown Road</v>
          </cell>
          <cell r="K651" t="str">
            <v>Cork</v>
          </cell>
          <cell r="L651" t="str">
            <v>Co. Cork</v>
          </cell>
          <cell r="N651" t="str">
            <v>Ireland</v>
          </cell>
        </row>
        <row r="652">
          <cell r="A652">
            <v>10898</v>
          </cell>
          <cell r="B652" t="str">
            <v>OCEAN</v>
          </cell>
          <cell r="C652">
            <v>4</v>
          </cell>
          <cell r="D652">
            <v>35846</v>
          </cell>
          <cell r="E652">
            <v>35874</v>
          </cell>
          <cell r="F652">
            <v>35860</v>
          </cell>
          <cell r="G652">
            <v>2</v>
          </cell>
          <cell r="H652">
            <v>1.27</v>
          </cell>
          <cell r="I652" t="str">
            <v>Océano Atlántico Ltda.</v>
          </cell>
          <cell r="J652" t="str">
            <v>Ing. Gustavo Moncada 8585 Piso 20-A</v>
          </cell>
          <cell r="K652" t="str">
            <v>Buenos Aires</v>
          </cell>
          <cell r="M652" t="str">
            <v>1010</v>
          </cell>
          <cell r="N652" t="str">
            <v>Argentina</v>
          </cell>
        </row>
        <row r="653">
          <cell r="A653">
            <v>10899</v>
          </cell>
          <cell r="B653" t="str">
            <v>LILAS</v>
          </cell>
          <cell r="C653">
            <v>5</v>
          </cell>
          <cell r="D653">
            <v>35846</v>
          </cell>
          <cell r="E653">
            <v>35874</v>
          </cell>
          <cell r="F653">
            <v>35852</v>
          </cell>
          <cell r="G653">
            <v>3</v>
          </cell>
          <cell r="H653">
            <v>1.21</v>
          </cell>
          <cell r="I653" t="str">
            <v>LILA-Supermercado</v>
          </cell>
          <cell r="J653" t="str">
            <v>Carrera 52 con Ave. Bolívar #65-98 Llano Largo</v>
          </cell>
          <cell r="K653" t="str">
            <v>Barquisimeto</v>
          </cell>
          <cell r="L653" t="str">
            <v>Lara</v>
          </cell>
          <cell r="M653" t="str">
            <v>3508</v>
          </cell>
          <cell r="N653" t="str">
            <v>Venezuela</v>
          </cell>
        </row>
        <row r="654">
          <cell r="A654">
            <v>10900</v>
          </cell>
          <cell r="B654" t="str">
            <v>WELLI</v>
          </cell>
          <cell r="C654">
            <v>1</v>
          </cell>
          <cell r="D654">
            <v>35846</v>
          </cell>
          <cell r="E654">
            <v>35874</v>
          </cell>
          <cell r="F654">
            <v>35858</v>
          </cell>
          <cell r="G654">
            <v>2</v>
          </cell>
          <cell r="H654">
            <v>1.66</v>
          </cell>
          <cell r="I654" t="str">
            <v>Wellington Importadora</v>
          </cell>
          <cell r="J654" t="str">
            <v>Rua do Mercado, 12</v>
          </cell>
          <cell r="K654" t="str">
            <v>Resende</v>
          </cell>
          <cell r="L654" t="str">
            <v>SP</v>
          </cell>
          <cell r="M654" t="str">
            <v>08737-363</v>
          </cell>
          <cell r="N654" t="str">
            <v>Brazil</v>
          </cell>
        </row>
        <row r="655">
          <cell r="A655">
            <v>10901</v>
          </cell>
          <cell r="B655" t="str">
            <v>HILAA</v>
          </cell>
          <cell r="C655">
            <v>4</v>
          </cell>
          <cell r="D655">
            <v>35849</v>
          </cell>
          <cell r="E655">
            <v>35877</v>
          </cell>
          <cell r="F655">
            <v>35852</v>
          </cell>
          <cell r="G655">
            <v>1</v>
          </cell>
          <cell r="H655">
            <v>62.09</v>
          </cell>
          <cell r="I655" t="str">
            <v>HILARION-Abastos</v>
          </cell>
          <cell r="J655" t="str">
            <v>Carrera 22 con Ave. Carlos Soublette #8-35</v>
          </cell>
          <cell r="K655" t="str">
            <v>San Cristóbal</v>
          </cell>
          <cell r="L655" t="str">
            <v>Táchira</v>
          </cell>
          <cell r="M655" t="str">
            <v>5022</v>
          </cell>
          <cell r="N655" t="str">
            <v>Venezuela</v>
          </cell>
        </row>
        <row r="656">
          <cell r="A656">
            <v>10902</v>
          </cell>
          <cell r="B656" t="str">
            <v>FOLKO</v>
          </cell>
          <cell r="C656">
            <v>1</v>
          </cell>
          <cell r="D656">
            <v>35849</v>
          </cell>
          <cell r="E656">
            <v>35877</v>
          </cell>
          <cell r="F656">
            <v>35857</v>
          </cell>
          <cell r="G656">
            <v>1</v>
          </cell>
          <cell r="H656">
            <v>44.15</v>
          </cell>
          <cell r="I656" t="str">
            <v>Folk och fä HB</v>
          </cell>
          <cell r="J656" t="str">
            <v>Åkergatan 24</v>
          </cell>
          <cell r="K656" t="str">
            <v>Bräcke</v>
          </cell>
          <cell r="M656" t="str">
            <v>S-844 67</v>
          </cell>
          <cell r="N656" t="str">
            <v>Sweden</v>
          </cell>
        </row>
        <row r="657">
          <cell r="A657">
            <v>10903</v>
          </cell>
          <cell r="B657" t="str">
            <v>HANAR</v>
          </cell>
          <cell r="C657">
            <v>3</v>
          </cell>
          <cell r="D657">
            <v>35850</v>
          </cell>
          <cell r="E657">
            <v>35878</v>
          </cell>
          <cell r="F657">
            <v>35858</v>
          </cell>
          <cell r="G657">
            <v>3</v>
          </cell>
          <cell r="H657">
            <v>36.71</v>
          </cell>
          <cell r="I657" t="str">
            <v>Hanari Carnes</v>
          </cell>
          <cell r="J657" t="str">
            <v>Rua do Paço, 67</v>
          </cell>
          <cell r="K657" t="str">
            <v>Rio de Janeiro</v>
          </cell>
          <cell r="L657" t="str">
            <v>RJ</v>
          </cell>
          <cell r="M657" t="str">
            <v>05454-876</v>
          </cell>
          <cell r="N657" t="str">
            <v>Brazil</v>
          </cell>
        </row>
        <row r="658">
          <cell r="A658">
            <v>10904</v>
          </cell>
          <cell r="B658" t="str">
            <v>WHITC</v>
          </cell>
          <cell r="C658">
            <v>3</v>
          </cell>
          <cell r="D658">
            <v>35850</v>
          </cell>
          <cell r="E658">
            <v>35878</v>
          </cell>
          <cell r="F658">
            <v>35853</v>
          </cell>
          <cell r="G658">
            <v>3</v>
          </cell>
          <cell r="H658">
            <v>162.94999999999999</v>
          </cell>
          <cell r="I658" t="str">
            <v>White Clover Markets</v>
          </cell>
          <cell r="J658" t="str">
            <v>1029 - 12th Ave. S.</v>
          </cell>
          <cell r="K658" t="str">
            <v>Seattle</v>
          </cell>
          <cell r="L658" t="str">
            <v>WA</v>
          </cell>
          <cell r="M658" t="str">
            <v>98124</v>
          </cell>
          <cell r="N658" t="str">
            <v>USA</v>
          </cell>
        </row>
        <row r="659">
          <cell r="A659">
            <v>10905</v>
          </cell>
          <cell r="B659" t="str">
            <v>WELLI</v>
          </cell>
          <cell r="C659">
            <v>9</v>
          </cell>
          <cell r="D659">
            <v>35850</v>
          </cell>
          <cell r="E659">
            <v>35878</v>
          </cell>
          <cell r="F659">
            <v>35860</v>
          </cell>
          <cell r="G659">
            <v>2</v>
          </cell>
          <cell r="H659">
            <v>13.72</v>
          </cell>
          <cell r="I659" t="str">
            <v>Wellington Importadora</v>
          </cell>
          <cell r="J659" t="str">
            <v>Rua do Mercado, 12</v>
          </cell>
          <cell r="K659" t="str">
            <v>Resende</v>
          </cell>
          <cell r="L659" t="str">
            <v>SP</v>
          </cell>
          <cell r="M659" t="str">
            <v>08737-363</v>
          </cell>
          <cell r="N659" t="str">
            <v>Brazil</v>
          </cell>
        </row>
        <row r="660">
          <cell r="A660">
            <v>10906</v>
          </cell>
          <cell r="B660" t="str">
            <v>WOLZA</v>
          </cell>
          <cell r="C660">
            <v>4</v>
          </cell>
          <cell r="D660">
            <v>35851</v>
          </cell>
          <cell r="E660">
            <v>35865</v>
          </cell>
          <cell r="F660">
            <v>35857</v>
          </cell>
          <cell r="G660">
            <v>3</v>
          </cell>
          <cell r="H660">
            <v>26.29</v>
          </cell>
          <cell r="I660" t="str">
            <v>Wolski Zajazd</v>
          </cell>
          <cell r="J660" t="str">
            <v>ul. Filtrowa 68</v>
          </cell>
          <cell r="K660" t="str">
            <v>Warszawa</v>
          </cell>
          <cell r="M660" t="str">
            <v>01-012</v>
          </cell>
          <cell r="N660" t="str">
            <v>Poland</v>
          </cell>
        </row>
        <row r="661">
          <cell r="A661">
            <v>10907</v>
          </cell>
          <cell r="B661" t="str">
            <v>SPECD</v>
          </cell>
          <cell r="C661">
            <v>6</v>
          </cell>
          <cell r="D661">
            <v>35851</v>
          </cell>
          <cell r="E661">
            <v>35879</v>
          </cell>
          <cell r="F661">
            <v>35853</v>
          </cell>
          <cell r="G661">
            <v>3</v>
          </cell>
          <cell r="H661">
            <v>9.19</v>
          </cell>
          <cell r="I661" t="str">
            <v>Spécialités du monde</v>
          </cell>
          <cell r="J661" t="str">
            <v>25, rue Lauriston</v>
          </cell>
          <cell r="K661" t="str">
            <v>Paris</v>
          </cell>
          <cell r="M661" t="str">
            <v>75016</v>
          </cell>
          <cell r="N661" t="str">
            <v>France</v>
          </cell>
        </row>
        <row r="662">
          <cell r="A662">
            <v>10908</v>
          </cell>
          <cell r="B662" t="str">
            <v>REGGC</v>
          </cell>
          <cell r="C662">
            <v>4</v>
          </cell>
          <cell r="D662">
            <v>35852</v>
          </cell>
          <cell r="E662">
            <v>35880</v>
          </cell>
          <cell r="F662">
            <v>35860</v>
          </cell>
          <cell r="G662">
            <v>2</v>
          </cell>
          <cell r="H662">
            <v>32.96</v>
          </cell>
          <cell r="I662" t="str">
            <v>Reggiani Caseifici</v>
          </cell>
          <cell r="J662" t="str">
            <v>Strada Provinciale 124</v>
          </cell>
          <cell r="K662" t="str">
            <v>Reggio Emilia</v>
          </cell>
          <cell r="M662" t="str">
            <v>42100</v>
          </cell>
          <cell r="N662" t="str">
            <v>Italy</v>
          </cell>
        </row>
        <row r="663">
          <cell r="A663">
            <v>10909</v>
          </cell>
          <cell r="B663" t="str">
            <v>SANTG</v>
          </cell>
          <cell r="C663">
            <v>1</v>
          </cell>
          <cell r="D663">
            <v>35852</v>
          </cell>
          <cell r="E663">
            <v>35880</v>
          </cell>
          <cell r="F663">
            <v>35864</v>
          </cell>
          <cell r="G663">
            <v>2</v>
          </cell>
          <cell r="H663">
            <v>53.05</v>
          </cell>
          <cell r="I663" t="str">
            <v>Santé Gourmet</v>
          </cell>
          <cell r="J663" t="str">
            <v>Erling Skakkes gate 78</v>
          </cell>
          <cell r="K663" t="str">
            <v>Stavern</v>
          </cell>
          <cell r="M663" t="str">
            <v>4110</v>
          </cell>
          <cell r="N663" t="str">
            <v>Norway</v>
          </cell>
        </row>
        <row r="664">
          <cell r="A664">
            <v>10910</v>
          </cell>
          <cell r="B664" t="str">
            <v>WILMK</v>
          </cell>
          <cell r="C664">
            <v>1</v>
          </cell>
          <cell r="D664">
            <v>35852</v>
          </cell>
          <cell r="E664">
            <v>35880</v>
          </cell>
          <cell r="F664">
            <v>35858</v>
          </cell>
          <cell r="G664">
            <v>3</v>
          </cell>
          <cell r="H664">
            <v>38.11</v>
          </cell>
          <cell r="I664" t="str">
            <v>Wilman Kala</v>
          </cell>
          <cell r="J664" t="str">
            <v>Keskuskatu 45</v>
          </cell>
          <cell r="K664" t="str">
            <v>Helsinki</v>
          </cell>
          <cell r="M664" t="str">
            <v>21240</v>
          </cell>
          <cell r="N664" t="str">
            <v>Finland</v>
          </cell>
        </row>
        <row r="665">
          <cell r="A665">
            <v>10911</v>
          </cell>
          <cell r="B665" t="str">
            <v>GODOS</v>
          </cell>
          <cell r="C665">
            <v>3</v>
          </cell>
          <cell r="D665">
            <v>35852</v>
          </cell>
          <cell r="E665">
            <v>35880</v>
          </cell>
          <cell r="F665">
            <v>35859</v>
          </cell>
          <cell r="G665">
            <v>1</v>
          </cell>
          <cell r="H665">
            <v>38.19</v>
          </cell>
          <cell r="I665" t="str">
            <v>Godos Cocina Típica</v>
          </cell>
          <cell r="J665" t="str">
            <v>C/ Romero, 33</v>
          </cell>
          <cell r="K665" t="str">
            <v>Sevilla</v>
          </cell>
          <cell r="M665" t="str">
            <v>41101</v>
          </cell>
          <cell r="N665" t="str">
            <v>Spain</v>
          </cell>
        </row>
        <row r="666">
          <cell r="A666">
            <v>10912</v>
          </cell>
          <cell r="B666" t="str">
            <v>HUNGO</v>
          </cell>
          <cell r="C666">
            <v>2</v>
          </cell>
          <cell r="D666">
            <v>35852</v>
          </cell>
          <cell r="E666">
            <v>35880</v>
          </cell>
          <cell r="F666">
            <v>35872</v>
          </cell>
          <cell r="G666">
            <v>2</v>
          </cell>
          <cell r="H666">
            <v>580.91</v>
          </cell>
          <cell r="I666" t="str">
            <v>Hungry Owl All-Night Grocers</v>
          </cell>
          <cell r="J666" t="str">
            <v>8 Johnstown Road</v>
          </cell>
          <cell r="K666" t="str">
            <v>Cork</v>
          </cell>
          <cell r="L666" t="str">
            <v>Co. Cork</v>
          </cell>
          <cell r="N666" t="str">
            <v>Ireland</v>
          </cell>
        </row>
        <row r="667">
          <cell r="A667">
            <v>10913</v>
          </cell>
          <cell r="B667" t="str">
            <v>QUEEN</v>
          </cell>
          <cell r="C667">
            <v>4</v>
          </cell>
          <cell r="D667">
            <v>35852</v>
          </cell>
          <cell r="E667">
            <v>35880</v>
          </cell>
          <cell r="F667">
            <v>35858</v>
          </cell>
          <cell r="G667">
            <v>1</v>
          </cell>
          <cell r="H667">
            <v>33.049999999999997</v>
          </cell>
          <cell r="I667" t="str">
            <v>Queen Cozinha</v>
          </cell>
          <cell r="J667" t="str">
            <v>Alameda dos Canàrios, 891</v>
          </cell>
          <cell r="K667" t="str">
            <v>Sao Paulo</v>
          </cell>
          <cell r="L667" t="str">
            <v>SP</v>
          </cell>
          <cell r="M667" t="str">
            <v>05487-020</v>
          </cell>
          <cell r="N667" t="str">
            <v>Brazil</v>
          </cell>
        </row>
        <row r="668">
          <cell r="A668">
            <v>10914</v>
          </cell>
          <cell r="B668" t="str">
            <v>QUEEN</v>
          </cell>
          <cell r="C668">
            <v>6</v>
          </cell>
          <cell r="D668">
            <v>35853</v>
          </cell>
          <cell r="E668">
            <v>35881</v>
          </cell>
          <cell r="F668">
            <v>35856</v>
          </cell>
          <cell r="G668">
            <v>1</v>
          </cell>
          <cell r="H668">
            <v>21.19</v>
          </cell>
          <cell r="I668" t="str">
            <v>Queen Cozinha</v>
          </cell>
          <cell r="J668" t="str">
            <v>Alameda dos Canàrios, 891</v>
          </cell>
          <cell r="K668" t="str">
            <v>Sao Paulo</v>
          </cell>
          <cell r="L668" t="str">
            <v>SP</v>
          </cell>
          <cell r="M668" t="str">
            <v>05487-020</v>
          </cell>
          <cell r="N668" t="str">
            <v>Brazil</v>
          </cell>
        </row>
        <row r="669">
          <cell r="A669">
            <v>10915</v>
          </cell>
          <cell r="B669" t="str">
            <v>TORTU</v>
          </cell>
          <cell r="C669">
            <v>2</v>
          </cell>
          <cell r="D669">
            <v>35853</v>
          </cell>
          <cell r="E669">
            <v>35881</v>
          </cell>
          <cell r="F669">
            <v>35856</v>
          </cell>
          <cell r="G669">
            <v>2</v>
          </cell>
          <cell r="H669">
            <v>3.51</v>
          </cell>
          <cell r="I669" t="str">
            <v>Tortuga Restaurante</v>
          </cell>
          <cell r="J669" t="str">
            <v>Avda. Azteca 123</v>
          </cell>
          <cell r="K669" t="str">
            <v>México D.F.</v>
          </cell>
          <cell r="M669" t="str">
            <v>05033</v>
          </cell>
          <cell r="N669" t="str">
            <v>Mexico</v>
          </cell>
        </row>
        <row r="670">
          <cell r="A670">
            <v>10916</v>
          </cell>
          <cell r="B670" t="str">
            <v>RANCH</v>
          </cell>
          <cell r="C670">
            <v>1</v>
          </cell>
          <cell r="D670">
            <v>35853</v>
          </cell>
          <cell r="E670">
            <v>35881</v>
          </cell>
          <cell r="F670">
            <v>35863</v>
          </cell>
          <cell r="G670">
            <v>2</v>
          </cell>
          <cell r="H670">
            <v>63.77</v>
          </cell>
          <cell r="I670" t="str">
            <v>Rancho grande</v>
          </cell>
          <cell r="J670" t="str">
            <v>Av. del Libertador 900</v>
          </cell>
          <cell r="K670" t="str">
            <v>Buenos Aires</v>
          </cell>
          <cell r="M670" t="str">
            <v>1010</v>
          </cell>
          <cell r="N670" t="str">
            <v>Argentina</v>
          </cell>
        </row>
        <row r="671">
          <cell r="A671">
            <v>10917</v>
          </cell>
          <cell r="B671" t="str">
            <v>ROMEY</v>
          </cell>
          <cell r="C671">
            <v>4</v>
          </cell>
          <cell r="D671">
            <v>35856</v>
          </cell>
          <cell r="E671">
            <v>35884</v>
          </cell>
          <cell r="F671">
            <v>35865</v>
          </cell>
          <cell r="G671">
            <v>2</v>
          </cell>
          <cell r="H671">
            <v>8.2899999999999991</v>
          </cell>
          <cell r="I671" t="str">
            <v>Romero y tomillo</v>
          </cell>
          <cell r="J671" t="str">
            <v>Gran Vía, 1</v>
          </cell>
          <cell r="K671" t="str">
            <v>Madrid</v>
          </cell>
          <cell r="M671" t="str">
            <v>28001</v>
          </cell>
          <cell r="N671" t="str">
            <v>Spain</v>
          </cell>
        </row>
        <row r="672">
          <cell r="A672">
            <v>10918</v>
          </cell>
          <cell r="B672" t="str">
            <v>BOTTM</v>
          </cell>
          <cell r="C672">
            <v>3</v>
          </cell>
          <cell r="D672">
            <v>35856</v>
          </cell>
          <cell r="E672">
            <v>35884</v>
          </cell>
          <cell r="F672">
            <v>35865</v>
          </cell>
          <cell r="G672">
            <v>3</v>
          </cell>
          <cell r="H672">
            <v>48.83</v>
          </cell>
          <cell r="I672" t="str">
            <v>Bottom-Dollar Markets</v>
          </cell>
          <cell r="J672" t="str">
            <v>23 Tsawassen Blvd.</v>
          </cell>
          <cell r="K672" t="str">
            <v>Tsawassen</v>
          </cell>
          <cell r="L672" t="str">
            <v>BC</v>
          </cell>
          <cell r="M672" t="str">
            <v>T2F 8M4</v>
          </cell>
          <cell r="N672" t="str">
            <v>Canada</v>
          </cell>
        </row>
        <row r="673">
          <cell r="A673">
            <v>10919</v>
          </cell>
          <cell r="B673" t="str">
            <v>LINOD</v>
          </cell>
          <cell r="C673">
            <v>2</v>
          </cell>
          <cell r="D673">
            <v>35856</v>
          </cell>
          <cell r="E673">
            <v>35884</v>
          </cell>
          <cell r="F673">
            <v>35858</v>
          </cell>
          <cell r="G673">
            <v>2</v>
          </cell>
          <cell r="H673">
            <v>19.8</v>
          </cell>
          <cell r="I673" t="str">
            <v>LINO-Delicateses</v>
          </cell>
          <cell r="J673" t="str">
            <v>Ave. 5 de Mayo Porlamar</v>
          </cell>
          <cell r="K673" t="str">
            <v>I. de Margarita</v>
          </cell>
          <cell r="L673" t="str">
            <v>Nueva Esparta</v>
          </cell>
          <cell r="M673" t="str">
            <v>4980</v>
          </cell>
          <cell r="N673" t="str">
            <v>Venezuela</v>
          </cell>
        </row>
        <row r="674">
          <cell r="A674">
            <v>10920</v>
          </cell>
          <cell r="B674" t="str">
            <v>AROUT</v>
          </cell>
          <cell r="C674">
            <v>4</v>
          </cell>
          <cell r="D674">
            <v>35857</v>
          </cell>
          <cell r="E674">
            <v>35885</v>
          </cell>
          <cell r="F674">
            <v>35863</v>
          </cell>
          <cell r="G674">
            <v>2</v>
          </cell>
          <cell r="H674">
            <v>29.61</v>
          </cell>
          <cell r="I674" t="str">
            <v>Around the Horn</v>
          </cell>
          <cell r="J674" t="str">
            <v>Brook Farm Stratford St. Mary</v>
          </cell>
          <cell r="K674" t="str">
            <v>Colchester</v>
          </cell>
          <cell r="L674" t="str">
            <v>Essex</v>
          </cell>
          <cell r="M674" t="str">
            <v>CO7 6JX</v>
          </cell>
          <cell r="N674" t="str">
            <v>UK</v>
          </cell>
        </row>
        <row r="675">
          <cell r="A675">
            <v>10921</v>
          </cell>
          <cell r="B675" t="str">
            <v>VAFFE</v>
          </cell>
          <cell r="C675">
            <v>1</v>
          </cell>
          <cell r="D675">
            <v>35857</v>
          </cell>
          <cell r="E675">
            <v>35899</v>
          </cell>
          <cell r="F675">
            <v>35863</v>
          </cell>
          <cell r="G675">
            <v>1</v>
          </cell>
          <cell r="H675">
            <v>176.48</v>
          </cell>
          <cell r="I675" t="str">
            <v>Vaffeljernet</v>
          </cell>
          <cell r="J675" t="str">
            <v>Smagsloget 45</v>
          </cell>
          <cell r="K675" t="str">
            <v>Århus</v>
          </cell>
          <cell r="M675" t="str">
            <v>8200</v>
          </cell>
          <cell r="N675" t="str">
            <v>Denmark</v>
          </cell>
        </row>
        <row r="676">
          <cell r="A676">
            <v>10922</v>
          </cell>
          <cell r="B676" t="str">
            <v>HANAR</v>
          </cell>
          <cell r="C676">
            <v>5</v>
          </cell>
          <cell r="D676">
            <v>35857</v>
          </cell>
          <cell r="E676">
            <v>35885</v>
          </cell>
          <cell r="F676">
            <v>35859</v>
          </cell>
          <cell r="G676">
            <v>3</v>
          </cell>
          <cell r="H676">
            <v>62.74</v>
          </cell>
          <cell r="I676" t="str">
            <v>Hanari Carnes</v>
          </cell>
          <cell r="J676" t="str">
            <v>Rua do Paço, 67</v>
          </cell>
          <cell r="K676" t="str">
            <v>Rio de Janeiro</v>
          </cell>
          <cell r="L676" t="str">
            <v>RJ</v>
          </cell>
          <cell r="M676" t="str">
            <v>05454-876</v>
          </cell>
          <cell r="N676" t="str">
            <v>Brazil</v>
          </cell>
        </row>
        <row r="677">
          <cell r="A677">
            <v>10923</v>
          </cell>
          <cell r="B677" t="str">
            <v>LAMAI</v>
          </cell>
          <cell r="C677">
            <v>7</v>
          </cell>
          <cell r="D677">
            <v>35857</v>
          </cell>
          <cell r="E677">
            <v>35899</v>
          </cell>
          <cell r="F677">
            <v>35867</v>
          </cell>
          <cell r="G677">
            <v>3</v>
          </cell>
          <cell r="H677">
            <v>68.260000000000005</v>
          </cell>
          <cell r="I677" t="str">
            <v>La maison d'Asie</v>
          </cell>
          <cell r="J677" t="str">
            <v>1 rue Alsace-Lorraine</v>
          </cell>
          <cell r="K677" t="str">
            <v>Toulouse</v>
          </cell>
          <cell r="M677" t="str">
            <v>31000</v>
          </cell>
          <cell r="N677" t="str">
            <v>France</v>
          </cell>
        </row>
        <row r="678">
          <cell r="A678">
            <v>10924</v>
          </cell>
          <cell r="B678" t="str">
            <v>BERGS</v>
          </cell>
          <cell r="C678">
            <v>3</v>
          </cell>
          <cell r="D678">
            <v>35858</v>
          </cell>
          <cell r="E678">
            <v>35886</v>
          </cell>
          <cell r="F678">
            <v>35893</v>
          </cell>
          <cell r="G678">
            <v>2</v>
          </cell>
          <cell r="H678">
            <v>151.52000000000001</v>
          </cell>
          <cell r="I678" t="str">
            <v>Berglunds snabbköp</v>
          </cell>
          <cell r="J678" t="str">
            <v>Berguvsvägen  8</v>
          </cell>
          <cell r="K678" t="str">
            <v>Luleå</v>
          </cell>
          <cell r="M678" t="str">
            <v>S-958 22</v>
          </cell>
          <cell r="N678" t="str">
            <v>Sweden</v>
          </cell>
        </row>
        <row r="679">
          <cell r="A679">
            <v>10925</v>
          </cell>
          <cell r="B679" t="str">
            <v>HANAR</v>
          </cell>
          <cell r="C679">
            <v>3</v>
          </cell>
          <cell r="D679">
            <v>35858</v>
          </cell>
          <cell r="E679">
            <v>35886</v>
          </cell>
          <cell r="F679">
            <v>35867</v>
          </cell>
          <cell r="G679">
            <v>1</v>
          </cell>
          <cell r="H679">
            <v>2.27</v>
          </cell>
          <cell r="I679" t="str">
            <v>Hanari Carnes</v>
          </cell>
          <cell r="J679" t="str">
            <v>Rua do Paço, 67</v>
          </cell>
          <cell r="K679" t="str">
            <v>Rio de Janeiro</v>
          </cell>
          <cell r="L679" t="str">
            <v>RJ</v>
          </cell>
          <cell r="M679" t="str">
            <v>05454-876</v>
          </cell>
          <cell r="N679" t="str">
            <v>Brazil</v>
          </cell>
        </row>
        <row r="680">
          <cell r="A680">
            <v>10926</v>
          </cell>
          <cell r="B680" t="str">
            <v>ANATR</v>
          </cell>
          <cell r="C680">
            <v>4</v>
          </cell>
          <cell r="D680">
            <v>35858</v>
          </cell>
          <cell r="E680">
            <v>35886</v>
          </cell>
          <cell r="F680">
            <v>35865</v>
          </cell>
          <cell r="G680">
            <v>3</v>
          </cell>
          <cell r="H680">
            <v>39.92</v>
          </cell>
          <cell r="I680" t="str">
            <v>Ana Trujillo Emparedados y helados</v>
          </cell>
          <cell r="J680" t="str">
            <v>Avda. de la Constitución 2222</v>
          </cell>
          <cell r="K680" t="str">
            <v>México D.F.</v>
          </cell>
          <cell r="M680" t="str">
            <v>05021</v>
          </cell>
          <cell r="N680" t="str">
            <v>Mexico</v>
          </cell>
        </row>
        <row r="681">
          <cell r="A681">
            <v>10927</v>
          </cell>
          <cell r="B681" t="str">
            <v>LACOR</v>
          </cell>
          <cell r="C681">
            <v>4</v>
          </cell>
          <cell r="D681">
            <v>35859</v>
          </cell>
          <cell r="E681">
            <v>35887</v>
          </cell>
          <cell r="F681">
            <v>35893</v>
          </cell>
          <cell r="G681">
            <v>1</v>
          </cell>
          <cell r="H681">
            <v>19.79</v>
          </cell>
          <cell r="I681" t="str">
            <v>La corne d'abondance</v>
          </cell>
          <cell r="J681" t="str">
            <v>67, avenue de l'Europe</v>
          </cell>
          <cell r="K681" t="str">
            <v>Versailles</v>
          </cell>
          <cell r="M681" t="str">
            <v>78000</v>
          </cell>
          <cell r="N681" t="str">
            <v>France</v>
          </cell>
        </row>
        <row r="682">
          <cell r="A682">
            <v>10928</v>
          </cell>
          <cell r="B682" t="str">
            <v>GALED</v>
          </cell>
          <cell r="C682">
            <v>1</v>
          </cell>
          <cell r="D682">
            <v>35859</v>
          </cell>
          <cell r="E682">
            <v>35887</v>
          </cell>
          <cell r="F682">
            <v>35872</v>
          </cell>
          <cell r="G682">
            <v>1</v>
          </cell>
          <cell r="H682">
            <v>1.36</v>
          </cell>
          <cell r="I682" t="str">
            <v>Galería del gastronómo</v>
          </cell>
          <cell r="J682" t="str">
            <v>Rambla de Cataluña, 23</v>
          </cell>
          <cell r="K682" t="str">
            <v>Barcelona</v>
          </cell>
          <cell r="M682" t="str">
            <v>8022</v>
          </cell>
          <cell r="N682" t="str">
            <v>Spain</v>
          </cell>
        </row>
        <row r="683">
          <cell r="A683">
            <v>10929</v>
          </cell>
          <cell r="B683" t="str">
            <v>FRANK</v>
          </cell>
          <cell r="C683">
            <v>6</v>
          </cell>
          <cell r="D683">
            <v>35859</v>
          </cell>
          <cell r="E683">
            <v>35887</v>
          </cell>
          <cell r="F683">
            <v>35866</v>
          </cell>
          <cell r="G683">
            <v>1</v>
          </cell>
          <cell r="H683">
            <v>33.93</v>
          </cell>
          <cell r="I683" t="str">
            <v>Frankenversand</v>
          </cell>
          <cell r="J683" t="str">
            <v>Berliner Platz 43</v>
          </cell>
          <cell r="K683" t="str">
            <v>München</v>
          </cell>
          <cell r="M683" t="str">
            <v>80805</v>
          </cell>
          <cell r="N683" t="str">
            <v>Germany</v>
          </cell>
        </row>
        <row r="684">
          <cell r="A684">
            <v>10930</v>
          </cell>
          <cell r="B684" t="str">
            <v>SUPRD</v>
          </cell>
          <cell r="C684">
            <v>4</v>
          </cell>
          <cell r="D684">
            <v>35860</v>
          </cell>
          <cell r="E684">
            <v>35902</v>
          </cell>
          <cell r="F684">
            <v>35872</v>
          </cell>
          <cell r="G684">
            <v>3</v>
          </cell>
          <cell r="H684">
            <v>15.55</v>
          </cell>
          <cell r="I684" t="str">
            <v>Suprêmes délices</v>
          </cell>
          <cell r="J684" t="str">
            <v>Boulevard Tirou, 255</v>
          </cell>
          <cell r="K684" t="str">
            <v>Charleroi</v>
          </cell>
          <cell r="M684" t="str">
            <v>B-6000</v>
          </cell>
          <cell r="N684" t="str">
            <v>Belgium</v>
          </cell>
        </row>
        <row r="685">
          <cell r="A685">
            <v>10931</v>
          </cell>
          <cell r="B685" t="str">
            <v>RICSU</v>
          </cell>
          <cell r="C685">
            <v>4</v>
          </cell>
          <cell r="D685">
            <v>35860</v>
          </cell>
          <cell r="E685">
            <v>35874</v>
          </cell>
          <cell r="F685">
            <v>35873</v>
          </cell>
          <cell r="G685">
            <v>2</v>
          </cell>
          <cell r="H685">
            <v>13.6</v>
          </cell>
          <cell r="I685" t="str">
            <v>Richter Supermarkt</v>
          </cell>
          <cell r="J685" t="str">
            <v>Starenweg 5</v>
          </cell>
          <cell r="K685" t="str">
            <v>Genève</v>
          </cell>
          <cell r="M685" t="str">
            <v>1204</v>
          </cell>
          <cell r="N685" t="str">
            <v>Switzerland</v>
          </cell>
        </row>
        <row r="686">
          <cell r="A686">
            <v>10932</v>
          </cell>
          <cell r="B686" t="str">
            <v>BONAP</v>
          </cell>
          <cell r="C686">
            <v>8</v>
          </cell>
          <cell r="D686">
            <v>35860</v>
          </cell>
          <cell r="E686">
            <v>35888</v>
          </cell>
          <cell r="F686">
            <v>35878</v>
          </cell>
          <cell r="G686">
            <v>1</v>
          </cell>
          <cell r="H686">
            <v>134.63999999999999</v>
          </cell>
          <cell r="I686" t="str">
            <v>Bon app'</v>
          </cell>
          <cell r="J686" t="str">
            <v>12, rue des Bouchers</v>
          </cell>
          <cell r="K686" t="str">
            <v>Marseille</v>
          </cell>
          <cell r="M686" t="str">
            <v>13008</v>
          </cell>
          <cell r="N686" t="str">
            <v>France</v>
          </cell>
        </row>
        <row r="687">
          <cell r="A687">
            <v>10933</v>
          </cell>
          <cell r="B687" t="str">
            <v>ISLAT</v>
          </cell>
          <cell r="C687">
            <v>6</v>
          </cell>
          <cell r="D687">
            <v>35860</v>
          </cell>
          <cell r="E687">
            <v>35888</v>
          </cell>
          <cell r="F687">
            <v>35870</v>
          </cell>
          <cell r="G687">
            <v>3</v>
          </cell>
          <cell r="H687">
            <v>54.15</v>
          </cell>
          <cell r="I687" t="str">
            <v>Island Trading</v>
          </cell>
          <cell r="J687" t="str">
            <v>Garden House Crowther Way</v>
          </cell>
          <cell r="K687" t="str">
            <v>Cowes</v>
          </cell>
          <cell r="L687" t="str">
            <v>Isle of Wight</v>
          </cell>
          <cell r="M687" t="str">
            <v>PO31 7PJ</v>
          </cell>
          <cell r="N687" t="str">
            <v>UK</v>
          </cell>
        </row>
        <row r="688">
          <cell r="A688">
            <v>10934</v>
          </cell>
          <cell r="B688" t="str">
            <v>LEHMS</v>
          </cell>
          <cell r="C688">
            <v>3</v>
          </cell>
          <cell r="D688">
            <v>35863</v>
          </cell>
          <cell r="E688">
            <v>35891</v>
          </cell>
          <cell r="F688">
            <v>35866</v>
          </cell>
          <cell r="G688">
            <v>3</v>
          </cell>
          <cell r="H688">
            <v>32.01</v>
          </cell>
          <cell r="I688" t="str">
            <v>Lehmanns Marktstand</v>
          </cell>
          <cell r="J688" t="str">
            <v>Magazinweg 7</v>
          </cell>
          <cell r="K688" t="str">
            <v>Frankfurt a.M.</v>
          </cell>
          <cell r="M688" t="str">
            <v>60528</v>
          </cell>
          <cell r="N688" t="str">
            <v>Germany</v>
          </cell>
        </row>
        <row r="689">
          <cell r="A689">
            <v>10935</v>
          </cell>
          <cell r="B689" t="str">
            <v>WELLI</v>
          </cell>
          <cell r="C689">
            <v>4</v>
          </cell>
          <cell r="D689">
            <v>35863</v>
          </cell>
          <cell r="E689">
            <v>35891</v>
          </cell>
          <cell r="F689">
            <v>35872</v>
          </cell>
          <cell r="G689">
            <v>3</v>
          </cell>
          <cell r="H689">
            <v>47.59</v>
          </cell>
          <cell r="I689" t="str">
            <v>Wellington Importadora</v>
          </cell>
          <cell r="J689" t="str">
            <v>Rua do Mercado, 12</v>
          </cell>
          <cell r="K689" t="str">
            <v>Resende</v>
          </cell>
          <cell r="L689" t="str">
            <v>SP</v>
          </cell>
          <cell r="M689" t="str">
            <v>08737-363</v>
          </cell>
          <cell r="N689" t="str">
            <v>Brazil</v>
          </cell>
        </row>
        <row r="690">
          <cell r="A690">
            <v>10936</v>
          </cell>
          <cell r="B690" t="str">
            <v>GREAL</v>
          </cell>
          <cell r="C690">
            <v>3</v>
          </cell>
          <cell r="D690">
            <v>35863</v>
          </cell>
          <cell r="E690">
            <v>35891</v>
          </cell>
          <cell r="F690">
            <v>35872</v>
          </cell>
          <cell r="G690">
            <v>2</v>
          </cell>
          <cell r="H690">
            <v>33.68</v>
          </cell>
          <cell r="I690" t="str">
            <v>Great Lakes Food Market</v>
          </cell>
          <cell r="J690" t="str">
            <v>2732 Baker Blvd.</v>
          </cell>
          <cell r="K690" t="str">
            <v>Eugene</v>
          </cell>
          <cell r="L690" t="str">
            <v>OR</v>
          </cell>
          <cell r="M690" t="str">
            <v>97403</v>
          </cell>
          <cell r="N690" t="str">
            <v>USA</v>
          </cell>
        </row>
        <row r="691">
          <cell r="A691">
            <v>10937</v>
          </cell>
          <cell r="B691" t="str">
            <v>CACTU</v>
          </cell>
          <cell r="C691">
            <v>7</v>
          </cell>
          <cell r="D691">
            <v>35864</v>
          </cell>
          <cell r="E691">
            <v>35878</v>
          </cell>
          <cell r="F691">
            <v>35867</v>
          </cell>
          <cell r="G691">
            <v>3</v>
          </cell>
          <cell r="H691">
            <v>31.51</v>
          </cell>
          <cell r="I691" t="str">
            <v>Cactus Comidas para llevar</v>
          </cell>
          <cell r="J691" t="str">
            <v>Cerrito 333</v>
          </cell>
          <cell r="K691" t="str">
            <v>Buenos Aires</v>
          </cell>
          <cell r="M691" t="str">
            <v>1010</v>
          </cell>
          <cell r="N691" t="str">
            <v>Argentina</v>
          </cell>
        </row>
        <row r="692">
          <cell r="A692">
            <v>10938</v>
          </cell>
          <cell r="B692" t="str">
            <v>QUICK</v>
          </cell>
          <cell r="C692">
            <v>3</v>
          </cell>
          <cell r="D692">
            <v>35864</v>
          </cell>
          <cell r="E692">
            <v>35892</v>
          </cell>
          <cell r="F692">
            <v>35870</v>
          </cell>
          <cell r="G692">
            <v>2</v>
          </cell>
          <cell r="H692">
            <v>31.89</v>
          </cell>
          <cell r="I692" t="str">
            <v>QUICK-Stop</v>
          </cell>
          <cell r="J692" t="str">
            <v>Taucherstraße 10</v>
          </cell>
          <cell r="K692" t="str">
            <v>Cunewalde</v>
          </cell>
          <cell r="M692" t="str">
            <v>01307</v>
          </cell>
          <cell r="N692" t="str">
            <v>Germany</v>
          </cell>
        </row>
        <row r="693">
          <cell r="A693">
            <v>10939</v>
          </cell>
          <cell r="B693" t="str">
            <v>MAGAA</v>
          </cell>
          <cell r="C693">
            <v>2</v>
          </cell>
          <cell r="D693">
            <v>35864</v>
          </cell>
          <cell r="E693">
            <v>35892</v>
          </cell>
          <cell r="F693">
            <v>35867</v>
          </cell>
          <cell r="G693">
            <v>2</v>
          </cell>
          <cell r="H693">
            <v>76.33</v>
          </cell>
          <cell r="I693" t="str">
            <v>Magazzini Alimentari Riuniti</v>
          </cell>
          <cell r="J693" t="str">
            <v>Via Ludovico il Moro 22</v>
          </cell>
          <cell r="K693" t="str">
            <v>Bergamo</v>
          </cell>
          <cell r="M693" t="str">
            <v>24100</v>
          </cell>
          <cell r="N693" t="str">
            <v>Italy</v>
          </cell>
        </row>
        <row r="694">
          <cell r="A694">
            <v>10940</v>
          </cell>
          <cell r="B694" t="str">
            <v>BONAP</v>
          </cell>
          <cell r="C694">
            <v>8</v>
          </cell>
          <cell r="D694">
            <v>35865</v>
          </cell>
          <cell r="E694">
            <v>35893</v>
          </cell>
          <cell r="F694">
            <v>35877</v>
          </cell>
          <cell r="G694">
            <v>3</v>
          </cell>
          <cell r="H694">
            <v>19.77</v>
          </cell>
          <cell r="I694" t="str">
            <v>Bon app'</v>
          </cell>
          <cell r="J694" t="str">
            <v>12, rue des Bouchers</v>
          </cell>
          <cell r="K694" t="str">
            <v>Marseille</v>
          </cell>
          <cell r="M694" t="str">
            <v>13008</v>
          </cell>
          <cell r="N694" t="str">
            <v>France</v>
          </cell>
        </row>
        <row r="695">
          <cell r="A695">
            <v>10941</v>
          </cell>
          <cell r="B695" t="str">
            <v>SAVEA</v>
          </cell>
          <cell r="C695">
            <v>7</v>
          </cell>
          <cell r="D695">
            <v>35865</v>
          </cell>
          <cell r="E695">
            <v>35893</v>
          </cell>
          <cell r="F695">
            <v>35874</v>
          </cell>
          <cell r="G695">
            <v>2</v>
          </cell>
          <cell r="H695">
            <v>400.81</v>
          </cell>
          <cell r="I695" t="str">
            <v>Save-a-lot Markets</v>
          </cell>
          <cell r="J695" t="str">
            <v>187 Suffolk Ln.</v>
          </cell>
          <cell r="K695" t="str">
            <v>Boise</v>
          </cell>
          <cell r="L695" t="str">
            <v>ID</v>
          </cell>
          <cell r="M695" t="str">
            <v>83720</v>
          </cell>
          <cell r="N695" t="str">
            <v>USA</v>
          </cell>
        </row>
        <row r="696">
          <cell r="A696">
            <v>10942</v>
          </cell>
          <cell r="B696" t="str">
            <v>REGGC</v>
          </cell>
          <cell r="C696">
            <v>9</v>
          </cell>
          <cell r="D696">
            <v>35865</v>
          </cell>
          <cell r="E696">
            <v>35893</v>
          </cell>
          <cell r="F696">
            <v>35872</v>
          </cell>
          <cell r="G696">
            <v>3</v>
          </cell>
          <cell r="H696">
            <v>17.95</v>
          </cell>
          <cell r="I696" t="str">
            <v>Reggiani Caseifici</v>
          </cell>
          <cell r="J696" t="str">
            <v>Strada Provinciale 124</v>
          </cell>
          <cell r="K696" t="str">
            <v>Reggio Emilia</v>
          </cell>
          <cell r="M696" t="str">
            <v>42100</v>
          </cell>
          <cell r="N696" t="str">
            <v>Italy</v>
          </cell>
        </row>
        <row r="697">
          <cell r="A697">
            <v>10943</v>
          </cell>
          <cell r="B697" t="str">
            <v>BSBEV</v>
          </cell>
          <cell r="C697">
            <v>4</v>
          </cell>
          <cell r="D697">
            <v>35865</v>
          </cell>
          <cell r="E697">
            <v>35893</v>
          </cell>
          <cell r="F697">
            <v>35873</v>
          </cell>
          <cell r="G697">
            <v>2</v>
          </cell>
          <cell r="H697">
            <v>2.17</v>
          </cell>
          <cell r="I697" t="str">
            <v>B's Beverages</v>
          </cell>
          <cell r="J697" t="str">
            <v>Fauntleroy Circus</v>
          </cell>
          <cell r="K697" t="str">
            <v>London</v>
          </cell>
          <cell r="M697" t="str">
            <v>EC2 5NT</v>
          </cell>
          <cell r="N697" t="str">
            <v>UK</v>
          </cell>
        </row>
        <row r="698">
          <cell r="A698">
            <v>10944</v>
          </cell>
          <cell r="B698" t="str">
            <v>BOTTM</v>
          </cell>
          <cell r="C698">
            <v>6</v>
          </cell>
          <cell r="D698">
            <v>35866</v>
          </cell>
          <cell r="E698">
            <v>35880</v>
          </cell>
          <cell r="F698">
            <v>35867</v>
          </cell>
          <cell r="G698">
            <v>3</v>
          </cell>
          <cell r="H698">
            <v>52.92</v>
          </cell>
          <cell r="I698" t="str">
            <v>Bottom-Dollar Markets</v>
          </cell>
          <cell r="J698" t="str">
            <v>23 Tsawassen Blvd.</v>
          </cell>
          <cell r="K698" t="str">
            <v>Tsawassen</v>
          </cell>
          <cell r="L698" t="str">
            <v>BC</v>
          </cell>
          <cell r="M698" t="str">
            <v>T2F 8M4</v>
          </cell>
          <cell r="N698" t="str">
            <v>Canada</v>
          </cell>
        </row>
        <row r="699">
          <cell r="A699">
            <v>10945</v>
          </cell>
          <cell r="B699" t="str">
            <v>MORGK</v>
          </cell>
          <cell r="C699">
            <v>4</v>
          </cell>
          <cell r="D699">
            <v>35866</v>
          </cell>
          <cell r="E699">
            <v>35894</v>
          </cell>
          <cell r="F699">
            <v>35872</v>
          </cell>
          <cell r="G699">
            <v>1</v>
          </cell>
          <cell r="H699">
            <v>10.220000000000001</v>
          </cell>
          <cell r="I699" t="str">
            <v>Morgenstern Gesundkost</v>
          </cell>
          <cell r="J699" t="str">
            <v>Heerstr. 22</v>
          </cell>
          <cell r="K699" t="str">
            <v>Leipzig</v>
          </cell>
          <cell r="M699" t="str">
            <v>04179</v>
          </cell>
          <cell r="N699" t="str">
            <v>Germany</v>
          </cell>
        </row>
        <row r="700">
          <cell r="A700">
            <v>10946</v>
          </cell>
          <cell r="B700" t="str">
            <v>VAFFE</v>
          </cell>
          <cell r="C700">
            <v>1</v>
          </cell>
          <cell r="D700">
            <v>35866</v>
          </cell>
          <cell r="E700">
            <v>35894</v>
          </cell>
          <cell r="F700">
            <v>35873</v>
          </cell>
          <cell r="G700">
            <v>2</v>
          </cell>
          <cell r="H700">
            <v>27.2</v>
          </cell>
          <cell r="I700" t="str">
            <v>Vaffeljernet</v>
          </cell>
          <cell r="J700" t="str">
            <v>Smagsloget 45</v>
          </cell>
          <cell r="K700" t="str">
            <v>Århus</v>
          </cell>
          <cell r="M700" t="str">
            <v>8200</v>
          </cell>
          <cell r="N700" t="str">
            <v>Denmark</v>
          </cell>
        </row>
        <row r="701">
          <cell r="A701">
            <v>10947</v>
          </cell>
          <cell r="B701" t="str">
            <v>BSBEV</v>
          </cell>
          <cell r="C701">
            <v>3</v>
          </cell>
          <cell r="D701">
            <v>35867</v>
          </cell>
          <cell r="E701">
            <v>35895</v>
          </cell>
          <cell r="F701">
            <v>35870</v>
          </cell>
          <cell r="G701">
            <v>2</v>
          </cell>
          <cell r="H701">
            <v>3.26</v>
          </cell>
          <cell r="I701" t="str">
            <v>B's Beverages</v>
          </cell>
          <cell r="J701" t="str">
            <v>Fauntleroy Circus</v>
          </cell>
          <cell r="K701" t="str">
            <v>London</v>
          </cell>
          <cell r="M701" t="str">
            <v>EC2 5NT</v>
          </cell>
          <cell r="N701" t="str">
            <v>UK</v>
          </cell>
        </row>
        <row r="702">
          <cell r="A702">
            <v>10948</v>
          </cell>
          <cell r="B702" t="str">
            <v>GODOS</v>
          </cell>
          <cell r="C702">
            <v>3</v>
          </cell>
          <cell r="D702">
            <v>35867</v>
          </cell>
          <cell r="E702">
            <v>35895</v>
          </cell>
          <cell r="F702">
            <v>35873</v>
          </cell>
          <cell r="G702">
            <v>3</v>
          </cell>
          <cell r="H702">
            <v>23.39</v>
          </cell>
          <cell r="I702" t="str">
            <v>Godos Cocina Típica</v>
          </cell>
          <cell r="J702" t="str">
            <v>C/ Romero, 33</v>
          </cell>
          <cell r="K702" t="str">
            <v>Sevilla</v>
          </cell>
          <cell r="M702" t="str">
            <v>41101</v>
          </cell>
          <cell r="N702" t="str">
            <v>Spain</v>
          </cell>
        </row>
        <row r="703">
          <cell r="A703">
            <v>10949</v>
          </cell>
          <cell r="B703" t="str">
            <v>BOTTM</v>
          </cell>
          <cell r="C703">
            <v>2</v>
          </cell>
          <cell r="D703">
            <v>35867</v>
          </cell>
          <cell r="E703">
            <v>35895</v>
          </cell>
          <cell r="F703">
            <v>35871</v>
          </cell>
          <cell r="G703">
            <v>3</v>
          </cell>
          <cell r="H703">
            <v>74.44</v>
          </cell>
          <cell r="I703" t="str">
            <v>Bottom-Dollar Markets</v>
          </cell>
          <cell r="J703" t="str">
            <v>23 Tsawassen Blvd.</v>
          </cell>
          <cell r="K703" t="str">
            <v>Tsawassen</v>
          </cell>
          <cell r="L703" t="str">
            <v>BC</v>
          </cell>
          <cell r="M703" t="str">
            <v>T2F 8M4</v>
          </cell>
          <cell r="N703" t="str">
            <v>Canada</v>
          </cell>
        </row>
        <row r="704">
          <cell r="A704">
            <v>10950</v>
          </cell>
          <cell r="B704" t="str">
            <v>MAGAA</v>
          </cell>
          <cell r="C704">
            <v>1</v>
          </cell>
          <cell r="D704">
            <v>35870</v>
          </cell>
          <cell r="E704">
            <v>35898</v>
          </cell>
          <cell r="F704">
            <v>35877</v>
          </cell>
          <cell r="G704">
            <v>2</v>
          </cell>
          <cell r="H704">
            <v>2.5</v>
          </cell>
          <cell r="I704" t="str">
            <v>Magazzini Alimentari Riuniti</v>
          </cell>
          <cell r="J704" t="str">
            <v>Via Ludovico il Moro 22</v>
          </cell>
          <cell r="K704" t="str">
            <v>Bergamo</v>
          </cell>
          <cell r="M704" t="str">
            <v>24100</v>
          </cell>
          <cell r="N704" t="str">
            <v>Italy</v>
          </cell>
        </row>
        <row r="705">
          <cell r="A705">
            <v>10951</v>
          </cell>
          <cell r="B705" t="str">
            <v>RICSU</v>
          </cell>
          <cell r="C705">
            <v>9</v>
          </cell>
          <cell r="D705">
            <v>35870</v>
          </cell>
          <cell r="E705">
            <v>35912</v>
          </cell>
          <cell r="F705">
            <v>35892</v>
          </cell>
          <cell r="G705">
            <v>2</v>
          </cell>
          <cell r="H705">
            <v>30.85</v>
          </cell>
          <cell r="I705" t="str">
            <v>Richter Supermarkt</v>
          </cell>
          <cell r="J705" t="str">
            <v>Starenweg 5</v>
          </cell>
          <cell r="K705" t="str">
            <v>Genève</v>
          </cell>
          <cell r="M705" t="str">
            <v>1204</v>
          </cell>
          <cell r="N705" t="str">
            <v>Switzerland</v>
          </cell>
        </row>
        <row r="706">
          <cell r="A706">
            <v>10952</v>
          </cell>
          <cell r="B706" t="str">
            <v>ALFKI</v>
          </cell>
          <cell r="C706">
            <v>1</v>
          </cell>
          <cell r="D706">
            <v>35870</v>
          </cell>
          <cell r="E706">
            <v>35912</v>
          </cell>
          <cell r="F706">
            <v>35878</v>
          </cell>
          <cell r="G706">
            <v>1</v>
          </cell>
          <cell r="H706">
            <v>40.42</v>
          </cell>
          <cell r="I706" t="str">
            <v>Alfred's Futterkiste</v>
          </cell>
          <cell r="J706" t="str">
            <v>Obere Str. 57</v>
          </cell>
          <cell r="K706" t="str">
            <v>Berlin</v>
          </cell>
          <cell r="M706" t="str">
            <v>12209</v>
          </cell>
          <cell r="N706" t="str">
            <v>Germany</v>
          </cell>
        </row>
        <row r="707">
          <cell r="A707">
            <v>10953</v>
          </cell>
          <cell r="B707" t="str">
            <v>AROUT</v>
          </cell>
          <cell r="C707">
            <v>9</v>
          </cell>
          <cell r="D707">
            <v>35870</v>
          </cell>
          <cell r="E707">
            <v>35884</v>
          </cell>
          <cell r="F707">
            <v>35879</v>
          </cell>
          <cell r="G707">
            <v>2</v>
          </cell>
          <cell r="H707">
            <v>23.72</v>
          </cell>
          <cell r="I707" t="str">
            <v>Around the Horn</v>
          </cell>
          <cell r="J707" t="str">
            <v>Brook Farm Stratford St. Mary</v>
          </cell>
          <cell r="K707" t="str">
            <v>Colchester</v>
          </cell>
          <cell r="L707" t="str">
            <v>Essex</v>
          </cell>
          <cell r="M707" t="str">
            <v>CO7 6JX</v>
          </cell>
          <cell r="N707" t="str">
            <v>UK</v>
          </cell>
        </row>
        <row r="708">
          <cell r="A708">
            <v>10954</v>
          </cell>
          <cell r="B708" t="str">
            <v>LINOD</v>
          </cell>
          <cell r="C708">
            <v>5</v>
          </cell>
          <cell r="D708">
            <v>35871</v>
          </cell>
          <cell r="E708">
            <v>35913</v>
          </cell>
          <cell r="F708">
            <v>35874</v>
          </cell>
          <cell r="G708">
            <v>1</v>
          </cell>
          <cell r="H708">
            <v>27.91</v>
          </cell>
          <cell r="I708" t="str">
            <v>LINO-Delicateses</v>
          </cell>
          <cell r="J708" t="str">
            <v>Ave. 5 de Mayo Porlamar</v>
          </cell>
          <cell r="K708" t="str">
            <v>I. de Margarita</v>
          </cell>
          <cell r="L708" t="str">
            <v>Nueva Esparta</v>
          </cell>
          <cell r="M708" t="str">
            <v>4980</v>
          </cell>
          <cell r="N708" t="str">
            <v>Venezuela</v>
          </cell>
        </row>
        <row r="709">
          <cell r="A709">
            <v>10955</v>
          </cell>
          <cell r="B709" t="str">
            <v>FOLKO</v>
          </cell>
          <cell r="C709">
            <v>8</v>
          </cell>
          <cell r="D709">
            <v>35871</v>
          </cell>
          <cell r="E709">
            <v>35899</v>
          </cell>
          <cell r="F709">
            <v>35874</v>
          </cell>
          <cell r="G709">
            <v>2</v>
          </cell>
          <cell r="H709">
            <v>3.26</v>
          </cell>
          <cell r="I709" t="str">
            <v>Folk och fä HB</v>
          </cell>
          <cell r="J709" t="str">
            <v>Åkergatan 24</v>
          </cell>
          <cell r="K709" t="str">
            <v>Bräcke</v>
          </cell>
          <cell r="M709" t="str">
            <v>S-844 67</v>
          </cell>
          <cell r="N709" t="str">
            <v>Sweden</v>
          </cell>
        </row>
        <row r="710">
          <cell r="A710">
            <v>10956</v>
          </cell>
          <cell r="B710" t="str">
            <v>BLAUS</v>
          </cell>
          <cell r="C710">
            <v>6</v>
          </cell>
          <cell r="D710">
            <v>35871</v>
          </cell>
          <cell r="E710">
            <v>35913</v>
          </cell>
          <cell r="F710">
            <v>35874</v>
          </cell>
          <cell r="G710">
            <v>2</v>
          </cell>
          <cell r="H710">
            <v>44.65</v>
          </cell>
          <cell r="I710" t="str">
            <v>Blauer See Delikatessen</v>
          </cell>
          <cell r="J710" t="str">
            <v>Forsterstr. 57</v>
          </cell>
          <cell r="K710" t="str">
            <v>Mannheim</v>
          </cell>
          <cell r="M710" t="str">
            <v>68306</v>
          </cell>
          <cell r="N710" t="str">
            <v>Germany</v>
          </cell>
        </row>
        <row r="711">
          <cell r="A711">
            <v>10957</v>
          </cell>
          <cell r="B711" t="str">
            <v>HILAA</v>
          </cell>
          <cell r="C711">
            <v>8</v>
          </cell>
          <cell r="D711">
            <v>35872</v>
          </cell>
          <cell r="E711">
            <v>35900</v>
          </cell>
          <cell r="F711">
            <v>35881</v>
          </cell>
          <cell r="G711">
            <v>3</v>
          </cell>
          <cell r="H711">
            <v>105.36</v>
          </cell>
          <cell r="I711" t="str">
            <v>HILARION-Abastos</v>
          </cell>
          <cell r="J711" t="str">
            <v>Carrera 22 con Ave. Carlos Soublette #8-35</v>
          </cell>
          <cell r="K711" t="str">
            <v>San Cristóbal</v>
          </cell>
          <cell r="L711" t="str">
            <v>Táchira</v>
          </cell>
          <cell r="M711" t="str">
            <v>5022</v>
          </cell>
          <cell r="N711" t="str">
            <v>Venezuela</v>
          </cell>
        </row>
        <row r="712">
          <cell r="A712">
            <v>10958</v>
          </cell>
          <cell r="B712" t="str">
            <v>OCEAN</v>
          </cell>
          <cell r="C712">
            <v>7</v>
          </cell>
          <cell r="D712">
            <v>35872</v>
          </cell>
          <cell r="E712">
            <v>35900</v>
          </cell>
          <cell r="F712">
            <v>35881</v>
          </cell>
          <cell r="G712">
            <v>2</v>
          </cell>
          <cell r="H712">
            <v>49.56</v>
          </cell>
          <cell r="I712" t="str">
            <v>Océano Atlántico Ltda.</v>
          </cell>
          <cell r="J712" t="str">
            <v>Ing. Gustavo Moncada 8585 Piso 20-A</v>
          </cell>
          <cell r="K712" t="str">
            <v>Buenos Aires</v>
          </cell>
          <cell r="M712" t="str">
            <v>1010</v>
          </cell>
          <cell r="N712" t="str">
            <v>Argentina</v>
          </cell>
        </row>
        <row r="713">
          <cell r="A713">
            <v>10959</v>
          </cell>
          <cell r="B713" t="str">
            <v>GOURL</v>
          </cell>
          <cell r="C713">
            <v>6</v>
          </cell>
          <cell r="D713">
            <v>35872</v>
          </cell>
          <cell r="E713">
            <v>35914</v>
          </cell>
          <cell r="F713">
            <v>35877</v>
          </cell>
          <cell r="G713">
            <v>2</v>
          </cell>
          <cell r="H713">
            <v>4.9800000000000004</v>
          </cell>
          <cell r="I713" t="str">
            <v>Gourmet Lanchonetes</v>
          </cell>
          <cell r="J713" t="str">
            <v>Av. Brasil, 442</v>
          </cell>
          <cell r="K713" t="str">
            <v>Campinas</v>
          </cell>
          <cell r="L713" t="str">
            <v>SP</v>
          </cell>
          <cell r="M713" t="str">
            <v>04876-786</v>
          </cell>
          <cell r="N713" t="str">
            <v>Brazil</v>
          </cell>
        </row>
        <row r="714">
          <cell r="A714">
            <v>10960</v>
          </cell>
          <cell r="B714" t="str">
            <v>HILAA</v>
          </cell>
          <cell r="C714">
            <v>3</v>
          </cell>
          <cell r="D714">
            <v>35873</v>
          </cell>
          <cell r="E714">
            <v>35887</v>
          </cell>
          <cell r="F714">
            <v>35893</v>
          </cell>
          <cell r="G714">
            <v>1</v>
          </cell>
          <cell r="H714">
            <v>2.08</v>
          </cell>
          <cell r="I714" t="str">
            <v>HILARION-Abastos</v>
          </cell>
          <cell r="J714" t="str">
            <v>Carrera 22 con Ave. Carlos Soublette #8-35</v>
          </cell>
          <cell r="K714" t="str">
            <v>San Cristóbal</v>
          </cell>
          <cell r="L714" t="str">
            <v>Táchira</v>
          </cell>
          <cell r="M714" t="str">
            <v>5022</v>
          </cell>
          <cell r="N714" t="str">
            <v>Venezuela</v>
          </cell>
        </row>
        <row r="715">
          <cell r="A715">
            <v>10961</v>
          </cell>
          <cell r="B715" t="str">
            <v>QUEEN</v>
          </cell>
          <cell r="C715">
            <v>8</v>
          </cell>
          <cell r="D715">
            <v>35873</v>
          </cell>
          <cell r="E715">
            <v>35901</v>
          </cell>
          <cell r="F715">
            <v>35884</v>
          </cell>
          <cell r="G715">
            <v>1</v>
          </cell>
          <cell r="H715">
            <v>104.47</v>
          </cell>
          <cell r="I715" t="str">
            <v>Queen Cozinha</v>
          </cell>
          <cell r="J715" t="str">
            <v>Alameda dos Canàrios, 891</v>
          </cell>
          <cell r="K715" t="str">
            <v>Sao Paulo</v>
          </cell>
          <cell r="L715" t="str">
            <v>SP</v>
          </cell>
          <cell r="M715" t="str">
            <v>05487-020</v>
          </cell>
          <cell r="N715" t="str">
            <v>Brazil</v>
          </cell>
        </row>
        <row r="716">
          <cell r="A716">
            <v>10962</v>
          </cell>
          <cell r="B716" t="str">
            <v>QUICK</v>
          </cell>
          <cell r="C716">
            <v>8</v>
          </cell>
          <cell r="D716">
            <v>35873</v>
          </cell>
          <cell r="E716">
            <v>35901</v>
          </cell>
          <cell r="F716">
            <v>35877</v>
          </cell>
          <cell r="G716">
            <v>2</v>
          </cell>
          <cell r="H716">
            <v>275.79000000000002</v>
          </cell>
          <cell r="I716" t="str">
            <v>QUICK-Stop</v>
          </cell>
          <cell r="J716" t="str">
            <v>Taucherstraße 10</v>
          </cell>
          <cell r="K716" t="str">
            <v>Cunewalde</v>
          </cell>
          <cell r="M716" t="str">
            <v>01307</v>
          </cell>
          <cell r="N716" t="str">
            <v>Germany</v>
          </cell>
        </row>
        <row r="717">
          <cell r="A717">
            <v>10963</v>
          </cell>
          <cell r="B717" t="str">
            <v>FURIB</v>
          </cell>
          <cell r="C717">
            <v>9</v>
          </cell>
          <cell r="D717">
            <v>35873</v>
          </cell>
          <cell r="E717">
            <v>35901</v>
          </cell>
          <cell r="F717">
            <v>35880</v>
          </cell>
          <cell r="G717">
            <v>3</v>
          </cell>
          <cell r="H717">
            <v>2.7</v>
          </cell>
          <cell r="I717" t="str">
            <v>Furia Bacalhau e Frutos do Mar</v>
          </cell>
          <cell r="J717" t="str">
            <v>Jardim das rosas n. 32</v>
          </cell>
          <cell r="K717" t="str">
            <v>Lisboa</v>
          </cell>
          <cell r="M717" t="str">
            <v>1675</v>
          </cell>
          <cell r="N717" t="str">
            <v>Portugal</v>
          </cell>
        </row>
        <row r="718">
          <cell r="A718">
            <v>10964</v>
          </cell>
          <cell r="B718" t="str">
            <v>SPECD</v>
          </cell>
          <cell r="C718">
            <v>3</v>
          </cell>
          <cell r="D718">
            <v>35874</v>
          </cell>
          <cell r="E718">
            <v>35902</v>
          </cell>
          <cell r="F718">
            <v>35878</v>
          </cell>
          <cell r="G718">
            <v>2</v>
          </cell>
          <cell r="H718">
            <v>87.38</v>
          </cell>
          <cell r="I718" t="str">
            <v>Spécialités du monde</v>
          </cell>
          <cell r="J718" t="str">
            <v>25, rue Lauriston</v>
          </cell>
          <cell r="K718" t="str">
            <v>Paris</v>
          </cell>
          <cell r="M718" t="str">
            <v>75016</v>
          </cell>
          <cell r="N718" t="str">
            <v>France</v>
          </cell>
        </row>
        <row r="719">
          <cell r="A719">
            <v>10965</v>
          </cell>
          <cell r="B719" t="str">
            <v>OLDWO</v>
          </cell>
          <cell r="C719">
            <v>6</v>
          </cell>
          <cell r="D719">
            <v>35874</v>
          </cell>
          <cell r="E719">
            <v>35902</v>
          </cell>
          <cell r="F719">
            <v>35884</v>
          </cell>
          <cell r="G719">
            <v>3</v>
          </cell>
          <cell r="H719">
            <v>144.38</v>
          </cell>
          <cell r="I719" t="str">
            <v>Old World Delicatessen</v>
          </cell>
          <cell r="J719" t="str">
            <v>2743 Bering St.</v>
          </cell>
          <cell r="K719" t="str">
            <v>Anchorage</v>
          </cell>
          <cell r="L719" t="str">
            <v>AK</v>
          </cell>
          <cell r="M719" t="str">
            <v>99508</v>
          </cell>
          <cell r="N719" t="str">
            <v>USA</v>
          </cell>
        </row>
        <row r="720">
          <cell r="A720">
            <v>10966</v>
          </cell>
          <cell r="B720" t="str">
            <v>CHOPS</v>
          </cell>
          <cell r="C720">
            <v>4</v>
          </cell>
          <cell r="D720">
            <v>35874</v>
          </cell>
          <cell r="E720">
            <v>35902</v>
          </cell>
          <cell r="F720">
            <v>35893</v>
          </cell>
          <cell r="G720">
            <v>1</v>
          </cell>
          <cell r="H720">
            <v>27.19</v>
          </cell>
          <cell r="I720" t="str">
            <v>Chop-suey Chinese</v>
          </cell>
          <cell r="J720" t="str">
            <v>Hauptstr. 31</v>
          </cell>
          <cell r="K720" t="str">
            <v>Bern</v>
          </cell>
          <cell r="M720" t="str">
            <v>3012</v>
          </cell>
          <cell r="N720" t="str">
            <v>Switzerland</v>
          </cell>
        </row>
        <row r="721">
          <cell r="A721">
            <v>10967</v>
          </cell>
          <cell r="B721" t="str">
            <v>TOMSP</v>
          </cell>
          <cell r="C721">
            <v>2</v>
          </cell>
          <cell r="D721">
            <v>35877</v>
          </cell>
          <cell r="E721">
            <v>35905</v>
          </cell>
          <cell r="F721">
            <v>35887</v>
          </cell>
          <cell r="G721">
            <v>2</v>
          </cell>
          <cell r="H721">
            <v>62.22</v>
          </cell>
          <cell r="I721" t="str">
            <v>Toms Spezialitäten</v>
          </cell>
          <cell r="J721" t="str">
            <v>Luisenstr. 48</v>
          </cell>
          <cell r="K721" t="str">
            <v>Münster</v>
          </cell>
          <cell r="M721" t="str">
            <v>44087</v>
          </cell>
          <cell r="N721" t="str">
            <v>Germany</v>
          </cell>
        </row>
        <row r="722">
          <cell r="A722">
            <v>10968</v>
          </cell>
          <cell r="B722" t="str">
            <v>ERNSH</v>
          </cell>
          <cell r="C722">
            <v>1</v>
          </cell>
          <cell r="D722">
            <v>35877</v>
          </cell>
          <cell r="E722">
            <v>35905</v>
          </cell>
          <cell r="F722">
            <v>35886</v>
          </cell>
          <cell r="G722">
            <v>3</v>
          </cell>
          <cell r="H722">
            <v>74.599999999999994</v>
          </cell>
          <cell r="I722" t="str">
            <v>Ernst Handel</v>
          </cell>
          <cell r="J722" t="str">
            <v>Kirchgasse 6</v>
          </cell>
          <cell r="K722" t="str">
            <v>Graz</v>
          </cell>
          <cell r="M722" t="str">
            <v>8010</v>
          </cell>
          <cell r="N722" t="str">
            <v>Austria</v>
          </cell>
        </row>
        <row r="723">
          <cell r="A723">
            <v>10969</v>
          </cell>
          <cell r="B723" t="str">
            <v>COMMI</v>
          </cell>
          <cell r="C723">
            <v>1</v>
          </cell>
          <cell r="D723">
            <v>35877</v>
          </cell>
          <cell r="E723">
            <v>35905</v>
          </cell>
          <cell r="F723">
            <v>35884</v>
          </cell>
          <cell r="G723">
            <v>2</v>
          </cell>
          <cell r="H723">
            <v>0.21</v>
          </cell>
          <cell r="I723" t="str">
            <v>Comércio Mineiro</v>
          </cell>
          <cell r="J723" t="str">
            <v>Av. dos Lusíadas, 23</v>
          </cell>
          <cell r="K723" t="str">
            <v>Sao Paulo</v>
          </cell>
          <cell r="L723" t="str">
            <v>SP</v>
          </cell>
          <cell r="M723" t="str">
            <v>05432-043</v>
          </cell>
          <cell r="N723" t="str">
            <v>Brazil</v>
          </cell>
        </row>
        <row r="724">
          <cell r="A724">
            <v>10970</v>
          </cell>
          <cell r="B724" t="str">
            <v>BOLID</v>
          </cell>
          <cell r="C724">
            <v>9</v>
          </cell>
          <cell r="D724">
            <v>35878</v>
          </cell>
          <cell r="E724">
            <v>35892</v>
          </cell>
          <cell r="F724">
            <v>35909</v>
          </cell>
          <cell r="G724">
            <v>1</v>
          </cell>
          <cell r="H724">
            <v>16.16</v>
          </cell>
          <cell r="I724" t="str">
            <v>Bólido Comidas preparadas</v>
          </cell>
          <cell r="J724" t="str">
            <v>C/ Araquil, 67</v>
          </cell>
          <cell r="K724" t="str">
            <v>Madrid</v>
          </cell>
          <cell r="M724" t="str">
            <v>28023</v>
          </cell>
          <cell r="N724" t="str">
            <v>Spain</v>
          </cell>
        </row>
        <row r="725">
          <cell r="A725">
            <v>10971</v>
          </cell>
          <cell r="B725" t="str">
            <v>FRANR</v>
          </cell>
          <cell r="C725">
            <v>2</v>
          </cell>
          <cell r="D725">
            <v>35878</v>
          </cell>
          <cell r="E725">
            <v>35906</v>
          </cell>
          <cell r="F725">
            <v>35887</v>
          </cell>
          <cell r="G725">
            <v>2</v>
          </cell>
          <cell r="H725">
            <v>121.82</v>
          </cell>
          <cell r="I725" t="str">
            <v>France restauration</v>
          </cell>
          <cell r="J725" t="str">
            <v>54, rue Royale</v>
          </cell>
          <cell r="K725" t="str">
            <v>Nantes</v>
          </cell>
          <cell r="M725" t="str">
            <v>44000</v>
          </cell>
          <cell r="N725" t="str">
            <v>France</v>
          </cell>
        </row>
        <row r="726">
          <cell r="A726">
            <v>10972</v>
          </cell>
          <cell r="B726" t="str">
            <v>LACOR</v>
          </cell>
          <cell r="C726">
            <v>4</v>
          </cell>
          <cell r="D726">
            <v>35878</v>
          </cell>
          <cell r="E726">
            <v>35906</v>
          </cell>
          <cell r="F726">
            <v>35880</v>
          </cell>
          <cell r="G726">
            <v>2</v>
          </cell>
          <cell r="H726">
            <v>0.02</v>
          </cell>
          <cell r="I726" t="str">
            <v>La corne d'abondance</v>
          </cell>
          <cell r="J726" t="str">
            <v>67, avenue de l'Europe</v>
          </cell>
          <cell r="K726" t="str">
            <v>Versailles</v>
          </cell>
          <cell r="M726" t="str">
            <v>78000</v>
          </cell>
          <cell r="N726" t="str">
            <v>France</v>
          </cell>
        </row>
        <row r="727">
          <cell r="A727">
            <v>10973</v>
          </cell>
          <cell r="B727" t="str">
            <v>LACOR</v>
          </cell>
          <cell r="C727">
            <v>6</v>
          </cell>
          <cell r="D727">
            <v>35878</v>
          </cell>
          <cell r="E727">
            <v>35906</v>
          </cell>
          <cell r="F727">
            <v>35881</v>
          </cell>
          <cell r="G727">
            <v>2</v>
          </cell>
          <cell r="H727">
            <v>15.17</v>
          </cell>
          <cell r="I727" t="str">
            <v>La corne d'abondance</v>
          </cell>
          <cell r="J727" t="str">
            <v>67, avenue de l'Europe</v>
          </cell>
          <cell r="K727" t="str">
            <v>Versailles</v>
          </cell>
          <cell r="M727" t="str">
            <v>78000</v>
          </cell>
          <cell r="N727" t="str">
            <v>France</v>
          </cell>
        </row>
        <row r="728">
          <cell r="A728">
            <v>10974</v>
          </cell>
          <cell r="B728" t="str">
            <v>SPLIR</v>
          </cell>
          <cell r="C728">
            <v>3</v>
          </cell>
          <cell r="D728">
            <v>35879</v>
          </cell>
          <cell r="E728">
            <v>35893</v>
          </cell>
          <cell r="F728">
            <v>35888</v>
          </cell>
          <cell r="G728">
            <v>3</v>
          </cell>
          <cell r="H728">
            <v>12.96</v>
          </cell>
          <cell r="I728" t="str">
            <v>Split Rail Beer &amp; Ale</v>
          </cell>
          <cell r="J728" t="str">
            <v>P.O. Box 555</v>
          </cell>
          <cell r="K728" t="str">
            <v>Lander</v>
          </cell>
          <cell r="L728" t="str">
            <v>WY</v>
          </cell>
          <cell r="M728" t="str">
            <v>82520</v>
          </cell>
          <cell r="N728" t="str">
            <v>USA</v>
          </cell>
        </row>
        <row r="729">
          <cell r="A729">
            <v>10975</v>
          </cell>
          <cell r="B729" t="str">
            <v>BOTTM</v>
          </cell>
          <cell r="C729">
            <v>1</v>
          </cell>
          <cell r="D729">
            <v>35879</v>
          </cell>
          <cell r="E729">
            <v>35907</v>
          </cell>
          <cell r="F729">
            <v>35881</v>
          </cell>
          <cell r="G729">
            <v>3</v>
          </cell>
          <cell r="H729">
            <v>32.270000000000003</v>
          </cell>
          <cell r="I729" t="str">
            <v>Bottom-Dollar Markets</v>
          </cell>
          <cell r="J729" t="str">
            <v>23 Tsawassen Blvd.</v>
          </cell>
          <cell r="K729" t="str">
            <v>Tsawassen</v>
          </cell>
          <cell r="L729" t="str">
            <v>BC</v>
          </cell>
          <cell r="M729" t="str">
            <v>T2F 8M4</v>
          </cell>
          <cell r="N729" t="str">
            <v>Canada</v>
          </cell>
        </row>
        <row r="730">
          <cell r="A730">
            <v>10976</v>
          </cell>
          <cell r="B730" t="str">
            <v>HILAA</v>
          </cell>
          <cell r="C730">
            <v>1</v>
          </cell>
          <cell r="D730">
            <v>35879</v>
          </cell>
          <cell r="E730">
            <v>35921</v>
          </cell>
          <cell r="F730">
            <v>35888</v>
          </cell>
          <cell r="G730">
            <v>1</v>
          </cell>
          <cell r="H730">
            <v>37.97</v>
          </cell>
          <cell r="I730" t="str">
            <v>HILARION-Abastos</v>
          </cell>
          <cell r="J730" t="str">
            <v>Carrera 22 con Ave. Carlos Soublette #8-35</v>
          </cell>
          <cell r="K730" t="str">
            <v>San Cristóbal</v>
          </cell>
          <cell r="L730" t="str">
            <v>Táchira</v>
          </cell>
          <cell r="M730" t="str">
            <v>5022</v>
          </cell>
          <cell r="N730" t="str">
            <v>Venezuela</v>
          </cell>
        </row>
        <row r="731">
          <cell r="A731">
            <v>10977</v>
          </cell>
          <cell r="B731" t="str">
            <v>FOLKO</v>
          </cell>
          <cell r="C731">
            <v>8</v>
          </cell>
          <cell r="D731">
            <v>35880</v>
          </cell>
          <cell r="E731">
            <v>35908</v>
          </cell>
          <cell r="F731">
            <v>35895</v>
          </cell>
          <cell r="G731">
            <v>3</v>
          </cell>
          <cell r="H731">
            <v>208.5</v>
          </cell>
          <cell r="I731" t="str">
            <v>Folk och fä HB</v>
          </cell>
          <cell r="J731" t="str">
            <v>Åkergatan 24</v>
          </cell>
          <cell r="K731" t="str">
            <v>Bräcke</v>
          </cell>
          <cell r="M731" t="str">
            <v>S-844 67</v>
          </cell>
          <cell r="N731" t="str">
            <v>Sweden</v>
          </cell>
        </row>
        <row r="732">
          <cell r="A732">
            <v>10978</v>
          </cell>
          <cell r="B732" t="str">
            <v>MAISD</v>
          </cell>
          <cell r="C732">
            <v>9</v>
          </cell>
          <cell r="D732">
            <v>35880</v>
          </cell>
          <cell r="E732">
            <v>35908</v>
          </cell>
          <cell r="F732">
            <v>35908</v>
          </cell>
          <cell r="G732">
            <v>2</v>
          </cell>
          <cell r="H732">
            <v>32.82</v>
          </cell>
          <cell r="I732" t="str">
            <v>Maison Dewey</v>
          </cell>
          <cell r="J732" t="str">
            <v>Rue Joseph-Bens 532</v>
          </cell>
          <cell r="K732" t="str">
            <v>Bruxelles</v>
          </cell>
          <cell r="M732" t="str">
            <v>B-1180</v>
          </cell>
          <cell r="N732" t="str">
            <v>Belgium</v>
          </cell>
        </row>
        <row r="733">
          <cell r="A733">
            <v>10979</v>
          </cell>
          <cell r="B733" t="str">
            <v>ERNSH</v>
          </cell>
          <cell r="C733">
            <v>8</v>
          </cell>
          <cell r="D733">
            <v>35880</v>
          </cell>
          <cell r="E733">
            <v>35908</v>
          </cell>
          <cell r="F733">
            <v>35885</v>
          </cell>
          <cell r="G733">
            <v>2</v>
          </cell>
          <cell r="H733">
            <v>353.07</v>
          </cell>
          <cell r="I733" t="str">
            <v>Ernst Handel</v>
          </cell>
          <cell r="J733" t="str">
            <v>Kirchgasse 6</v>
          </cell>
          <cell r="K733" t="str">
            <v>Graz</v>
          </cell>
          <cell r="M733" t="str">
            <v>8010</v>
          </cell>
          <cell r="N733" t="str">
            <v>Austria</v>
          </cell>
        </row>
        <row r="734">
          <cell r="A734">
            <v>10980</v>
          </cell>
          <cell r="B734" t="str">
            <v>FOLKO</v>
          </cell>
          <cell r="C734">
            <v>4</v>
          </cell>
          <cell r="D734">
            <v>35881</v>
          </cell>
          <cell r="E734">
            <v>35923</v>
          </cell>
          <cell r="F734">
            <v>35902</v>
          </cell>
          <cell r="G734">
            <v>1</v>
          </cell>
          <cell r="H734">
            <v>1.26</v>
          </cell>
          <cell r="I734" t="str">
            <v>Folk och fä HB</v>
          </cell>
          <cell r="J734" t="str">
            <v>Åkergatan 24</v>
          </cell>
          <cell r="K734" t="str">
            <v>Bräcke</v>
          </cell>
          <cell r="M734" t="str">
            <v>S-844 67</v>
          </cell>
          <cell r="N734" t="str">
            <v>Sweden</v>
          </cell>
        </row>
        <row r="735">
          <cell r="A735">
            <v>10981</v>
          </cell>
          <cell r="B735" t="str">
            <v>HANAR</v>
          </cell>
          <cell r="C735">
            <v>1</v>
          </cell>
          <cell r="D735">
            <v>35881</v>
          </cell>
          <cell r="E735">
            <v>35909</v>
          </cell>
          <cell r="F735">
            <v>35887</v>
          </cell>
          <cell r="G735">
            <v>2</v>
          </cell>
          <cell r="H735">
            <v>193.37</v>
          </cell>
          <cell r="I735" t="str">
            <v>Hanari Carnes</v>
          </cell>
          <cell r="J735" t="str">
            <v>Rua do Paço, 67</v>
          </cell>
          <cell r="K735" t="str">
            <v>Rio de Janeiro</v>
          </cell>
          <cell r="L735" t="str">
            <v>RJ</v>
          </cell>
          <cell r="M735" t="str">
            <v>05454-876</v>
          </cell>
          <cell r="N735" t="str">
            <v>Brazil</v>
          </cell>
        </row>
        <row r="736">
          <cell r="A736">
            <v>10982</v>
          </cell>
          <cell r="B736" t="str">
            <v>BOTTM</v>
          </cell>
          <cell r="C736">
            <v>2</v>
          </cell>
          <cell r="D736">
            <v>35881</v>
          </cell>
          <cell r="E736">
            <v>35909</v>
          </cell>
          <cell r="F736">
            <v>35893</v>
          </cell>
          <cell r="G736">
            <v>1</v>
          </cell>
          <cell r="H736">
            <v>14.01</v>
          </cell>
          <cell r="I736" t="str">
            <v>Bottom-Dollar Markets</v>
          </cell>
          <cell r="J736" t="str">
            <v>23 Tsawassen Blvd.</v>
          </cell>
          <cell r="K736" t="str">
            <v>Tsawassen</v>
          </cell>
          <cell r="L736" t="str">
            <v>BC</v>
          </cell>
          <cell r="M736" t="str">
            <v>T2F 8M4</v>
          </cell>
          <cell r="N736" t="str">
            <v>Canada</v>
          </cell>
        </row>
        <row r="737">
          <cell r="A737">
            <v>10983</v>
          </cell>
          <cell r="B737" t="str">
            <v>SAVEA</v>
          </cell>
          <cell r="C737">
            <v>2</v>
          </cell>
          <cell r="D737">
            <v>35881</v>
          </cell>
          <cell r="E737">
            <v>35909</v>
          </cell>
          <cell r="F737">
            <v>35891</v>
          </cell>
          <cell r="G737">
            <v>2</v>
          </cell>
          <cell r="H737">
            <v>657.54</v>
          </cell>
          <cell r="I737" t="str">
            <v>Save-a-lot Markets</v>
          </cell>
          <cell r="J737" t="str">
            <v>187 Suffolk Ln.</v>
          </cell>
          <cell r="K737" t="str">
            <v>Boise</v>
          </cell>
          <cell r="L737" t="str">
            <v>ID</v>
          </cell>
          <cell r="M737" t="str">
            <v>83720</v>
          </cell>
          <cell r="N737" t="str">
            <v>USA</v>
          </cell>
        </row>
        <row r="738">
          <cell r="A738">
            <v>10984</v>
          </cell>
          <cell r="B738" t="str">
            <v>SAVEA</v>
          </cell>
          <cell r="C738">
            <v>1</v>
          </cell>
          <cell r="D738">
            <v>35884</v>
          </cell>
          <cell r="E738">
            <v>35912</v>
          </cell>
          <cell r="F738">
            <v>35888</v>
          </cell>
          <cell r="G738">
            <v>3</v>
          </cell>
          <cell r="H738">
            <v>211.22</v>
          </cell>
          <cell r="I738" t="str">
            <v>Save-a-lot Markets</v>
          </cell>
          <cell r="J738" t="str">
            <v>187 Suffolk Ln.</v>
          </cell>
          <cell r="K738" t="str">
            <v>Boise</v>
          </cell>
          <cell r="L738" t="str">
            <v>ID</v>
          </cell>
          <cell r="M738" t="str">
            <v>83720</v>
          </cell>
          <cell r="N738" t="str">
            <v>USA</v>
          </cell>
        </row>
        <row r="739">
          <cell r="A739">
            <v>10985</v>
          </cell>
          <cell r="B739" t="str">
            <v>HUNGO</v>
          </cell>
          <cell r="C739">
            <v>2</v>
          </cell>
          <cell r="D739">
            <v>35884</v>
          </cell>
          <cell r="E739">
            <v>35912</v>
          </cell>
          <cell r="F739">
            <v>35887</v>
          </cell>
          <cell r="G739">
            <v>1</v>
          </cell>
          <cell r="H739">
            <v>91.51</v>
          </cell>
          <cell r="I739" t="str">
            <v>Hungry Owl All-Night Grocers</v>
          </cell>
          <cell r="J739" t="str">
            <v>8 Johnstown Road</v>
          </cell>
          <cell r="K739" t="str">
            <v>Cork</v>
          </cell>
          <cell r="L739" t="str">
            <v>Co. Cork</v>
          </cell>
          <cell r="N739" t="str">
            <v>Ireland</v>
          </cell>
        </row>
        <row r="740">
          <cell r="A740">
            <v>10986</v>
          </cell>
          <cell r="B740" t="str">
            <v>OCEAN</v>
          </cell>
          <cell r="C740">
            <v>8</v>
          </cell>
          <cell r="D740">
            <v>35884</v>
          </cell>
          <cell r="E740">
            <v>35912</v>
          </cell>
          <cell r="F740">
            <v>35906</v>
          </cell>
          <cell r="G740">
            <v>2</v>
          </cell>
          <cell r="H740">
            <v>217.86</v>
          </cell>
          <cell r="I740" t="str">
            <v>Océano Atlántico Ltda.</v>
          </cell>
          <cell r="J740" t="str">
            <v>Ing. Gustavo Moncada 8585 Piso 20-A</v>
          </cell>
          <cell r="K740" t="str">
            <v>Buenos Aires</v>
          </cell>
          <cell r="M740" t="str">
            <v>1010</v>
          </cell>
          <cell r="N740" t="str">
            <v>Argentina</v>
          </cell>
        </row>
        <row r="741">
          <cell r="A741">
            <v>10987</v>
          </cell>
          <cell r="B741" t="str">
            <v>EASTC</v>
          </cell>
          <cell r="C741">
            <v>8</v>
          </cell>
          <cell r="D741">
            <v>35885</v>
          </cell>
          <cell r="E741">
            <v>35913</v>
          </cell>
          <cell r="F741">
            <v>35891</v>
          </cell>
          <cell r="G741">
            <v>1</v>
          </cell>
          <cell r="H741">
            <v>185.48</v>
          </cell>
          <cell r="I741" t="str">
            <v>Eastern Connection</v>
          </cell>
          <cell r="J741" t="str">
            <v>35 King George</v>
          </cell>
          <cell r="K741" t="str">
            <v>London</v>
          </cell>
          <cell r="M741" t="str">
            <v>WX3 6FW</v>
          </cell>
          <cell r="N741" t="str">
            <v>UK</v>
          </cell>
        </row>
        <row r="742">
          <cell r="A742">
            <v>10988</v>
          </cell>
          <cell r="B742" t="str">
            <v>RATTC</v>
          </cell>
          <cell r="C742">
            <v>3</v>
          </cell>
          <cell r="D742">
            <v>35885</v>
          </cell>
          <cell r="E742">
            <v>35913</v>
          </cell>
          <cell r="F742">
            <v>35895</v>
          </cell>
          <cell r="G742">
            <v>2</v>
          </cell>
          <cell r="H742">
            <v>61.14</v>
          </cell>
          <cell r="I742" t="str">
            <v>Rattlesnake Canyon Grocery</v>
          </cell>
          <cell r="J742" t="str">
            <v>2817 Milton Dr.</v>
          </cell>
          <cell r="K742" t="str">
            <v>Albuquerque</v>
          </cell>
          <cell r="L742" t="str">
            <v>NM</v>
          </cell>
          <cell r="M742" t="str">
            <v>87110</v>
          </cell>
          <cell r="N742" t="str">
            <v>USA</v>
          </cell>
        </row>
        <row r="743">
          <cell r="A743">
            <v>10989</v>
          </cell>
          <cell r="B743" t="str">
            <v>QUEDE</v>
          </cell>
          <cell r="C743">
            <v>2</v>
          </cell>
          <cell r="D743">
            <v>35885</v>
          </cell>
          <cell r="E743">
            <v>35913</v>
          </cell>
          <cell r="F743">
            <v>35887</v>
          </cell>
          <cell r="G743">
            <v>1</v>
          </cell>
          <cell r="H743">
            <v>34.76</v>
          </cell>
          <cell r="I743" t="str">
            <v>Que Delícia</v>
          </cell>
          <cell r="J743" t="str">
            <v>Rua da Panificadora, 12</v>
          </cell>
          <cell r="K743" t="str">
            <v>Rio de Janeiro</v>
          </cell>
          <cell r="L743" t="str">
            <v>RJ</v>
          </cell>
          <cell r="M743" t="str">
            <v>02389-673</v>
          </cell>
          <cell r="N743" t="str">
            <v>Brazil</v>
          </cell>
        </row>
        <row r="744">
          <cell r="A744">
            <v>10990</v>
          </cell>
          <cell r="B744" t="str">
            <v>ERNSH</v>
          </cell>
          <cell r="C744">
            <v>2</v>
          </cell>
          <cell r="D744">
            <v>35886</v>
          </cell>
          <cell r="E744">
            <v>35928</v>
          </cell>
          <cell r="F744">
            <v>35892</v>
          </cell>
          <cell r="G744">
            <v>3</v>
          </cell>
          <cell r="H744">
            <v>117.61</v>
          </cell>
          <cell r="I744" t="str">
            <v>Ernst Handel</v>
          </cell>
          <cell r="J744" t="str">
            <v>Kirchgasse 6</v>
          </cell>
          <cell r="K744" t="str">
            <v>Graz</v>
          </cell>
          <cell r="M744" t="str">
            <v>8010</v>
          </cell>
          <cell r="N744" t="str">
            <v>Austria</v>
          </cell>
        </row>
        <row r="745">
          <cell r="A745">
            <v>10991</v>
          </cell>
          <cell r="B745" t="str">
            <v>QUICK</v>
          </cell>
          <cell r="C745">
            <v>1</v>
          </cell>
          <cell r="D745">
            <v>35886</v>
          </cell>
          <cell r="E745">
            <v>35914</v>
          </cell>
          <cell r="F745">
            <v>35892</v>
          </cell>
          <cell r="G745">
            <v>1</v>
          </cell>
          <cell r="H745">
            <v>38.51</v>
          </cell>
          <cell r="I745" t="str">
            <v>QUICK-Stop</v>
          </cell>
          <cell r="J745" t="str">
            <v>Taucherstraße 10</v>
          </cell>
          <cell r="K745" t="str">
            <v>Cunewalde</v>
          </cell>
          <cell r="M745" t="str">
            <v>01307</v>
          </cell>
          <cell r="N745" t="str">
            <v>Germany</v>
          </cell>
        </row>
        <row r="746">
          <cell r="A746">
            <v>10992</v>
          </cell>
          <cell r="B746" t="str">
            <v>THEBI</v>
          </cell>
          <cell r="C746">
            <v>1</v>
          </cell>
          <cell r="D746">
            <v>35886</v>
          </cell>
          <cell r="E746">
            <v>35914</v>
          </cell>
          <cell r="F746">
            <v>35888</v>
          </cell>
          <cell r="G746">
            <v>3</v>
          </cell>
          <cell r="H746">
            <v>4.2699999999999996</v>
          </cell>
          <cell r="I746" t="str">
            <v>The Big Cheese</v>
          </cell>
          <cell r="J746" t="str">
            <v>89 Jefferson Way Suite 2</v>
          </cell>
          <cell r="K746" t="str">
            <v>Portland</v>
          </cell>
          <cell r="L746" t="str">
            <v>OR</v>
          </cell>
          <cell r="M746" t="str">
            <v>97201</v>
          </cell>
          <cell r="N746" t="str">
            <v>USA</v>
          </cell>
        </row>
        <row r="747">
          <cell r="A747">
            <v>10993</v>
          </cell>
          <cell r="B747" t="str">
            <v>FOLKO</v>
          </cell>
          <cell r="C747">
            <v>7</v>
          </cell>
          <cell r="D747">
            <v>35886</v>
          </cell>
          <cell r="E747">
            <v>35914</v>
          </cell>
          <cell r="F747">
            <v>35895</v>
          </cell>
          <cell r="G747">
            <v>3</v>
          </cell>
          <cell r="H747">
            <v>8.81</v>
          </cell>
          <cell r="I747" t="str">
            <v>Folk och fä HB</v>
          </cell>
          <cell r="J747" t="str">
            <v>Åkergatan 24</v>
          </cell>
          <cell r="K747" t="str">
            <v>Bräcke</v>
          </cell>
          <cell r="M747" t="str">
            <v>S-844 67</v>
          </cell>
          <cell r="N747" t="str">
            <v>Sweden</v>
          </cell>
        </row>
        <row r="748">
          <cell r="A748">
            <v>10994</v>
          </cell>
          <cell r="B748" t="str">
            <v>VAFFE</v>
          </cell>
          <cell r="C748">
            <v>2</v>
          </cell>
          <cell r="D748">
            <v>35887</v>
          </cell>
          <cell r="E748">
            <v>35901</v>
          </cell>
          <cell r="F748">
            <v>35894</v>
          </cell>
          <cell r="G748">
            <v>3</v>
          </cell>
          <cell r="H748">
            <v>65.53</v>
          </cell>
          <cell r="I748" t="str">
            <v>Vaffeljernet</v>
          </cell>
          <cell r="J748" t="str">
            <v>Smagsloget 45</v>
          </cell>
          <cell r="K748" t="str">
            <v>Århus</v>
          </cell>
          <cell r="M748" t="str">
            <v>8200</v>
          </cell>
          <cell r="N748" t="str">
            <v>Denmark</v>
          </cell>
        </row>
        <row r="749">
          <cell r="A749">
            <v>10995</v>
          </cell>
          <cell r="B749" t="str">
            <v>PERIC</v>
          </cell>
          <cell r="C749">
            <v>1</v>
          </cell>
          <cell r="D749">
            <v>35887</v>
          </cell>
          <cell r="E749">
            <v>35915</v>
          </cell>
          <cell r="F749">
            <v>35891</v>
          </cell>
          <cell r="G749">
            <v>3</v>
          </cell>
          <cell r="H749">
            <v>46</v>
          </cell>
          <cell r="I749" t="str">
            <v>Pericles Comidas clásicas</v>
          </cell>
          <cell r="J749" t="str">
            <v>Calle Dr. Jorge Cash 321</v>
          </cell>
          <cell r="K749" t="str">
            <v>México D.F.</v>
          </cell>
          <cell r="M749" t="str">
            <v>05033</v>
          </cell>
          <cell r="N749" t="str">
            <v>Mexico</v>
          </cell>
        </row>
        <row r="750">
          <cell r="A750">
            <v>10996</v>
          </cell>
          <cell r="B750" t="str">
            <v>QUICK</v>
          </cell>
          <cell r="C750">
            <v>4</v>
          </cell>
          <cell r="D750">
            <v>35887</v>
          </cell>
          <cell r="E750">
            <v>35915</v>
          </cell>
          <cell r="F750">
            <v>35895</v>
          </cell>
          <cell r="G750">
            <v>2</v>
          </cell>
          <cell r="H750">
            <v>1.1200000000000001</v>
          </cell>
          <cell r="I750" t="str">
            <v>QUICK-Stop</v>
          </cell>
          <cell r="J750" t="str">
            <v>Taucherstraße 10</v>
          </cell>
          <cell r="K750" t="str">
            <v>Cunewalde</v>
          </cell>
          <cell r="M750" t="str">
            <v>01307</v>
          </cell>
          <cell r="N750" t="str">
            <v>Germany</v>
          </cell>
        </row>
        <row r="751">
          <cell r="A751">
            <v>10997</v>
          </cell>
          <cell r="B751" t="str">
            <v>LILAS</v>
          </cell>
          <cell r="C751">
            <v>8</v>
          </cell>
          <cell r="D751">
            <v>35888</v>
          </cell>
          <cell r="E751">
            <v>35930</v>
          </cell>
          <cell r="F751">
            <v>35898</v>
          </cell>
          <cell r="G751">
            <v>2</v>
          </cell>
          <cell r="H751">
            <v>73.91</v>
          </cell>
          <cell r="I751" t="str">
            <v>LILA-Supermercado</v>
          </cell>
          <cell r="J751" t="str">
            <v>Carrera 52 con Ave. Bolívar #65-98 Llano Largo</v>
          </cell>
          <cell r="K751" t="str">
            <v>Barquisimeto</v>
          </cell>
          <cell r="L751" t="str">
            <v>Lara</v>
          </cell>
          <cell r="M751" t="str">
            <v>3508</v>
          </cell>
          <cell r="N751" t="str">
            <v>Venezuela</v>
          </cell>
        </row>
        <row r="752">
          <cell r="A752">
            <v>10998</v>
          </cell>
          <cell r="B752" t="str">
            <v>WOLZA</v>
          </cell>
          <cell r="C752">
            <v>8</v>
          </cell>
          <cell r="D752">
            <v>35888</v>
          </cell>
          <cell r="E752">
            <v>35902</v>
          </cell>
          <cell r="F752">
            <v>35902</v>
          </cell>
          <cell r="G752">
            <v>2</v>
          </cell>
          <cell r="H752">
            <v>20.309999999999999</v>
          </cell>
          <cell r="I752" t="str">
            <v>Wolski Zajazd</v>
          </cell>
          <cell r="J752" t="str">
            <v>ul. Filtrowa 68</v>
          </cell>
          <cell r="K752" t="str">
            <v>Warszawa</v>
          </cell>
          <cell r="M752" t="str">
            <v>01-012</v>
          </cell>
          <cell r="N752" t="str">
            <v>Poland</v>
          </cell>
        </row>
        <row r="753">
          <cell r="A753">
            <v>10999</v>
          </cell>
          <cell r="B753" t="str">
            <v>OTTIK</v>
          </cell>
          <cell r="C753">
            <v>6</v>
          </cell>
          <cell r="D753">
            <v>35888</v>
          </cell>
          <cell r="E753">
            <v>35916</v>
          </cell>
          <cell r="F753">
            <v>35895</v>
          </cell>
          <cell r="G753">
            <v>2</v>
          </cell>
          <cell r="H753">
            <v>96.35</v>
          </cell>
          <cell r="I753" t="str">
            <v>Ottilies Käseladen</v>
          </cell>
          <cell r="J753" t="str">
            <v>Mehrheimerstr. 369</v>
          </cell>
          <cell r="K753" t="str">
            <v>Köln</v>
          </cell>
          <cell r="M753" t="str">
            <v>50739</v>
          </cell>
          <cell r="N753" t="str">
            <v>Germany</v>
          </cell>
        </row>
        <row r="754">
          <cell r="A754">
            <v>11000</v>
          </cell>
          <cell r="B754" t="str">
            <v>RATTC</v>
          </cell>
          <cell r="C754">
            <v>2</v>
          </cell>
          <cell r="D754">
            <v>35891</v>
          </cell>
          <cell r="E754">
            <v>35919</v>
          </cell>
          <cell r="F754">
            <v>35899</v>
          </cell>
          <cell r="G754">
            <v>3</v>
          </cell>
          <cell r="H754">
            <v>55.12</v>
          </cell>
          <cell r="I754" t="str">
            <v>Rattlesnake Canyon Grocery</v>
          </cell>
          <cell r="J754" t="str">
            <v>2817 Milton Dr.</v>
          </cell>
          <cell r="K754" t="str">
            <v>Albuquerque</v>
          </cell>
          <cell r="L754" t="str">
            <v>NM</v>
          </cell>
          <cell r="M754" t="str">
            <v>87110</v>
          </cell>
          <cell r="N754" t="str">
            <v>USA</v>
          </cell>
        </row>
        <row r="755">
          <cell r="A755">
            <v>11001</v>
          </cell>
          <cell r="B755" t="str">
            <v>FOLKO</v>
          </cell>
          <cell r="C755">
            <v>2</v>
          </cell>
          <cell r="D755">
            <v>35891</v>
          </cell>
          <cell r="E755">
            <v>35919</v>
          </cell>
          <cell r="F755">
            <v>35899</v>
          </cell>
          <cell r="G755">
            <v>2</v>
          </cell>
          <cell r="H755">
            <v>197.3</v>
          </cell>
          <cell r="I755" t="str">
            <v>Folk och fä HB</v>
          </cell>
          <cell r="J755" t="str">
            <v>Åkergatan 24</v>
          </cell>
          <cell r="K755" t="str">
            <v>Bräcke</v>
          </cell>
          <cell r="M755" t="str">
            <v>S-844 67</v>
          </cell>
          <cell r="N755" t="str">
            <v>Sweden</v>
          </cell>
        </row>
        <row r="756">
          <cell r="A756">
            <v>11002</v>
          </cell>
          <cell r="B756" t="str">
            <v>SAVEA</v>
          </cell>
          <cell r="C756">
            <v>4</v>
          </cell>
          <cell r="D756">
            <v>35891</v>
          </cell>
          <cell r="E756">
            <v>35919</v>
          </cell>
          <cell r="F756">
            <v>35901</v>
          </cell>
          <cell r="G756">
            <v>1</v>
          </cell>
          <cell r="H756">
            <v>141.16</v>
          </cell>
          <cell r="I756" t="str">
            <v>Save-a-lot Markets</v>
          </cell>
          <cell r="J756" t="str">
            <v>187 Suffolk Ln.</v>
          </cell>
          <cell r="K756" t="str">
            <v>Boise</v>
          </cell>
          <cell r="L756" t="str">
            <v>ID</v>
          </cell>
          <cell r="M756" t="str">
            <v>83720</v>
          </cell>
          <cell r="N756" t="str">
            <v>USA</v>
          </cell>
        </row>
        <row r="757">
          <cell r="A757">
            <v>11003</v>
          </cell>
          <cell r="B757" t="str">
            <v>THECR</v>
          </cell>
          <cell r="C757">
            <v>3</v>
          </cell>
          <cell r="D757">
            <v>35891</v>
          </cell>
          <cell r="E757">
            <v>35919</v>
          </cell>
          <cell r="F757">
            <v>35893</v>
          </cell>
          <cell r="G757">
            <v>3</v>
          </cell>
          <cell r="H757">
            <v>14.91</v>
          </cell>
          <cell r="I757" t="str">
            <v>The Cracker Box</v>
          </cell>
          <cell r="J757" t="str">
            <v>55 Grizzly Peak Rd.</v>
          </cell>
          <cell r="K757" t="str">
            <v>Butte</v>
          </cell>
          <cell r="L757" t="str">
            <v>MT</v>
          </cell>
          <cell r="M757" t="str">
            <v>59801</v>
          </cell>
          <cell r="N757" t="str">
            <v>USA</v>
          </cell>
        </row>
        <row r="758">
          <cell r="A758">
            <v>11004</v>
          </cell>
          <cell r="B758" t="str">
            <v>MAISD</v>
          </cell>
          <cell r="C758">
            <v>3</v>
          </cell>
          <cell r="D758">
            <v>35892</v>
          </cell>
          <cell r="E758">
            <v>35920</v>
          </cell>
          <cell r="F758">
            <v>35905</v>
          </cell>
          <cell r="G758">
            <v>1</v>
          </cell>
          <cell r="H758">
            <v>44.84</v>
          </cell>
          <cell r="I758" t="str">
            <v>Maison Dewey</v>
          </cell>
          <cell r="J758" t="str">
            <v>Rue Joseph-Bens 532</v>
          </cell>
          <cell r="K758" t="str">
            <v>Bruxelles</v>
          </cell>
          <cell r="M758" t="str">
            <v>B-1180</v>
          </cell>
          <cell r="N758" t="str">
            <v>Belgium</v>
          </cell>
        </row>
        <row r="759">
          <cell r="A759">
            <v>11005</v>
          </cell>
          <cell r="B759" t="str">
            <v>WILMK</v>
          </cell>
          <cell r="C759">
            <v>2</v>
          </cell>
          <cell r="D759">
            <v>35892</v>
          </cell>
          <cell r="E759">
            <v>35920</v>
          </cell>
          <cell r="F759">
            <v>35895</v>
          </cell>
          <cell r="G759">
            <v>1</v>
          </cell>
          <cell r="H759">
            <v>0.75</v>
          </cell>
          <cell r="I759" t="str">
            <v>Wilman Kala</v>
          </cell>
          <cell r="J759" t="str">
            <v>Keskuskatu 45</v>
          </cell>
          <cell r="K759" t="str">
            <v>Helsinki</v>
          </cell>
          <cell r="M759" t="str">
            <v>21240</v>
          </cell>
          <cell r="N759" t="str">
            <v>Finland</v>
          </cell>
        </row>
        <row r="760">
          <cell r="A760">
            <v>11006</v>
          </cell>
          <cell r="B760" t="str">
            <v>GREAL</v>
          </cell>
          <cell r="C760">
            <v>3</v>
          </cell>
          <cell r="D760">
            <v>35892</v>
          </cell>
          <cell r="E760">
            <v>35920</v>
          </cell>
          <cell r="F760">
            <v>35900</v>
          </cell>
          <cell r="G760">
            <v>2</v>
          </cell>
          <cell r="H760">
            <v>25.19</v>
          </cell>
          <cell r="I760" t="str">
            <v>Great Lakes Food Market</v>
          </cell>
          <cell r="J760" t="str">
            <v>2732 Baker Blvd.</v>
          </cell>
          <cell r="K760" t="str">
            <v>Eugene</v>
          </cell>
          <cell r="L760" t="str">
            <v>OR</v>
          </cell>
          <cell r="M760" t="str">
            <v>97403</v>
          </cell>
          <cell r="N760" t="str">
            <v>USA</v>
          </cell>
        </row>
        <row r="761">
          <cell r="A761">
            <v>11007</v>
          </cell>
          <cell r="B761" t="str">
            <v>PRINI</v>
          </cell>
          <cell r="C761">
            <v>8</v>
          </cell>
          <cell r="D761">
            <v>35893</v>
          </cell>
          <cell r="E761">
            <v>35921</v>
          </cell>
          <cell r="F761">
            <v>35898</v>
          </cell>
          <cell r="G761">
            <v>2</v>
          </cell>
          <cell r="H761">
            <v>202.24</v>
          </cell>
          <cell r="I761" t="str">
            <v>Princesa Isabel Vinhos</v>
          </cell>
          <cell r="J761" t="str">
            <v>Estrada da saúde n. 58</v>
          </cell>
          <cell r="K761" t="str">
            <v>Lisboa</v>
          </cell>
          <cell r="M761" t="str">
            <v>1756</v>
          </cell>
          <cell r="N761" t="str">
            <v>Portugal</v>
          </cell>
        </row>
        <row r="762">
          <cell r="A762">
            <v>11008</v>
          </cell>
          <cell r="B762" t="str">
            <v>ERNSH</v>
          </cell>
          <cell r="C762">
            <v>7</v>
          </cell>
          <cell r="D762">
            <v>35893</v>
          </cell>
          <cell r="E762">
            <v>35921</v>
          </cell>
          <cell r="G762">
            <v>3</v>
          </cell>
          <cell r="H762">
            <v>79.459999999999994</v>
          </cell>
          <cell r="I762" t="str">
            <v>Ernst Handel</v>
          </cell>
          <cell r="J762" t="str">
            <v>Kirchgasse 6</v>
          </cell>
          <cell r="K762" t="str">
            <v>Graz</v>
          </cell>
          <cell r="M762" t="str">
            <v>8010</v>
          </cell>
          <cell r="N762" t="str">
            <v>Austria</v>
          </cell>
        </row>
        <row r="763">
          <cell r="A763">
            <v>11009</v>
          </cell>
          <cell r="B763" t="str">
            <v>GODOS</v>
          </cell>
          <cell r="C763">
            <v>2</v>
          </cell>
          <cell r="D763">
            <v>35893</v>
          </cell>
          <cell r="E763">
            <v>35921</v>
          </cell>
          <cell r="F763">
            <v>35895</v>
          </cell>
          <cell r="G763">
            <v>1</v>
          </cell>
          <cell r="H763">
            <v>59.11</v>
          </cell>
          <cell r="I763" t="str">
            <v>Godos Cocina Típica</v>
          </cell>
          <cell r="J763" t="str">
            <v>C/ Romero, 33</v>
          </cell>
          <cell r="K763" t="str">
            <v>Sevilla</v>
          </cell>
          <cell r="M763" t="str">
            <v>41101</v>
          </cell>
          <cell r="N763" t="str">
            <v>Spain</v>
          </cell>
        </row>
        <row r="764">
          <cell r="A764">
            <v>11010</v>
          </cell>
          <cell r="B764" t="str">
            <v>REGGC</v>
          </cell>
          <cell r="C764">
            <v>2</v>
          </cell>
          <cell r="D764">
            <v>35894</v>
          </cell>
          <cell r="E764">
            <v>35922</v>
          </cell>
          <cell r="F764">
            <v>35906</v>
          </cell>
          <cell r="G764">
            <v>2</v>
          </cell>
          <cell r="H764">
            <v>28.71</v>
          </cell>
          <cell r="I764" t="str">
            <v>Reggiani Caseifici</v>
          </cell>
          <cell r="J764" t="str">
            <v>Strada Provinciale 124</v>
          </cell>
          <cell r="K764" t="str">
            <v>Reggio Emilia</v>
          </cell>
          <cell r="M764" t="str">
            <v>42100</v>
          </cell>
          <cell r="N764" t="str">
            <v>Italy</v>
          </cell>
        </row>
        <row r="765">
          <cell r="A765">
            <v>11011</v>
          </cell>
          <cell r="B765" t="str">
            <v>ALFKI</v>
          </cell>
          <cell r="C765">
            <v>3</v>
          </cell>
          <cell r="D765">
            <v>35894</v>
          </cell>
          <cell r="E765">
            <v>35922</v>
          </cell>
          <cell r="F765">
            <v>35898</v>
          </cell>
          <cell r="G765">
            <v>1</v>
          </cell>
          <cell r="H765">
            <v>1.21</v>
          </cell>
          <cell r="I765" t="str">
            <v>Alfred's Futterkiste</v>
          </cell>
          <cell r="J765" t="str">
            <v>Obere Str. 57</v>
          </cell>
          <cell r="K765" t="str">
            <v>Berlin</v>
          </cell>
          <cell r="M765" t="str">
            <v>12209</v>
          </cell>
          <cell r="N765" t="str">
            <v>Germany</v>
          </cell>
        </row>
        <row r="766">
          <cell r="A766">
            <v>11012</v>
          </cell>
          <cell r="B766" t="str">
            <v>FRANK</v>
          </cell>
          <cell r="C766">
            <v>1</v>
          </cell>
          <cell r="D766">
            <v>35894</v>
          </cell>
          <cell r="E766">
            <v>35908</v>
          </cell>
          <cell r="F766">
            <v>35902</v>
          </cell>
          <cell r="G766">
            <v>3</v>
          </cell>
          <cell r="H766">
            <v>242.95</v>
          </cell>
          <cell r="I766" t="str">
            <v>Frankenversand</v>
          </cell>
          <cell r="J766" t="str">
            <v>Berliner Platz 43</v>
          </cell>
          <cell r="K766" t="str">
            <v>München</v>
          </cell>
          <cell r="M766" t="str">
            <v>80805</v>
          </cell>
          <cell r="N766" t="str">
            <v>Germany</v>
          </cell>
        </row>
        <row r="767">
          <cell r="A767">
            <v>11013</v>
          </cell>
          <cell r="B767" t="str">
            <v>ROMEY</v>
          </cell>
          <cell r="C767">
            <v>2</v>
          </cell>
          <cell r="D767">
            <v>35894</v>
          </cell>
          <cell r="E767">
            <v>35922</v>
          </cell>
          <cell r="F767">
            <v>35895</v>
          </cell>
          <cell r="G767">
            <v>1</v>
          </cell>
          <cell r="H767">
            <v>32.99</v>
          </cell>
          <cell r="I767" t="str">
            <v>Romero y tomillo</v>
          </cell>
          <cell r="J767" t="str">
            <v>Gran Vía, 1</v>
          </cell>
          <cell r="K767" t="str">
            <v>Madrid</v>
          </cell>
          <cell r="M767" t="str">
            <v>28001</v>
          </cell>
          <cell r="N767" t="str">
            <v>Spain</v>
          </cell>
        </row>
        <row r="768">
          <cell r="A768">
            <v>11014</v>
          </cell>
          <cell r="B768" t="str">
            <v>LINOD</v>
          </cell>
          <cell r="C768">
            <v>2</v>
          </cell>
          <cell r="D768">
            <v>35895</v>
          </cell>
          <cell r="E768">
            <v>35923</v>
          </cell>
          <cell r="F768">
            <v>35900</v>
          </cell>
          <cell r="G768">
            <v>3</v>
          </cell>
          <cell r="H768">
            <v>23.6</v>
          </cell>
          <cell r="I768" t="str">
            <v>LINO-Delicateses</v>
          </cell>
          <cell r="J768" t="str">
            <v>Ave. 5 de Mayo Porlamar</v>
          </cell>
          <cell r="K768" t="str">
            <v>I. de Margarita</v>
          </cell>
          <cell r="L768" t="str">
            <v>Nueva Esparta</v>
          </cell>
          <cell r="M768" t="str">
            <v>4980</v>
          </cell>
          <cell r="N768" t="str">
            <v>Venezuela</v>
          </cell>
        </row>
        <row r="769">
          <cell r="A769">
            <v>11015</v>
          </cell>
          <cell r="B769" t="str">
            <v>SANTG</v>
          </cell>
          <cell r="C769">
            <v>2</v>
          </cell>
          <cell r="D769">
            <v>35895</v>
          </cell>
          <cell r="E769">
            <v>35909</v>
          </cell>
          <cell r="F769">
            <v>35905</v>
          </cell>
          <cell r="G769">
            <v>2</v>
          </cell>
          <cell r="H769">
            <v>4.62</v>
          </cell>
          <cell r="I769" t="str">
            <v>Santé Gourmet</v>
          </cell>
          <cell r="J769" t="str">
            <v>Erling Skakkes gate 78</v>
          </cell>
          <cell r="K769" t="str">
            <v>Stavern</v>
          </cell>
          <cell r="M769" t="str">
            <v>4110</v>
          </cell>
          <cell r="N769" t="str">
            <v>Norway</v>
          </cell>
        </row>
        <row r="770">
          <cell r="A770">
            <v>11016</v>
          </cell>
          <cell r="B770" t="str">
            <v>AROUT</v>
          </cell>
          <cell r="C770">
            <v>9</v>
          </cell>
          <cell r="D770">
            <v>35895</v>
          </cell>
          <cell r="E770">
            <v>35923</v>
          </cell>
          <cell r="F770">
            <v>35898</v>
          </cell>
          <cell r="G770">
            <v>2</v>
          </cell>
          <cell r="H770">
            <v>33.799999999999997</v>
          </cell>
          <cell r="I770" t="str">
            <v>Around the Horn</v>
          </cell>
          <cell r="J770" t="str">
            <v>Brook Farm Stratford St. Mary</v>
          </cell>
          <cell r="K770" t="str">
            <v>Colchester</v>
          </cell>
          <cell r="L770" t="str">
            <v>Essex</v>
          </cell>
          <cell r="M770" t="str">
            <v>CO7 6JX</v>
          </cell>
          <cell r="N770" t="str">
            <v>UK</v>
          </cell>
        </row>
        <row r="771">
          <cell r="A771">
            <v>11017</v>
          </cell>
          <cell r="B771" t="str">
            <v>ERNSH</v>
          </cell>
          <cell r="C771">
            <v>9</v>
          </cell>
          <cell r="D771">
            <v>35898</v>
          </cell>
          <cell r="E771">
            <v>35926</v>
          </cell>
          <cell r="F771">
            <v>35905</v>
          </cell>
          <cell r="G771">
            <v>2</v>
          </cell>
          <cell r="H771">
            <v>754.26</v>
          </cell>
          <cell r="I771" t="str">
            <v>Ernst Handel</v>
          </cell>
          <cell r="J771" t="str">
            <v>Kirchgasse 6</v>
          </cell>
          <cell r="K771" t="str">
            <v>Graz</v>
          </cell>
          <cell r="M771" t="str">
            <v>8010</v>
          </cell>
          <cell r="N771" t="str">
            <v>Austria</v>
          </cell>
        </row>
        <row r="772">
          <cell r="A772">
            <v>11018</v>
          </cell>
          <cell r="B772" t="str">
            <v>LONEP</v>
          </cell>
          <cell r="C772">
            <v>4</v>
          </cell>
          <cell r="D772">
            <v>35898</v>
          </cell>
          <cell r="E772">
            <v>35926</v>
          </cell>
          <cell r="F772">
            <v>35901</v>
          </cell>
          <cell r="G772">
            <v>2</v>
          </cell>
          <cell r="H772">
            <v>11.65</v>
          </cell>
          <cell r="I772" t="str">
            <v>Lonesome Pine Restaurant</v>
          </cell>
          <cell r="J772" t="str">
            <v>89 Chiaroscuro Rd.</v>
          </cell>
          <cell r="K772" t="str">
            <v>Portland</v>
          </cell>
          <cell r="L772" t="str">
            <v>OR</v>
          </cell>
          <cell r="M772" t="str">
            <v>97219</v>
          </cell>
          <cell r="N772" t="str">
            <v>USA</v>
          </cell>
        </row>
        <row r="773">
          <cell r="A773">
            <v>11019</v>
          </cell>
          <cell r="B773" t="str">
            <v>RANCH</v>
          </cell>
          <cell r="C773">
            <v>6</v>
          </cell>
          <cell r="D773">
            <v>35898</v>
          </cell>
          <cell r="E773">
            <v>35926</v>
          </cell>
          <cell r="G773">
            <v>3</v>
          </cell>
          <cell r="H773">
            <v>3.17</v>
          </cell>
          <cell r="I773" t="str">
            <v>Rancho grande</v>
          </cell>
          <cell r="J773" t="str">
            <v>Av. del Libertador 900</v>
          </cell>
          <cell r="K773" t="str">
            <v>Buenos Aires</v>
          </cell>
          <cell r="M773" t="str">
            <v>1010</v>
          </cell>
          <cell r="N773" t="str">
            <v>Argentina</v>
          </cell>
        </row>
        <row r="774">
          <cell r="A774">
            <v>11020</v>
          </cell>
          <cell r="B774" t="str">
            <v>OTTIK</v>
          </cell>
          <cell r="C774">
            <v>2</v>
          </cell>
          <cell r="D774">
            <v>35899</v>
          </cell>
          <cell r="E774">
            <v>35927</v>
          </cell>
          <cell r="F774">
            <v>35901</v>
          </cell>
          <cell r="G774">
            <v>2</v>
          </cell>
          <cell r="H774">
            <v>43.3</v>
          </cell>
          <cell r="I774" t="str">
            <v>Ottilies Käseladen</v>
          </cell>
          <cell r="J774" t="str">
            <v>Mehrheimerstr. 369</v>
          </cell>
          <cell r="K774" t="str">
            <v>Köln</v>
          </cell>
          <cell r="M774" t="str">
            <v>50739</v>
          </cell>
          <cell r="N774" t="str">
            <v>Germany</v>
          </cell>
        </row>
        <row r="775">
          <cell r="A775">
            <v>11021</v>
          </cell>
          <cell r="B775" t="str">
            <v>QUICK</v>
          </cell>
          <cell r="C775">
            <v>3</v>
          </cell>
          <cell r="D775">
            <v>35899</v>
          </cell>
          <cell r="E775">
            <v>35927</v>
          </cell>
          <cell r="F775">
            <v>35906</v>
          </cell>
          <cell r="G775">
            <v>1</v>
          </cell>
          <cell r="H775">
            <v>297.18</v>
          </cell>
          <cell r="I775" t="str">
            <v>QUICK-Stop</v>
          </cell>
          <cell r="J775" t="str">
            <v>Taucherstraße 10</v>
          </cell>
          <cell r="K775" t="str">
            <v>Cunewalde</v>
          </cell>
          <cell r="M775" t="str">
            <v>01307</v>
          </cell>
          <cell r="N775" t="str">
            <v>Germany</v>
          </cell>
        </row>
        <row r="776">
          <cell r="A776">
            <v>11022</v>
          </cell>
          <cell r="B776" t="str">
            <v>HANAR</v>
          </cell>
          <cell r="C776">
            <v>9</v>
          </cell>
          <cell r="D776">
            <v>35899</v>
          </cell>
          <cell r="E776">
            <v>35927</v>
          </cell>
          <cell r="F776">
            <v>35919</v>
          </cell>
          <cell r="G776">
            <v>2</v>
          </cell>
          <cell r="H776">
            <v>6.27</v>
          </cell>
          <cell r="I776" t="str">
            <v>Hanari Carnes</v>
          </cell>
          <cell r="J776" t="str">
            <v>Rua do Paço, 67</v>
          </cell>
          <cell r="K776" t="str">
            <v>Rio de Janeiro</v>
          </cell>
          <cell r="L776" t="str">
            <v>RJ</v>
          </cell>
          <cell r="M776" t="str">
            <v>05454-876</v>
          </cell>
          <cell r="N776" t="str">
            <v>Brazil</v>
          </cell>
        </row>
        <row r="777">
          <cell r="A777">
            <v>11023</v>
          </cell>
          <cell r="B777" t="str">
            <v>BSBEV</v>
          </cell>
          <cell r="C777">
            <v>1</v>
          </cell>
          <cell r="D777">
            <v>35899</v>
          </cell>
          <cell r="E777">
            <v>35913</v>
          </cell>
          <cell r="F777">
            <v>35909</v>
          </cell>
          <cell r="G777">
            <v>2</v>
          </cell>
          <cell r="H777">
            <v>123.83</v>
          </cell>
          <cell r="I777" t="str">
            <v>B's Beverages</v>
          </cell>
          <cell r="J777" t="str">
            <v>Fauntleroy Circus</v>
          </cell>
          <cell r="K777" t="str">
            <v>London</v>
          </cell>
          <cell r="M777" t="str">
            <v>EC2 5NT</v>
          </cell>
          <cell r="N777" t="str">
            <v>UK</v>
          </cell>
        </row>
        <row r="778">
          <cell r="A778">
            <v>11024</v>
          </cell>
          <cell r="B778" t="str">
            <v>EASTC</v>
          </cell>
          <cell r="C778">
            <v>4</v>
          </cell>
          <cell r="D778">
            <v>35900</v>
          </cell>
          <cell r="E778">
            <v>35928</v>
          </cell>
          <cell r="F778">
            <v>35905</v>
          </cell>
          <cell r="G778">
            <v>1</v>
          </cell>
          <cell r="H778">
            <v>74.36</v>
          </cell>
          <cell r="I778" t="str">
            <v>Eastern Connection</v>
          </cell>
          <cell r="J778" t="str">
            <v>35 King George</v>
          </cell>
          <cell r="K778" t="str">
            <v>London</v>
          </cell>
          <cell r="M778" t="str">
            <v>WX3 6FW</v>
          </cell>
          <cell r="N778" t="str">
            <v>UK</v>
          </cell>
        </row>
        <row r="779">
          <cell r="A779">
            <v>11025</v>
          </cell>
          <cell r="B779" t="str">
            <v>WARTH</v>
          </cell>
          <cell r="C779">
            <v>6</v>
          </cell>
          <cell r="D779">
            <v>35900</v>
          </cell>
          <cell r="E779">
            <v>35928</v>
          </cell>
          <cell r="F779">
            <v>35909</v>
          </cell>
          <cell r="G779">
            <v>3</v>
          </cell>
          <cell r="H779">
            <v>29.17</v>
          </cell>
          <cell r="I779" t="str">
            <v>Wartian Herkku</v>
          </cell>
          <cell r="J779" t="str">
            <v>Torikatu 38</v>
          </cell>
          <cell r="K779" t="str">
            <v>Oulu</v>
          </cell>
          <cell r="M779" t="str">
            <v>90110</v>
          </cell>
          <cell r="N779" t="str">
            <v>Finland</v>
          </cell>
        </row>
        <row r="780">
          <cell r="A780">
            <v>11026</v>
          </cell>
          <cell r="B780" t="str">
            <v>FRANS</v>
          </cell>
          <cell r="C780">
            <v>4</v>
          </cell>
          <cell r="D780">
            <v>35900</v>
          </cell>
          <cell r="E780">
            <v>35928</v>
          </cell>
          <cell r="F780">
            <v>35913</v>
          </cell>
          <cell r="G780">
            <v>1</v>
          </cell>
          <cell r="H780">
            <v>47.09</v>
          </cell>
          <cell r="I780" t="str">
            <v>Franchi S.p.A.</v>
          </cell>
          <cell r="J780" t="str">
            <v>Via Monte Bianco 34</v>
          </cell>
          <cell r="K780" t="str">
            <v>Torino</v>
          </cell>
          <cell r="M780" t="str">
            <v>10100</v>
          </cell>
          <cell r="N780" t="str">
            <v>Italy</v>
          </cell>
        </row>
        <row r="781">
          <cell r="A781">
            <v>11027</v>
          </cell>
          <cell r="B781" t="str">
            <v>BOTTM</v>
          </cell>
          <cell r="C781">
            <v>1</v>
          </cell>
          <cell r="D781">
            <v>35901</v>
          </cell>
          <cell r="E781">
            <v>35929</v>
          </cell>
          <cell r="F781">
            <v>35905</v>
          </cell>
          <cell r="G781">
            <v>1</v>
          </cell>
          <cell r="H781">
            <v>52.52</v>
          </cell>
          <cell r="I781" t="str">
            <v>Bottom-Dollar Markets</v>
          </cell>
          <cell r="J781" t="str">
            <v>23 Tsawassen Blvd.</v>
          </cell>
          <cell r="K781" t="str">
            <v>Tsawassen</v>
          </cell>
          <cell r="L781" t="str">
            <v>BC</v>
          </cell>
          <cell r="M781" t="str">
            <v>T2F 8M4</v>
          </cell>
          <cell r="N781" t="str">
            <v>Canada</v>
          </cell>
        </row>
        <row r="782">
          <cell r="A782">
            <v>11028</v>
          </cell>
          <cell r="B782" t="str">
            <v>KOENE</v>
          </cell>
          <cell r="C782">
            <v>2</v>
          </cell>
          <cell r="D782">
            <v>35901</v>
          </cell>
          <cell r="E782">
            <v>35929</v>
          </cell>
          <cell r="F782">
            <v>35907</v>
          </cell>
          <cell r="G782">
            <v>1</v>
          </cell>
          <cell r="H782">
            <v>29.59</v>
          </cell>
          <cell r="I782" t="str">
            <v>Königlich Essen</v>
          </cell>
          <cell r="J782" t="str">
            <v>Maubelstr. 90</v>
          </cell>
          <cell r="K782" t="str">
            <v>Brandenburg</v>
          </cell>
          <cell r="M782" t="str">
            <v>14776</v>
          </cell>
          <cell r="N782" t="str">
            <v>Germany</v>
          </cell>
        </row>
        <row r="783">
          <cell r="A783">
            <v>11029</v>
          </cell>
          <cell r="B783" t="str">
            <v>CHOPS</v>
          </cell>
          <cell r="C783">
            <v>4</v>
          </cell>
          <cell r="D783">
            <v>35901</v>
          </cell>
          <cell r="E783">
            <v>35929</v>
          </cell>
          <cell r="F783">
            <v>35912</v>
          </cell>
          <cell r="G783">
            <v>1</v>
          </cell>
          <cell r="H783">
            <v>47.84</v>
          </cell>
          <cell r="I783" t="str">
            <v>Chop-suey Chinese</v>
          </cell>
          <cell r="J783" t="str">
            <v>Hauptstr. 31</v>
          </cell>
          <cell r="K783" t="str">
            <v>Bern</v>
          </cell>
          <cell r="M783" t="str">
            <v>3012</v>
          </cell>
          <cell r="N783" t="str">
            <v>Switzerland</v>
          </cell>
        </row>
        <row r="784">
          <cell r="A784">
            <v>11030</v>
          </cell>
          <cell r="B784" t="str">
            <v>SAVEA</v>
          </cell>
          <cell r="C784">
            <v>7</v>
          </cell>
          <cell r="D784">
            <v>35902</v>
          </cell>
          <cell r="E784">
            <v>35930</v>
          </cell>
          <cell r="F784">
            <v>35912</v>
          </cell>
          <cell r="G784">
            <v>2</v>
          </cell>
          <cell r="H784">
            <v>830.75</v>
          </cell>
          <cell r="I784" t="str">
            <v>Save-a-lot Markets</v>
          </cell>
          <cell r="J784" t="str">
            <v>187 Suffolk Ln.</v>
          </cell>
          <cell r="K784" t="str">
            <v>Boise</v>
          </cell>
          <cell r="L784" t="str">
            <v>ID</v>
          </cell>
          <cell r="M784" t="str">
            <v>83720</v>
          </cell>
          <cell r="N784" t="str">
            <v>USA</v>
          </cell>
        </row>
        <row r="785">
          <cell r="A785">
            <v>11031</v>
          </cell>
          <cell r="B785" t="str">
            <v>SAVEA</v>
          </cell>
          <cell r="C785">
            <v>6</v>
          </cell>
          <cell r="D785">
            <v>35902</v>
          </cell>
          <cell r="E785">
            <v>35930</v>
          </cell>
          <cell r="F785">
            <v>35909</v>
          </cell>
          <cell r="G785">
            <v>2</v>
          </cell>
          <cell r="H785">
            <v>227.22</v>
          </cell>
          <cell r="I785" t="str">
            <v>Save-a-lot Markets</v>
          </cell>
          <cell r="J785" t="str">
            <v>187 Suffolk Ln.</v>
          </cell>
          <cell r="K785" t="str">
            <v>Boise</v>
          </cell>
          <cell r="L785" t="str">
            <v>ID</v>
          </cell>
          <cell r="M785" t="str">
            <v>83720</v>
          </cell>
          <cell r="N785" t="str">
            <v>USA</v>
          </cell>
        </row>
        <row r="786">
          <cell r="A786">
            <v>11032</v>
          </cell>
          <cell r="B786" t="str">
            <v>WHITC</v>
          </cell>
          <cell r="C786">
            <v>2</v>
          </cell>
          <cell r="D786">
            <v>35902</v>
          </cell>
          <cell r="E786">
            <v>35930</v>
          </cell>
          <cell r="F786">
            <v>35908</v>
          </cell>
          <cell r="G786">
            <v>3</v>
          </cell>
          <cell r="H786">
            <v>606.19000000000005</v>
          </cell>
          <cell r="I786" t="str">
            <v>White Clover Markets</v>
          </cell>
          <cell r="J786" t="str">
            <v>1029 - 12th Ave. S.</v>
          </cell>
          <cell r="K786" t="str">
            <v>Seattle</v>
          </cell>
          <cell r="L786" t="str">
            <v>WA</v>
          </cell>
          <cell r="M786" t="str">
            <v>98124</v>
          </cell>
          <cell r="N786" t="str">
            <v>USA</v>
          </cell>
        </row>
        <row r="787">
          <cell r="A787">
            <v>11033</v>
          </cell>
          <cell r="B787" t="str">
            <v>RICSU</v>
          </cell>
          <cell r="C787">
            <v>7</v>
          </cell>
          <cell r="D787">
            <v>35902</v>
          </cell>
          <cell r="E787">
            <v>35930</v>
          </cell>
          <cell r="F787">
            <v>35908</v>
          </cell>
          <cell r="G787">
            <v>3</v>
          </cell>
          <cell r="H787">
            <v>84.74</v>
          </cell>
          <cell r="I787" t="str">
            <v>Richter Supermarkt</v>
          </cell>
          <cell r="J787" t="str">
            <v>Starenweg 5</v>
          </cell>
          <cell r="K787" t="str">
            <v>Genève</v>
          </cell>
          <cell r="M787" t="str">
            <v>1204</v>
          </cell>
          <cell r="N787" t="str">
            <v>Switzerland</v>
          </cell>
        </row>
        <row r="788">
          <cell r="A788">
            <v>11034</v>
          </cell>
          <cell r="B788" t="str">
            <v>OLDWO</v>
          </cell>
          <cell r="C788">
            <v>8</v>
          </cell>
          <cell r="D788">
            <v>35905</v>
          </cell>
          <cell r="E788">
            <v>35947</v>
          </cell>
          <cell r="F788">
            <v>35912</v>
          </cell>
          <cell r="G788">
            <v>1</v>
          </cell>
          <cell r="H788">
            <v>40.32</v>
          </cell>
          <cell r="I788" t="str">
            <v>Old World Delicatessen</v>
          </cell>
          <cell r="J788" t="str">
            <v>2743 Bering St.</v>
          </cell>
          <cell r="K788" t="str">
            <v>Anchorage</v>
          </cell>
          <cell r="L788" t="str">
            <v>AK</v>
          </cell>
          <cell r="M788" t="str">
            <v>99508</v>
          </cell>
          <cell r="N788" t="str">
            <v>USA</v>
          </cell>
        </row>
        <row r="789">
          <cell r="A789">
            <v>11035</v>
          </cell>
          <cell r="B789" t="str">
            <v>SUPRD</v>
          </cell>
          <cell r="C789">
            <v>2</v>
          </cell>
          <cell r="D789">
            <v>35905</v>
          </cell>
          <cell r="E789">
            <v>35933</v>
          </cell>
          <cell r="F789">
            <v>35909</v>
          </cell>
          <cell r="G789">
            <v>2</v>
          </cell>
          <cell r="H789">
            <v>0.17</v>
          </cell>
          <cell r="I789" t="str">
            <v>Suprêmes délices</v>
          </cell>
          <cell r="J789" t="str">
            <v>Boulevard Tirou, 255</v>
          </cell>
          <cell r="K789" t="str">
            <v>Charleroi</v>
          </cell>
          <cell r="M789" t="str">
            <v>B-6000</v>
          </cell>
          <cell r="N789" t="str">
            <v>Belgium</v>
          </cell>
        </row>
        <row r="790">
          <cell r="A790">
            <v>11036</v>
          </cell>
          <cell r="B790" t="str">
            <v>DRACD</v>
          </cell>
          <cell r="C790">
            <v>8</v>
          </cell>
          <cell r="D790">
            <v>35905</v>
          </cell>
          <cell r="E790">
            <v>35933</v>
          </cell>
          <cell r="F790">
            <v>35907</v>
          </cell>
          <cell r="G790">
            <v>3</v>
          </cell>
          <cell r="H790">
            <v>149.47</v>
          </cell>
          <cell r="I790" t="str">
            <v>Drachenblut Delikatessen</v>
          </cell>
          <cell r="J790" t="str">
            <v>Walserweg 21</v>
          </cell>
          <cell r="K790" t="str">
            <v>Aachen</v>
          </cell>
          <cell r="M790" t="str">
            <v>52066</v>
          </cell>
          <cell r="N790" t="str">
            <v>Germany</v>
          </cell>
        </row>
        <row r="791">
          <cell r="A791">
            <v>11037</v>
          </cell>
          <cell r="B791" t="str">
            <v>GODOS</v>
          </cell>
          <cell r="C791">
            <v>7</v>
          </cell>
          <cell r="D791">
            <v>35906</v>
          </cell>
          <cell r="E791">
            <v>35934</v>
          </cell>
          <cell r="F791">
            <v>35912</v>
          </cell>
          <cell r="G791">
            <v>1</v>
          </cell>
          <cell r="H791">
            <v>3.2</v>
          </cell>
          <cell r="I791" t="str">
            <v>Godos Cocina Típica</v>
          </cell>
          <cell r="J791" t="str">
            <v>C/ Romero, 33</v>
          </cell>
          <cell r="K791" t="str">
            <v>Sevilla</v>
          </cell>
          <cell r="M791" t="str">
            <v>41101</v>
          </cell>
          <cell r="N791" t="str">
            <v>Spain</v>
          </cell>
        </row>
        <row r="792">
          <cell r="A792">
            <v>11038</v>
          </cell>
          <cell r="B792" t="str">
            <v>SUPRD</v>
          </cell>
          <cell r="C792">
            <v>1</v>
          </cell>
          <cell r="D792">
            <v>35906</v>
          </cell>
          <cell r="E792">
            <v>35934</v>
          </cell>
          <cell r="F792">
            <v>35915</v>
          </cell>
          <cell r="G792">
            <v>2</v>
          </cell>
          <cell r="H792">
            <v>29.59</v>
          </cell>
          <cell r="I792" t="str">
            <v>Suprêmes délices</v>
          </cell>
          <cell r="J792" t="str">
            <v>Boulevard Tirou, 255</v>
          </cell>
          <cell r="K792" t="str">
            <v>Charleroi</v>
          </cell>
          <cell r="M792" t="str">
            <v>B-6000</v>
          </cell>
          <cell r="N792" t="str">
            <v>Belgium</v>
          </cell>
        </row>
        <row r="793">
          <cell r="A793">
            <v>11039</v>
          </cell>
          <cell r="B793" t="str">
            <v>LINOD</v>
          </cell>
          <cell r="C793">
            <v>1</v>
          </cell>
          <cell r="D793">
            <v>35906</v>
          </cell>
          <cell r="E793">
            <v>35934</v>
          </cell>
          <cell r="G793">
            <v>2</v>
          </cell>
          <cell r="H793">
            <v>65</v>
          </cell>
          <cell r="I793" t="str">
            <v>LINO-Delicateses</v>
          </cell>
          <cell r="J793" t="str">
            <v>Ave. 5 de Mayo Porlamar</v>
          </cell>
          <cell r="K793" t="str">
            <v>I. de Margarita</v>
          </cell>
          <cell r="L793" t="str">
            <v>Nueva Esparta</v>
          </cell>
          <cell r="M793" t="str">
            <v>4980</v>
          </cell>
          <cell r="N793" t="str">
            <v>Venezuela</v>
          </cell>
        </row>
        <row r="794">
          <cell r="A794">
            <v>11040</v>
          </cell>
          <cell r="B794" t="str">
            <v>GREAL</v>
          </cell>
          <cell r="C794">
            <v>4</v>
          </cell>
          <cell r="D794">
            <v>35907</v>
          </cell>
          <cell r="E794">
            <v>35935</v>
          </cell>
          <cell r="G794">
            <v>3</v>
          </cell>
          <cell r="H794">
            <v>18.84</v>
          </cell>
          <cell r="I794" t="str">
            <v>Great Lakes Food Market</v>
          </cell>
          <cell r="J794" t="str">
            <v>2732 Baker Blvd.</v>
          </cell>
          <cell r="K794" t="str">
            <v>Eugene</v>
          </cell>
          <cell r="L794" t="str">
            <v>OR</v>
          </cell>
          <cell r="M794" t="str">
            <v>97403</v>
          </cell>
          <cell r="N794" t="str">
            <v>USA</v>
          </cell>
        </row>
        <row r="795">
          <cell r="A795">
            <v>11041</v>
          </cell>
          <cell r="B795" t="str">
            <v>CHOPS</v>
          </cell>
          <cell r="C795">
            <v>3</v>
          </cell>
          <cell r="D795">
            <v>35907</v>
          </cell>
          <cell r="E795">
            <v>35935</v>
          </cell>
          <cell r="F795">
            <v>35913</v>
          </cell>
          <cell r="G795">
            <v>2</v>
          </cell>
          <cell r="H795">
            <v>48.22</v>
          </cell>
          <cell r="I795" t="str">
            <v>Chop-suey Chinese</v>
          </cell>
          <cell r="J795" t="str">
            <v>Hauptstr. 31</v>
          </cell>
          <cell r="K795" t="str">
            <v>Bern</v>
          </cell>
          <cell r="M795" t="str">
            <v>3012</v>
          </cell>
          <cell r="N795" t="str">
            <v>Switzerland</v>
          </cell>
        </row>
        <row r="796">
          <cell r="A796">
            <v>11042</v>
          </cell>
          <cell r="B796" t="str">
            <v>COMMI</v>
          </cell>
          <cell r="C796">
            <v>2</v>
          </cell>
          <cell r="D796">
            <v>35907</v>
          </cell>
          <cell r="E796">
            <v>35921</v>
          </cell>
          <cell r="F796">
            <v>35916</v>
          </cell>
          <cell r="G796">
            <v>1</v>
          </cell>
          <cell r="H796">
            <v>29.99</v>
          </cell>
          <cell r="I796" t="str">
            <v>Comércio Mineiro</v>
          </cell>
          <cell r="J796" t="str">
            <v>Av. dos Lusíadas, 23</v>
          </cell>
          <cell r="K796" t="str">
            <v>Sao Paulo</v>
          </cell>
          <cell r="L796" t="str">
            <v>SP</v>
          </cell>
          <cell r="M796" t="str">
            <v>05432-043</v>
          </cell>
          <cell r="N796" t="str">
            <v>Brazil</v>
          </cell>
        </row>
        <row r="797">
          <cell r="A797">
            <v>11043</v>
          </cell>
          <cell r="B797" t="str">
            <v>SPECD</v>
          </cell>
          <cell r="C797">
            <v>5</v>
          </cell>
          <cell r="D797">
            <v>35907</v>
          </cell>
          <cell r="E797">
            <v>35935</v>
          </cell>
          <cell r="F797">
            <v>35914</v>
          </cell>
          <cell r="G797">
            <v>2</v>
          </cell>
          <cell r="H797">
            <v>8.8000000000000007</v>
          </cell>
          <cell r="I797" t="str">
            <v>Spécialités du monde</v>
          </cell>
          <cell r="J797" t="str">
            <v>25, rue Lauriston</v>
          </cell>
          <cell r="K797" t="str">
            <v>Paris</v>
          </cell>
          <cell r="M797" t="str">
            <v>75016</v>
          </cell>
          <cell r="N797" t="str">
            <v>France</v>
          </cell>
        </row>
        <row r="798">
          <cell r="A798">
            <v>11044</v>
          </cell>
          <cell r="B798" t="str">
            <v>WOLZA</v>
          </cell>
          <cell r="C798">
            <v>4</v>
          </cell>
          <cell r="D798">
            <v>35908</v>
          </cell>
          <cell r="E798">
            <v>35936</v>
          </cell>
          <cell r="F798">
            <v>35916</v>
          </cell>
          <cell r="G798">
            <v>1</v>
          </cell>
          <cell r="H798">
            <v>8.7200000000000006</v>
          </cell>
          <cell r="I798" t="str">
            <v>Wolski Zajazd</v>
          </cell>
          <cell r="J798" t="str">
            <v>ul. Filtrowa 68</v>
          </cell>
          <cell r="K798" t="str">
            <v>Warszawa</v>
          </cell>
          <cell r="M798" t="str">
            <v>01-012</v>
          </cell>
          <cell r="N798" t="str">
            <v>Poland</v>
          </cell>
        </row>
        <row r="799">
          <cell r="A799">
            <v>11045</v>
          </cell>
          <cell r="B799" t="str">
            <v>BOTTM</v>
          </cell>
          <cell r="C799">
            <v>6</v>
          </cell>
          <cell r="D799">
            <v>35908</v>
          </cell>
          <cell r="E799">
            <v>35936</v>
          </cell>
          <cell r="G799">
            <v>2</v>
          </cell>
          <cell r="H799">
            <v>70.58</v>
          </cell>
          <cell r="I799" t="str">
            <v>Bottom-Dollar Markets</v>
          </cell>
          <cell r="J799" t="str">
            <v>23 Tsawassen Blvd.</v>
          </cell>
          <cell r="K799" t="str">
            <v>Tsawassen</v>
          </cell>
          <cell r="L799" t="str">
            <v>BC</v>
          </cell>
          <cell r="M799" t="str">
            <v>T2F 8M4</v>
          </cell>
          <cell r="N799" t="str">
            <v>Canada</v>
          </cell>
        </row>
        <row r="800">
          <cell r="A800">
            <v>11046</v>
          </cell>
          <cell r="B800" t="str">
            <v>WANDK</v>
          </cell>
          <cell r="C800">
            <v>8</v>
          </cell>
          <cell r="D800">
            <v>35908</v>
          </cell>
          <cell r="E800">
            <v>35936</v>
          </cell>
          <cell r="F800">
            <v>35909</v>
          </cell>
          <cell r="G800">
            <v>2</v>
          </cell>
          <cell r="H800">
            <v>71.64</v>
          </cell>
          <cell r="I800" t="str">
            <v>Die Wandernde Kuh</v>
          </cell>
          <cell r="J800" t="str">
            <v>Adenauerallee 900</v>
          </cell>
          <cell r="K800" t="str">
            <v>Stuttgart</v>
          </cell>
          <cell r="M800" t="str">
            <v>70563</v>
          </cell>
          <cell r="N800" t="str">
            <v>Germany</v>
          </cell>
        </row>
        <row r="801">
          <cell r="A801">
            <v>11047</v>
          </cell>
          <cell r="B801" t="str">
            <v>EASTC</v>
          </cell>
          <cell r="C801">
            <v>7</v>
          </cell>
          <cell r="D801">
            <v>35909</v>
          </cell>
          <cell r="E801">
            <v>35937</v>
          </cell>
          <cell r="F801">
            <v>35916</v>
          </cell>
          <cell r="G801">
            <v>3</v>
          </cell>
          <cell r="H801">
            <v>46.62</v>
          </cell>
          <cell r="I801" t="str">
            <v>Eastern Connection</v>
          </cell>
          <cell r="J801" t="str">
            <v>35 King George</v>
          </cell>
          <cell r="K801" t="str">
            <v>London</v>
          </cell>
          <cell r="M801" t="str">
            <v>WX3 6FW</v>
          </cell>
          <cell r="N801" t="str">
            <v>UK</v>
          </cell>
        </row>
        <row r="802">
          <cell r="A802">
            <v>11048</v>
          </cell>
          <cell r="B802" t="str">
            <v>BOTTM</v>
          </cell>
          <cell r="C802">
            <v>7</v>
          </cell>
          <cell r="D802">
            <v>35909</v>
          </cell>
          <cell r="E802">
            <v>35937</v>
          </cell>
          <cell r="F802">
            <v>35915</v>
          </cell>
          <cell r="G802">
            <v>3</v>
          </cell>
          <cell r="H802">
            <v>24.12</v>
          </cell>
          <cell r="I802" t="str">
            <v>Bottom-Dollar Markets</v>
          </cell>
          <cell r="J802" t="str">
            <v>23 Tsawassen Blvd.</v>
          </cell>
          <cell r="K802" t="str">
            <v>Tsawassen</v>
          </cell>
          <cell r="L802" t="str">
            <v>BC</v>
          </cell>
          <cell r="M802" t="str">
            <v>T2F 8M4</v>
          </cell>
          <cell r="N802" t="str">
            <v>Canada</v>
          </cell>
        </row>
        <row r="803">
          <cell r="A803">
            <v>11049</v>
          </cell>
          <cell r="B803" t="str">
            <v>GOURL</v>
          </cell>
          <cell r="C803">
            <v>3</v>
          </cell>
          <cell r="D803">
            <v>35909</v>
          </cell>
          <cell r="E803">
            <v>35937</v>
          </cell>
          <cell r="F803">
            <v>35919</v>
          </cell>
          <cell r="G803">
            <v>1</v>
          </cell>
          <cell r="H803">
            <v>8.34</v>
          </cell>
          <cell r="I803" t="str">
            <v>Gourmet Lanchonetes</v>
          </cell>
          <cell r="J803" t="str">
            <v>Av. Brasil, 442</v>
          </cell>
          <cell r="K803" t="str">
            <v>Campinas</v>
          </cell>
          <cell r="L803" t="str">
            <v>SP</v>
          </cell>
          <cell r="M803" t="str">
            <v>04876-786</v>
          </cell>
          <cell r="N803" t="str">
            <v>Brazil</v>
          </cell>
        </row>
        <row r="804">
          <cell r="A804">
            <v>11050</v>
          </cell>
          <cell r="B804" t="str">
            <v>FOLKO</v>
          </cell>
          <cell r="C804">
            <v>8</v>
          </cell>
          <cell r="D804">
            <v>35912</v>
          </cell>
          <cell r="E804">
            <v>35940</v>
          </cell>
          <cell r="F804">
            <v>35920</v>
          </cell>
          <cell r="G804">
            <v>2</v>
          </cell>
          <cell r="H804">
            <v>59.41</v>
          </cell>
          <cell r="I804" t="str">
            <v>Folk och fä HB</v>
          </cell>
          <cell r="J804" t="str">
            <v>Åkergatan 24</v>
          </cell>
          <cell r="K804" t="str">
            <v>Bräcke</v>
          </cell>
          <cell r="M804" t="str">
            <v>S-844 67</v>
          </cell>
          <cell r="N804" t="str">
            <v>Sweden</v>
          </cell>
        </row>
        <row r="805">
          <cell r="A805">
            <v>11051</v>
          </cell>
          <cell r="B805" t="str">
            <v>LAMAI</v>
          </cell>
          <cell r="C805">
            <v>7</v>
          </cell>
          <cell r="D805">
            <v>35912</v>
          </cell>
          <cell r="E805">
            <v>35940</v>
          </cell>
          <cell r="G805">
            <v>3</v>
          </cell>
          <cell r="H805">
            <v>2.79</v>
          </cell>
          <cell r="I805" t="str">
            <v>La maison d'Asie</v>
          </cell>
          <cell r="J805" t="str">
            <v>1 rue Alsace-Lorraine</v>
          </cell>
          <cell r="K805" t="str">
            <v>Toulouse</v>
          </cell>
          <cell r="M805" t="str">
            <v>31000</v>
          </cell>
          <cell r="N805" t="str">
            <v>France</v>
          </cell>
        </row>
        <row r="806">
          <cell r="A806">
            <v>11052</v>
          </cell>
          <cell r="B806" t="str">
            <v>HANAR</v>
          </cell>
          <cell r="C806">
            <v>3</v>
          </cell>
          <cell r="D806">
            <v>35912</v>
          </cell>
          <cell r="E806">
            <v>35940</v>
          </cell>
          <cell r="F806">
            <v>35916</v>
          </cell>
          <cell r="G806">
            <v>1</v>
          </cell>
          <cell r="H806">
            <v>67.260000000000005</v>
          </cell>
          <cell r="I806" t="str">
            <v>Hanari Carnes</v>
          </cell>
          <cell r="J806" t="str">
            <v>Rua do Paço, 67</v>
          </cell>
          <cell r="K806" t="str">
            <v>Rio de Janeiro</v>
          </cell>
          <cell r="L806" t="str">
            <v>RJ</v>
          </cell>
          <cell r="M806" t="str">
            <v>05454-876</v>
          </cell>
          <cell r="N806" t="str">
            <v>Brazil</v>
          </cell>
        </row>
        <row r="807">
          <cell r="A807">
            <v>11053</v>
          </cell>
          <cell r="B807" t="str">
            <v>PICCO</v>
          </cell>
          <cell r="C807">
            <v>2</v>
          </cell>
          <cell r="D807">
            <v>35912</v>
          </cell>
          <cell r="E807">
            <v>35940</v>
          </cell>
          <cell r="F807">
            <v>35914</v>
          </cell>
          <cell r="G807">
            <v>2</v>
          </cell>
          <cell r="H807">
            <v>53.05</v>
          </cell>
          <cell r="I807" t="str">
            <v>Piccolo und mehr</v>
          </cell>
          <cell r="J807" t="str">
            <v>Geislweg 14</v>
          </cell>
          <cell r="K807" t="str">
            <v>Salzburg</v>
          </cell>
          <cell r="M807" t="str">
            <v>5020</v>
          </cell>
          <cell r="N807" t="str">
            <v>Austria</v>
          </cell>
        </row>
        <row r="808">
          <cell r="A808">
            <v>11054</v>
          </cell>
          <cell r="B808" t="str">
            <v>CACTU</v>
          </cell>
          <cell r="C808">
            <v>8</v>
          </cell>
          <cell r="D808">
            <v>35913</v>
          </cell>
          <cell r="E808">
            <v>35941</v>
          </cell>
          <cell r="G808">
            <v>1</v>
          </cell>
          <cell r="H808">
            <v>0.33</v>
          </cell>
          <cell r="I808" t="str">
            <v>Cactus Comidas para llevar</v>
          </cell>
          <cell r="J808" t="str">
            <v>Cerrito 333</v>
          </cell>
          <cell r="K808" t="str">
            <v>Buenos Aires</v>
          </cell>
          <cell r="M808" t="str">
            <v>1010</v>
          </cell>
          <cell r="N808" t="str">
            <v>Argentina</v>
          </cell>
        </row>
        <row r="809">
          <cell r="A809">
            <v>11055</v>
          </cell>
          <cell r="B809" t="str">
            <v>HILAA</v>
          </cell>
          <cell r="C809">
            <v>7</v>
          </cell>
          <cell r="D809">
            <v>35913</v>
          </cell>
          <cell r="E809">
            <v>35941</v>
          </cell>
          <cell r="F809">
            <v>35920</v>
          </cell>
          <cell r="G809">
            <v>2</v>
          </cell>
          <cell r="H809">
            <v>120.92</v>
          </cell>
          <cell r="I809" t="str">
            <v>HILARION-Abastos</v>
          </cell>
          <cell r="J809" t="str">
            <v>Carrera 22 con Ave. Carlos Soublette #8-35</v>
          </cell>
          <cell r="K809" t="str">
            <v>San Cristóbal</v>
          </cell>
          <cell r="L809" t="str">
            <v>Táchira</v>
          </cell>
          <cell r="M809" t="str">
            <v>5022</v>
          </cell>
          <cell r="N809" t="str">
            <v>Venezuela</v>
          </cell>
        </row>
        <row r="810">
          <cell r="A810">
            <v>11056</v>
          </cell>
          <cell r="B810" t="str">
            <v>EASTC</v>
          </cell>
          <cell r="C810">
            <v>8</v>
          </cell>
          <cell r="D810">
            <v>35913</v>
          </cell>
          <cell r="E810">
            <v>35927</v>
          </cell>
          <cell r="F810">
            <v>35916</v>
          </cell>
          <cell r="G810">
            <v>2</v>
          </cell>
          <cell r="H810">
            <v>278.95999999999998</v>
          </cell>
          <cell r="I810" t="str">
            <v>Eastern Connection</v>
          </cell>
          <cell r="J810" t="str">
            <v>35 King George</v>
          </cell>
          <cell r="K810" t="str">
            <v>London</v>
          </cell>
          <cell r="M810" t="str">
            <v>WX3 6FW</v>
          </cell>
          <cell r="N810" t="str">
            <v>UK</v>
          </cell>
        </row>
        <row r="811">
          <cell r="A811">
            <v>11057</v>
          </cell>
          <cell r="B811" t="str">
            <v>NORTS</v>
          </cell>
          <cell r="C811">
            <v>3</v>
          </cell>
          <cell r="D811">
            <v>35914</v>
          </cell>
          <cell r="E811">
            <v>35942</v>
          </cell>
          <cell r="F811">
            <v>35916</v>
          </cell>
          <cell r="G811">
            <v>3</v>
          </cell>
          <cell r="H811">
            <v>4.13</v>
          </cell>
          <cell r="I811" t="str">
            <v>North/South</v>
          </cell>
          <cell r="J811" t="str">
            <v>South House 300 Queensbridge</v>
          </cell>
          <cell r="K811" t="str">
            <v>London</v>
          </cell>
          <cell r="M811" t="str">
            <v>SW7 1RZ</v>
          </cell>
          <cell r="N811" t="str">
            <v>UK</v>
          </cell>
        </row>
        <row r="812">
          <cell r="A812">
            <v>11058</v>
          </cell>
          <cell r="B812" t="str">
            <v>BLAUS</v>
          </cell>
          <cell r="C812">
            <v>9</v>
          </cell>
          <cell r="D812">
            <v>35914</v>
          </cell>
          <cell r="E812">
            <v>35942</v>
          </cell>
          <cell r="G812">
            <v>3</v>
          </cell>
          <cell r="H812">
            <v>31.14</v>
          </cell>
          <cell r="I812" t="str">
            <v>Blauer See Delikatessen</v>
          </cell>
          <cell r="J812" t="str">
            <v>Forsterstr. 57</v>
          </cell>
          <cell r="K812" t="str">
            <v>Mannheim</v>
          </cell>
          <cell r="M812" t="str">
            <v>68306</v>
          </cell>
          <cell r="N812" t="str">
            <v>Germany</v>
          </cell>
        </row>
        <row r="813">
          <cell r="A813">
            <v>11059</v>
          </cell>
          <cell r="B813" t="str">
            <v>RICAR</v>
          </cell>
          <cell r="C813">
            <v>2</v>
          </cell>
          <cell r="D813">
            <v>35914</v>
          </cell>
          <cell r="E813">
            <v>35956</v>
          </cell>
          <cell r="G813">
            <v>2</v>
          </cell>
          <cell r="H813">
            <v>85.8</v>
          </cell>
          <cell r="I813" t="str">
            <v>Ricardo Adocicados</v>
          </cell>
          <cell r="J813" t="str">
            <v>Av. Copacabana, 267</v>
          </cell>
          <cell r="K813" t="str">
            <v>Rio de Janeiro</v>
          </cell>
          <cell r="L813" t="str">
            <v>RJ</v>
          </cell>
          <cell r="M813" t="str">
            <v>02389-890</v>
          </cell>
          <cell r="N813" t="str">
            <v>Brazil</v>
          </cell>
        </row>
        <row r="814">
          <cell r="A814">
            <v>11060</v>
          </cell>
          <cell r="B814" t="str">
            <v>FRANS</v>
          </cell>
          <cell r="C814">
            <v>2</v>
          </cell>
          <cell r="D814">
            <v>35915</v>
          </cell>
          <cell r="E814">
            <v>35943</v>
          </cell>
          <cell r="F814">
            <v>35919</v>
          </cell>
          <cell r="G814">
            <v>2</v>
          </cell>
          <cell r="H814">
            <v>10.98</v>
          </cell>
          <cell r="I814" t="str">
            <v>Franchi S.p.A.</v>
          </cell>
          <cell r="J814" t="str">
            <v>Via Monte Bianco 34</v>
          </cell>
          <cell r="K814" t="str">
            <v>Torino</v>
          </cell>
          <cell r="M814" t="str">
            <v>10100</v>
          </cell>
          <cell r="N814" t="str">
            <v>Italy</v>
          </cell>
        </row>
        <row r="815">
          <cell r="A815">
            <v>11061</v>
          </cell>
          <cell r="B815" t="str">
            <v>GREAL</v>
          </cell>
          <cell r="C815">
            <v>4</v>
          </cell>
          <cell r="D815">
            <v>35915</v>
          </cell>
          <cell r="E815">
            <v>35957</v>
          </cell>
          <cell r="G815">
            <v>3</v>
          </cell>
          <cell r="H815">
            <v>14.01</v>
          </cell>
          <cell r="I815" t="str">
            <v>Great Lakes Food Market</v>
          </cell>
          <cell r="J815" t="str">
            <v>2732 Baker Blvd.</v>
          </cell>
          <cell r="K815" t="str">
            <v>Eugene</v>
          </cell>
          <cell r="L815" t="str">
            <v>OR</v>
          </cell>
          <cell r="M815" t="str">
            <v>97403</v>
          </cell>
          <cell r="N815" t="str">
            <v>USA</v>
          </cell>
        </row>
        <row r="816">
          <cell r="A816">
            <v>11062</v>
          </cell>
          <cell r="B816" t="str">
            <v>REGGC</v>
          </cell>
          <cell r="C816">
            <v>4</v>
          </cell>
          <cell r="D816">
            <v>35915</v>
          </cell>
          <cell r="E816">
            <v>35943</v>
          </cell>
          <cell r="G816">
            <v>2</v>
          </cell>
          <cell r="H816">
            <v>29.93</v>
          </cell>
          <cell r="I816" t="str">
            <v>Reggiani Caseifici</v>
          </cell>
          <cell r="J816" t="str">
            <v>Strada Provinciale 124</v>
          </cell>
          <cell r="K816" t="str">
            <v>Reggio Emilia</v>
          </cell>
          <cell r="M816" t="str">
            <v>42100</v>
          </cell>
          <cell r="N816" t="str">
            <v>Italy</v>
          </cell>
        </row>
        <row r="817">
          <cell r="A817">
            <v>11063</v>
          </cell>
          <cell r="B817" t="str">
            <v>HUNGO</v>
          </cell>
          <cell r="C817">
            <v>3</v>
          </cell>
          <cell r="D817">
            <v>35915</v>
          </cell>
          <cell r="E817">
            <v>35943</v>
          </cell>
          <cell r="F817">
            <v>35921</v>
          </cell>
          <cell r="G817">
            <v>2</v>
          </cell>
          <cell r="H817">
            <v>81.73</v>
          </cell>
          <cell r="I817" t="str">
            <v>Hungry Owl All-Night Grocers</v>
          </cell>
          <cell r="J817" t="str">
            <v>8 Johnstown Road</v>
          </cell>
          <cell r="K817" t="str">
            <v>Cork</v>
          </cell>
          <cell r="L817" t="str">
            <v>Co. Cork</v>
          </cell>
          <cell r="N817" t="str">
            <v>Ireland</v>
          </cell>
        </row>
        <row r="818">
          <cell r="A818">
            <v>11064</v>
          </cell>
          <cell r="B818" t="str">
            <v>SAVEA</v>
          </cell>
          <cell r="C818">
            <v>1</v>
          </cell>
          <cell r="D818">
            <v>35916</v>
          </cell>
          <cell r="E818">
            <v>35944</v>
          </cell>
          <cell r="F818">
            <v>35919</v>
          </cell>
          <cell r="G818">
            <v>1</v>
          </cell>
          <cell r="H818">
            <v>30.09</v>
          </cell>
          <cell r="I818" t="str">
            <v>Save-a-lot Markets</v>
          </cell>
          <cell r="J818" t="str">
            <v>187 Suffolk Ln.</v>
          </cell>
          <cell r="K818" t="str">
            <v>Boise</v>
          </cell>
          <cell r="L818" t="str">
            <v>ID</v>
          </cell>
          <cell r="M818" t="str">
            <v>83720</v>
          </cell>
          <cell r="N818" t="str">
            <v>USA</v>
          </cell>
        </row>
        <row r="819">
          <cell r="A819">
            <v>11065</v>
          </cell>
          <cell r="B819" t="str">
            <v>LILAS</v>
          </cell>
          <cell r="C819">
            <v>8</v>
          </cell>
          <cell r="D819">
            <v>35916</v>
          </cell>
          <cell r="E819">
            <v>35944</v>
          </cell>
          <cell r="G819">
            <v>1</v>
          </cell>
          <cell r="H819">
            <v>12.91</v>
          </cell>
          <cell r="I819" t="str">
            <v>LILA-Supermercado</v>
          </cell>
          <cell r="J819" t="str">
            <v>Carrera 52 con Ave. Bolívar #65-98 Llano Largo</v>
          </cell>
          <cell r="K819" t="str">
            <v>Barquisimeto</v>
          </cell>
          <cell r="L819" t="str">
            <v>Lara</v>
          </cell>
          <cell r="M819" t="str">
            <v>3508</v>
          </cell>
          <cell r="N819" t="str">
            <v>Venezuela</v>
          </cell>
        </row>
        <row r="820">
          <cell r="A820">
            <v>11066</v>
          </cell>
          <cell r="B820" t="str">
            <v>WHITC</v>
          </cell>
          <cell r="C820">
            <v>7</v>
          </cell>
          <cell r="D820">
            <v>35916</v>
          </cell>
          <cell r="E820">
            <v>35944</v>
          </cell>
          <cell r="F820">
            <v>35919</v>
          </cell>
          <cell r="G820">
            <v>2</v>
          </cell>
          <cell r="H820">
            <v>44.72</v>
          </cell>
          <cell r="I820" t="str">
            <v>White Clover Markets</v>
          </cell>
          <cell r="J820" t="str">
            <v>1029 - 12th Ave. S.</v>
          </cell>
          <cell r="K820" t="str">
            <v>Seattle</v>
          </cell>
          <cell r="L820" t="str">
            <v>WA</v>
          </cell>
          <cell r="M820" t="str">
            <v>98124</v>
          </cell>
          <cell r="N820" t="str">
            <v>USA</v>
          </cell>
        </row>
        <row r="821">
          <cell r="A821">
            <v>11067</v>
          </cell>
          <cell r="B821" t="str">
            <v>DRACD</v>
          </cell>
          <cell r="C821">
            <v>1</v>
          </cell>
          <cell r="D821">
            <v>35919</v>
          </cell>
          <cell r="E821">
            <v>35933</v>
          </cell>
          <cell r="F821">
            <v>35921</v>
          </cell>
          <cell r="G821">
            <v>2</v>
          </cell>
          <cell r="H821">
            <v>7.98</v>
          </cell>
          <cell r="I821" t="str">
            <v>Drachenblut Delikatessen</v>
          </cell>
          <cell r="J821" t="str">
            <v>Walserweg 21</v>
          </cell>
          <cell r="K821" t="str">
            <v>Aachen</v>
          </cell>
          <cell r="M821" t="str">
            <v>52066</v>
          </cell>
          <cell r="N821" t="str">
            <v>Germany</v>
          </cell>
        </row>
        <row r="822">
          <cell r="A822">
            <v>11068</v>
          </cell>
          <cell r="B822" t="str">
            <v>QUEEN</v>
          </cell>
          <cell r="C822">
            <v>8</v>
          </cell>
          <cell r="D822">
            <v>35919</v>
          </cell>
          <cell r="E822">
            <v>35947</v>
          </cell>
          <cell r="G822">
            <v>2</v>
          </cell>
          <cell r="H822">
            <v>81.75</v>
          </cell>
          <cell r="I822" t="str">
            <v>Queen Cozinha</v>
          </cell>
          <cell r="J822" t="str">
            <v>Alameda dos Canàrios, 891</v>
          </cell>
          <cell r="K822" t="str">
            <v>Sao Paulo</v>
          </cell>
          <cell r="L822" t="str">
            <v>SP</v>
          </cell>
          <cell r="M822" t="str">
            <v>05487-020</v>
          </cell>
          <cell r="N822" t="str">
            <v>Brazil</v>
          </cell>
        </row>
        <row r="823">
          <cell r="A823">
            <v>11069</v>
          </cell>
          <cell r="B823" t="str">
            <v>TORTU</v>
          </cell>
          <cell r="C823">
            <v>1</v>
          </cell>
          <cell r="D823">
            <v>35919</v>
          </cell>
          <cell r="E823">
            <v>35947</v>
          </cell>
          <cell r="F823">
            <v>35921</v>
          </cell>
          <cell r="G823">
            <v>2</v>
          </cell>
          <cell r="H823">
            <v>15.67</v>
          </cell>
          <cell r="I823" t="str">
            <v>Tortuga Restaurante</v>
          </cell>
          <cell r="J823" t="str">
            <v>Avda. Azteca 123</v>
          </cell>
          <cell r="K823" t="str">
            <v>México D.F.</v>
          </cell>
          <cell r="M823" t="str">
            <v>05033</v>
          </cell>
          <cell r="N823" t="str">
            <v>Mexico</v>
          </cell>
        </row>
        <row r="824">
          <cell r="A824">
            <v>11070</v>
          </cell>
          <cell r="B824" t="str">
            <v>LEHMS</v>
          </cell>
          <cell r="C824">
            <v>2</v>
          </cell>
          <cell r="D824">
            <v>35920</v>
          </cell>
          <cell r="E824">
            <v>35948</v>
          </cell>
          <cell r="G824">
            <v>1</v>
          </cell>
          <cell r="H824">
            <v>136</v>
          </cell>
          <cell r="I824" t="str">
            <v>Lehmanns Marktstand</v>
          </cell>
          <cell r="J824" t="str">
            <v>Magazinweg 7</v>
          </cell>
          <cell r="K824" t="str">
            <v>Frankfurt a.M.</v>
          </cell>
          <cell r="M824" t="str">
            <v>60528</v>
          </cell>
          <cell r="N824" t="str">
            <v>Germany</v>
          </cell>
        </row>
        <row r="825">
          <cell r="A825">
            <v>11071</v>
          </cell>
          <cell r="B825" t="str">
            <v>LILAS</v>
          </cell>
          <cell r="C825">
            <v>1</v>
          </cell>
          <cell r="D825">
            <v>35920</v>
          </cell>
          <cell r="E825">
            <v>35948</v>
          </cell>
          <cell r="G825">
            <v>1</v>
          </cell>
          <cell r="H825">
            <v>0.93</v>
          </cell>
          <cell r="I825" t="str">
            <v>LILA-Supermercado</v>
          </cell>
          <cell r="J825" t="str">
            <v>Carrera 52 con Ave. Bolívar #65-98 Llano Largo</v>
          </cell>
          <cell r="K825" t="str">
            <v>Barquisimeto</v>
          </cell>
          <cell r="L825" t="str">
            <v>Lara</v>
          </cell>
          <cell r="M825" t="str">
            <v>3508</v>
          </cell>
          <cell r="N825" t="str">
            <v>Venezuela</v>
          </cell>
        </row>
        <row r="826">
          <cell r="A826">
            <v>11072</v>
          </cell>
          <cell r="B826" t="str">
            <v>ERNSH</v>
          </cell>
          <cell r="C826">
            <v>4</v>
          </cell>
          <cell r="D826">
            <v>35920</v>
          </cell>
          <cell r="E826">
            <v>35948</v>
          </cell>
          <cell r="G826">
            <v>2</v>
          </cell>
          <cell r="H826">
            <v>258.64</v>
          </cell>
          <cell r="I826" t="str">
            <v>Ernst Handel</v>
          </cell>
          <cell r="J826" t="str">
            <v>Kirchgasse 6</v>
          </cell>
          <cell r="K826" t="str">
            <v>Graz</v>
          </cell>
          <cell r="M826" t="str">
            <v>8010</v>
          </cell>
          <cell r="N826" t="str">
            <v>Austria</v>
          </cell>
        </row>
        <row r="827">
          <cell r="A827">
            <v>11073</v>
          </cell>
          <cell r="B827" t="str">
            <v>PERIC</v>
          </cell>
          <cell r="C827">
            <v>2</v>
          </cell>
          <cell r="D827">
            <v>35920</v>
          </cell>
          <cell r="E827">
            <v>35948</v>
          </cell>
          <cell r="G827">
            <v>2</v>
          </cell>
          <cell r="H827">
            <v>24.95</v>
          </cell>
          <cell r="I827" t="str">
            <v>Pericles Comidas clásicas</v>
          </cell>
          <cell r="J827" t="str">
            <v>Calle Dr. Jorge Cash 321</v>
          </cell>
          <cell r="K827" t="str">
            <v>México D.F.</v>
          </cell>
          <cell r="M827" t="str">
            <v>05033</v>
          </cell>
          <cell r="N827" t="str">
            <v>Mexico</v>
          </cell>
        </row>
        <row r="828">
          <cell r="A828">
            <v>11074</v>
          </cell>
          <cell r="B828" t="str">
            <v>SIMOB</v>
          </cell>
          <cell r="C828">
            <v>7</v>
          </cell>
          <cell r="D828">
            <v>35921</v>
          </cell>
          <cell r="E828">
            <v>35949</v>
          </cell>
          <cell r="G828">
            <v>2</v>
          </cell>
          <cell r="H828">
            <v>18.440000000000001</v>
          </cell>
          <cell r="I828" t="str">
            <v>Simons bistro</v>
          </cell>
          <cell r="J828" t="str">
            <v>Vinbæltet 34</v>
          </cell>
          <cell r="K828" t="str">
            <v>Kobenhavn</v>
          </cell>
          <cell r="M828" t="str">
            <v>1734</v>
          </cell>
          <cell r="N828" t="str">
            <v>Denmark</v>
          </cell>
        </row>
        <row r="829">
          <cell r="A829">
            <v>11075</v>
          </cell>
          <cell r="B829" t="str">
            <v>RICSU</v>
          </cell>
          <cell r="C829">
            <v>8</v>
          </cell>
          <cell r="D829">
            <v>35921</v>
          </cell>
          <cell r="E829">
            <v>35949</v>
          </cell>
          <cell r="G829">
            <v>2</v>
          </cell>
          <cell r="H829">
            <v>6.19</v>
          </cell>
          <cell r="I829" t="str">
            <v>Richter Supermarkt</v>
          </cell>
          <cell r="J829" t="str">
            <v>Starenweg 5</v>
          </cell>
          <cell r="K829" t="str">
            <v>Genève</v>
          </cell>
          <cell r="M829" t="str">
            <v>1204</v>
          </cell>
          <cell r="N829" t="str">
            <v>Switzerland</v>
          </cell>
        </row>
        <row r="830">
          <cell r="A830">
            <v>11076</v>
          </cell>
          <cell r="B830" t="str">
            <v>BONAP</v>
          </cell>
          <cell r="C830">
            <v>4</v>
          </cell>
          <cell r="D830">
            <v>35921</v>
          </cell>
          <cell r="E830">
            <v>35949</v>
          </cell>
          <cell r="G830">
            <v>2</v>
          </cell>
          <cell r="H830">
            <v>38.28</v>
          </cell>
          <cell r="I830" t="str">
            <v>Bon app'</v>
          </cell>
          <cell r="J830" t="str">
            <v>12, rue des Bouchers</v>
          </cell>
          <cell r="K830" t="str">
            <v>Marseille</v>
          </cell>
          <cell r="M830" t="str">
            <v>13008</v>
          </cell>
          <cell r="N830" t="str">
            <v>France</v>
          </cell>
        </row>
        <row r="831">
          <cell r="A831">
            <v>11077</v>
          </cell>
          <cell r="B831" t="str">
            <v>RATTC</v>
          </cell>
          <cell r="C831">
            <v>1</v>
          </cell>
          <cell r="D831">
            <v>35921</v>
          </cell>
          <cell r="E831">
            <v>35949</v>
          </cell>
          <cell r="G831">
            <v>2</v>
          </cell>
          <cell r="H831">
            <v>8.5299999999999994</v>
          </cell>
          <cell r="I831" t="str">
            <v>Rattlesnake Canyon Grocery</v>
          </cell>
          <cell r="J831" t="str">
            <v>2817 Milton Dr.</v>
          </cell>
          <cell r="K831" t="str">
            <v>Albuquerque</v>
          </cell>
          <cell r="L831" t="str">
            <v>NM</v>
          </cell>
          <cell r="M831" t="str">
            <v>87110</v>
          </cell>
          <cell r="N831" t="str">
            <v>USA</v>
          </cell>
        </row>
      </sheetData>
      <sheetData sheetId="5">
        <row r="1">
          <cell r="A1" t="str">
            <v>OrderID</v>
          </cell>
          <cell r="B1" t="str">
            <v>ProductID</v>
          </cell>
          <cell r="C1" t="str">
            <v>UnitPrice</v>
          </cell>
          <cell r="D1" t="str">
            <v>Quantity</v>
          </cell>
          <cell r="E1" t="str">
            <v>Discount</v>
          </cell>
          <cell r="F1" t="str">
            <v>Sale</v>
          </cell>
        </row>
        <row r="2">
          <cell r="A2">
            <v>10248</v>
          </cell>
          <cell r="B2">
            <v>11</v>
          </cell>
          <cell r="C2">
            <v>14</v>
          </cell>
          <cell r="D2">
            <v>12</v>
          </cell>
          <cell r="E2">
            <v>0</v>
          </cell>
          <cell r="F2">
            <v>168</v>
          </cell>
        </row>
        <row r="3">
          <cell r="A3">
            <v>10248</v>
          </cell>
          <cell r="B3">
            <v>42</v>
          </cell>
          <cell r="C3">
            <v>9.8000000000000007</v>
          </cell>
          <cell r="D3">
            <v>10</v>
          </cell>
          <cell r="E3">
            <v>0</v>
          </cell>
          <cell r="F3">
            <v>98</v>
          </cell>
        </row>
        <row r="4">
          <cell r="A4">
            <v>10248</v>
          </cell>
          <cell r="B4">
            <v>72</v>
          </cell>
          <cell r="C4">
            <v>34.799999999999997</v>
          </cell>
          <cell r="D4">
            <v>5</v>
          </cell>
          <cell r="E4">
            <v>0</v>
          </cell>
          <cell r="F4">
            <v>174</v>
          </cell>
        </row>
        <row r="5">
          <cell r="A5">
            <v>10249</v>
          </cell>
          <cell r="B5">
            <v>14</v>
          </cell>
          <cell r="C5">
            <v>18.600000000000001</v>
          </cell>
          <cell r="D5">
            <v>9</v>
          </cell>
          <cell r="E5">
            <v>0</v>
          </cell>
          <cell r="F5">
            <v>167.4</v>
          </cell>
        </row>
        <row r="6">
          <cell r="A6">
            <v>10249</v>
          </cell>
          <cell r="B6">
            <v>51</v>
          </cell>
          <cell r="C6">
            <v>42.4</v>
          </cell>
          <cell r="D6">
            <v>40</v>
          </cell>
          <cell r="E6">
            <v>0</v>
          </cell>
          <cell r="F6">
            <v>1696</v>
          </cell>
        </row>
        <row r="7">
          <cell r="A7">
            <v>10250</v>
          </cell>
          <cell r="B7">
            <v>41</v>
          </cell>
          <cell r="C7">
            <v>7.7</v>
          </cell>
          <cell r="D7">
            <v>10</v>
          </cell>
          <cell r="E7">
            <v>0</v>
          </cell>
          <cell r="F7">
            <v>77</v>
          </cell>
        </row>
        <row r="8">
          <cell r="A8">
            <v>10250</v>
          </cell>
          <cell r="B8">
            <v>51</v>
          </cell>
          <cell r="C8">
            <v>42.4</v>
          </cell>
          <cell r="D8">
            <v>35</v>
          </cell>
          <cell r="E8">
            <v>0.15000000596046448</v>
          </cell>
          <cell r="F8">
            <v>1261.3999911546707</v>
          </cell>
        </row>
        <row r="9">
          <cell r="A9">
            <v>10250</v>
          </cell>
          <cell r="B9">
            <v>65</v>
          </cell>
          <cell r="C9">
            <v>16.8</v>
          </cell>
          <cell r="D9">
            <v>15</v>
          </cell>
          <cell r="E9">
            <v>0.15000000596046448</v>
          </cell>
          <cell r="F9">
            <v>214.19999849796295</v>
          </cell>
        </row>
        <row r="10">
          <cell r="A10">
            <v>10251</v>
          </cell>
          <cell r="B10">
            <v>22</v>
          </cell>
          <cell r="C10">
            <v>16.8</v>
          </cell>
          <cell r="D10">
            <v>6</v>
          </cell>
          <cell r="E10">
            <v>5.000000074505806E-2</v>
          </cell>
          <cell r="F10">
            <v>95.759999924898153</v>
          </cell>
        </row>
        <row r="11">
          <cell r="A11">
            <v>10251</v>
          </cell>
          <cell r="B11">
            <v>57</v>
          </cell>
          <cell r="C11">
            <v>15.6</v>
          </cell>
          <cell r="D11">
            <v>15</v>
          </cell>
          <cell r="E11">
            <v>5.000000074505806E-2</v>
          </cell>
          <cell r="F11">
            <v>222.29999982565641</v>
          </cell>
        </row>
        <row r="12">
          <cell r="A12">
            <v>10251</v>
          </cell>
          <cell r="B12">
            <v>65</v>
          </cell>
          <cell r="C12">
            <v>16.8</v>
          </cell>
          <cell r="D12">
            <v>20</v>
          </cell>
          <cell r="E12">
            <v>0</v>
          </cell>
          <cell r="F12">
            <v>336</v>
          </cell>
        </row>
        <row r="13">
          <cell r="A13">
            <v>10252</v>
          </cell>
          <cell r="B13">
            <v>20</v>
          </cell>
          <cell r="C13">
            <v>64.8</v>
          </cell>
          <cell r="D13">
            <v>40</v>
          </cell>
          <cell r="E13">
            <v>5.000000074505806E-2</v>
          </cell>
          <cell r="F13">
            <v>2462.3999980688095</v>
          </cell>
        </row>
        <row r="14">
          <cell r="A14">
            <v>10252</v>
          </cell>
          <cell r="B14">
            <v>33</v>
          </cell>
          <cell r="C14">
            <v>2</v>
          </cell>
          <cell r="D14">
            <v>25</v>
          </cell>
          <cell r="E14">
            <v>5.000000074505806E-2</v>
          </cell>
          <cell r="F14">
            <v>47.499999962747097</v>
          </cell>
        </row>
        <row r="15">
          <cell r="A15">
            <v>10252</v>
          </cell>
          <cell r="B15">
            <v>60</v>
          </cell>
          <cell r="C15">
            <v>27.2</v>
          </cell>
          <cell r="D15">
            <v>40</v>
          </cell>
          <cell r="E15">
            <v>0</v>
          </cell>
          <cell r="F15">
            <v>1088</v>
          </cell>
        </row>
        <row r="16">
          <cell r="A16">
            <v>10253</v>
          </cell>
          <cell r="B16">
            <v>31</v>
          </cell>
          <cell r="C16">
            <v>10</v>
          </cell>
          <cell r="D16">
            <v>20</v>
          </cell>
          <cell r="E16">
            <v>0</v>
          </cell>
          <cell r="F16">
            <v>200</v>
          </cell>
        </row>
        <row r="17">
          <cell r="A17">
            <v>10253</v>
          </cell>
          <cell r="B17">
            <v>39</v>
          </cell>
          <cell r="C17">
            <v>14.4</v>
          </cell>
          <cell r="D17">
            <v>42</v>
          </cell>
          <cell r="E17">
            <v>0</v>
          </cell>
          <cell r="F17">
            <v>604.80000000000007</v>
          </cell>
        </row>
        <row r="18">
          <cell r="A18">
            <v>10253</v>
          </cell>
          <cell r="B18">
            <v>49</v>
          </cell>
          <cell r="C18">
            <v>16</v>
          </cell>
          <cell r="D18">
            <v>40</v>
          </cell>
          <cell r="E18">
            <v>0</v>
          </cell>
          <cell r="F18">
            <v>640</v>
          </cell>
        </row>
        <row r="19">
          <cell r="A19">
            <v>10254</v>
          </cell>
          <cell r="B19">
            <v>24</v>
          </cell>
          <cell r="C19">
            <v>3.6</v>
          </cell>
          <cell r="D19">
            <v>15</v>
          </cell>
          <cell r="E19">
            <v>0.15000000596046448</v>
          </cell>
          <cell r="F19">
            <v>45.899999678134918</v>
          </cell>
        </row>
        <row r="20">
          <cell r="A20">
            <v>10254</v>
          </cell>
          <cell r="B20">
            <v>55</v>
          </cell>
          <cell r="C20">
            <v>19.2</v>
          </cell>
          <cell r="D20">
            <v>21</v>
          </cell>
          <cell r="E20">
            <v>0.15000000596046448</v>
          </cell>
          <cell r="F20">
            <v>342.71999759674071</v>
          </cell>
        </row>
        <row r="21">
          <cell r="A21">
            <v>10254</v>
          </cell>
          <cell r="B21">
            <v>74</v>
          </cell>
          <cell r="C21">
            <v>8</v>
          </cell>
          <cell r="D21">
            <v>21</v>
          </cell>
          <cell r="E21">
            <v>0</v>
          </cell>
          <cell r="F21">
            <v>168</v>
          </cell>
        </row>
        <row r="22">
          <cell r="A22">
            <v>10255</v>
          </cell>
          <cell r="B22">
            <v>2</v>
          </cell>
          <cell r="C22">
            <v>15.2</v>
          </cell>
          <cell r="D22">
            <v>20</v>
          </cell>
          <cell r="E22">
            <v>0</v>
          </cell>
          <cell r="F22">
            <v>304</v>
          </cell>
        </row>
        <row r="23">
          <cell r="A23">
            <v>10255</v>
          </cell>
          <cell r="B23">
            <v>16</v>
          </cell>
          <cell r="C23">
            <v>13.9</v>
          </cell>
          <cell r="D23">
            <v>35</v>
          </cell>
          <cell r="E23">
            <v>0</v>
          </cell>
          <cell r="F23">
            <v>486.5</v>
          </cell>
        </row>
        <row r="24">
          <cell r="A24">
            <v>10255</v>
          </cell>
          <cell r="B24">
            <v>36</v>
          </cell>
          <cell r="C24">
            <v>15.2</v>
          </cell>
          <cell r="D24">
            <v>25</v>
          </cell>
          <cell r="E24">
            <v>0</v>
          </cell>
          <cell r="F24">
            <v>380</v>
          </cell>
        </row>
        <row r="25">
          <cell r="A25">
            <v>10255</v>
          </cell>
          <cell r="B25">
            <v>59</v>
          </cell>
          <cell r="C25">
            <v>44</v>
          </cell>
          <cell r="D25">
            <v>30</v>
          </cell>
          <cell r="E25">
            <v>0</v>
          </cell>
          <cell r="F25">
            <v>1320</v>
          </cell>
        </row>
        <row r="26">
          <cell r="A26">
            <v>10256</v>
          </cell>
          <cell r="B26">
            <v>53</v>
          </cell>
          <cell r="C26">
            <v>26.2</v>
          </cell>
          <cell r="D26">
            <v>15</v>
          </cell>
          <cell r="E26">
            <v>0</v>
          </cell>
          <cell r="F26">
            <v>393</v>
          </cell>
        </row>
        <row r="27">
          <cell r="A27">
            <v>10256</v>
          </cell>
          <cell r="B27">
            <v>77</v>
          </cell>
          <cell r="C27">
            <v>10.4</v>
          </cell>
          <cell r="D27">
            <v>12</v>
          </cell>
          <cell r="E27">
            <v>0</v>
          </cell>
          <cell r="F27">
            <v>124.80000000000001</v>
          </cell>
        </row>
        <row r="28">
          <cell r="A28">
            <v>10257</v>
          </cell>
          <cell r="B28">
            <v>27</v>
          </cell>
          <cell r="C28">
            <v>35.1</v>
          </cell>
          <cell r="D28">
            <v>25</v>
          </cell>
          <cell r="E28">
            <v>0</v>
          </cell>
          <cell r="F28">
            <v>877.5</v>
          </cell>
        </row>
        <row r="29">
          <cell r="A29">
            <v>10257</v>
          </cell>
          <cell r="B29">
            <v>39</v>
          </cell>
          <cell r="C29">
            <v>14.4</v>
          </cell>
          <cell r="D29">
            <v>6</v>
          </cell>
          <cell r="E29">
            <v>0</v>
          </cell>
          <cell r="F29">
            <v>86.4</v>
          </cell>
        </row>
        <row r="30">
          <cell r="A30">
            <v>10257</v>
          </cell>
          <cell r="B30">
            <v>77</v>
          </cell>
          <cell r="C30">
            <v>10.4</v>
          </cell>
          <cell r="D30">
            <v>15</v>
          </cell>
          <cell r="E30">
            <v>0</v>
          </cell>
          <cell r="F30">
            <v>156</v>
          </cell>
        </row>
        <row r="31">
          <cell r="A31">
            <v>10258</v>
          </cell>
          <cell r="B31">
            <v>2</v>
          </cell>
          <cell r="C31">
            <v>15.2</v>
          </cell>
          <cell r="D31">
            <v>50</v>
          </cell>
          <cell r="E31">
            <v>0.20000000298023224</v>
          </cell>
          <cell r="F31">
            <v>607.9999977350235</v>
          </cell>
        </row>
        <row r="32">
          <cell r="A32">
            <v>10258</v>
          </cell>
          <cell r="B32">
            <v>5</v>
          </cell>
          <cell r="C32">
            <v>17</v>
          </cell>
          <cell r="D32">
            <v>65</v>
          </cell>
          <cell r="E32">
            <v>0.20000000298023224</v>
          </cell>
          <cell r="F32">
            <v>883.99999670684338</v>
          </cell>
        </row>
        <row r="33">
          <cell r="A33">
            <v>10258</v>
          </cell>
          <cell r="B33">
            <v>32</v>
          </cell>
          <cell r="C33">
            <v>25.6</v>
          </cell>
          <cell r="D33">
            <v>6</v>
          </cell>
          <cell r="E33">
            <v>0.20000000298023224</v>
          </cell>
          <cell r="F33">
            <v>122.87999954223635</v>
          </cell>
        </row>
        <row r="34">
          <cell r="A34">
            <v>10259</v>
          </cell>
          <cell r="B34">
            <v>21</v>
          </cell>
          <cell r="C34">
            <v>8</v>
          </cell>
          <cell r="D34">
            <v>10</v>
          </cell>
          <cell r="E34">
            <v>0</v>
          </cell>
          <cell r="F34">
            <v>80</v>
          </cell>
        </row>
        <row r="35">
          <cell r="A35">
            <v>10259</v>
          </cell>
          <cell r="B35">
            <v>37</v>
          </cell>
          <cell r="C35">
            <v>20.8</v>
          </cell>
          <cell r="D35">
            <v>1</v>
          </cell>
          <cell r="E35">
            <v>0</v>
          </cell>
          <cell r="F35">
            <v>20.8</v>
          </cell>
        </row>
        <row r="36">
          <cell r="A36">
            <v>10260</v>
          </cell>
          <cell r="B36">
            <v>41</v>
          </cell>
          <cell r="C36">
            <v>7.7</v>
          </cell>
          <cell r="D36">
            <v>16</v>
          </cell>
          <cell r="E36">
            <v>0.25</v>
          </cell>
          <cell r="F36">
            <v>92.4</v>
          </cell>
        </row>
        <row r="37">
          <cell r="A37">
            <v>10260</v>
          </cell>
          <cell r="B37">
            <v>57</v>
          </cell>
          <cell r="C37">
            <v>15.6</v>
          </cell>
          <cell r="D37">
            <v>50</v>
          </cell>
          <cell r="E37">
            <v>0</v>
          </cell>
          <cell r="F37">
            <v>780</v>
          </cell>
        </row>
        <row r="38">
          <cell r="A38">
            <v>10260</v>
          </cell>
          <cell r="B38">
            <v>62</v>
          </cell>
          <cell r="C38">
            <v>39.4</v>
          </cell>
          <cell r="D38">
            <v>15</v>
          </cell>
          <cell r="E38">
            <v>0.25</v>
          </cell>
          <cell r="F38">
            <v>443.25</v>
          </cell>
        </row>
        <row r="39">
          <cell r="A39">
            <v>10260</v>
          </cell>
          <cell r="B39">
            <v>70</v>
          </cell>
          <cell r="C39">
            <v>12</v>
          </cell>
          <cell r="D39">
            <v>21</v>
          </cell>
          <cell r="E39">
            <v>0.25</v>
          </cell>
          <cell r="F39">
            <v>189</v>
          </cell>
        </row>
        <row r="40">
          <cell r="A40">
            <v>10261</v>
          </cell>
          <cell r="B40">
            <v>21</v>
          </cell>
          <cell r="C40">
            <v>8</v>
          </cell>
          <cell r="D40">
            <v>20</v>
          </cell>
          <cell r="E40">
            <v>0</v>
          </cell>
          <cell r="F40">
            <v>160</v>
          </cell>
        </row>
        <row r="41">
          <cell r="A41">
            <v>10261</v>
          </cell>
          <cell r="B41">
            <v>35</v>
          </cell>
          <cell r="C41">
            <v>14.4</v>
          </cell>
          <cell r="D41">
            <v>20</v>
          </cell>
          <cell r="E41">
            <v>0</v>
          </cell>
          <cell r="F41">
            <v>288</v>
          </cell>
        </row>
        <row r="42">
          <cell r="A42">
            <v>10262</v>
          </cell>
          <cell r="B42">
            <v>5</v>
          </cell>
          <cell r="C42">
            <v>17</v>
          </cell>
          <cell r="D42">
            <v>12</v>
          </cell>
          <cell r="E42">
            <v>0.20000000298023224</v>
          </cell>
          <cell r="F42">
            <v>163.19999939203262</v>
          </cell>
        </row>
        <row r="43">
          <cell r="A43">
            <v>10262</v>
          </cell>
          <cell r="B43">
            <v>7</v>
          </cell>
          <cell r="C43">
            <v>24</v>
          </cell>
          <cell r="D43">
            <v>15</v>
          </cell>
          <cell r="E43">
            <v>0</v>
          </cell>
          <cell r="F43">
            <v>360</v>
          </cell>
        </row>
        <row r="44">
          <cell r="A44">
            <v>10262</v>
          </cell>
          <cell r="B44">
            <v>56</v>
          </cell>
          <cell r="C44">
            <v>30.4</v>
          </cell>
          <cell r="D44">
            <v>2</v>
          </cell>
          <cell r="E44">
            <v>0</v>
          </cell>
          <cell r="F44">
            <v>60.8</v>
          </cell>
        </row>
        <row r="45">
          <cell r="A45">
            <v>10263</v>
          </cell>
          <cell r="B45">
            <v>16</v>
          </cell>
          <cell r="C45">
            <v>13.9</v>
          </cell>
          <cell r="D45">
            <v>60</v>
          </cell>
          <cell r="E45">
            <v>0.25</v>
          </cell>
          <cell r="F45">
            <v>625.5</v>
          </cell>
        </row>
        <row r="46">
          <cell r="A46">
            <v>10263</v>
          </cell>
          <cell r="B46">
            <v>24</v>
          </cell>
          <cell r="C46">
            <v>3.6</v>
          </cell>
          <cell r="D46">
            <v>28</v>
          </cell>
          <cell r="E46">
            <v>0</v>
          </cell>
          <cell r="F46">
            <v>100.8</v>
          </cell>
        </row>
        <row r="47">
          <cell r="A47">
            <v>10263</v>
          </cell>
          <cell r="B47">
            <v>30</v>
          </cell>
          <cell r="C47">
            <v>20.7</v>
          </cell>
          <cell r="D47">
            <v>60</v>
          </cell>
          <cell r="E47">
            <v>0.25</v>
          </cell>
          <cell r="F47">
            <v>931.5</v>
          </cell>
        </row>
        <row r="48">
          <cell r="A48">
            <v>10263</v>
          </cell>
          <cell r="B48">
            <v>74</v>
          </cell>
          <cell r="C48">
            <v>8</v>
          </cell>
          <cell r="D48">
            <v>36</v>
          </cell>
          <cell r="E48">
            <v>0.25</v>
          </cell>
          <cell r="F48">
            <v>216</v>
          </cell>
        </row>
        <row r="49">
          <cell r="A49">
            <v>10264</v>
          </cell>
          <cell r="B49">
            <v>2</v>
          </cell>
          <cell r="C49">
            <v>15.2</v>
          </cell>
          <cell r="D49">
            <v>35</v>
          </cell>
          <cell r="E49">
            <v>0</v>
          </cell>
          <cell r="F49">
            <v>532</v>
          </cell>
        </row>
        <row r="50">
          <cell r="A50">
            <v>10264</v>
          </cell>
          <cell r="B50">
            <v>41</v>
          </cell>
          <cell r="C50">
            <v>7.7</v>
          </cell>
          <cell r="D50">
            <v>25</v>
          </cell>
          <cell r="E50">
            <v>0.15000000596046448</v>
          </cell>
          <cell r="F50">
            <v>163.62499885261059</v>
          </cell>
        </row>
        <row r="51">
          <cell r="A51">
            <v>10265</v>
          </cell>
          <cell r="B51">
            <v>17</v>
          </cell>
          <cell r="C51">
            <v>31.2</v>
          </cell>
          <cell r="D51">
            <v>30</v>
          </cell>
          <cell r="E51">
            <v>0</v>
          </cell>
          <cell r="F51">
            <v>936</v>
          </cell>
        </row>
        <row r="52">
          <cell r="A52">
            <v>10265</v>
          </cell>
          <cell r="B52">
            <v>70</v>
          </cell>
          <cell r="C52">
            <v>12</v>
          </cell>
          <cell r="D52">
            <v>20</v>
          </cell>
          <cell r="E52">
            <v>0</v>
          </cell>
          <cell r="F52">
            <v>240</v>
          </cell>
        </row>
        <row r="53">
          <cell r="A53">
            <v>10266</v>
          </cell>
          <cell r="B53">
            <v>12</v>
          </cell>
          <cell r="C53">
            <v>30.4</v>
          </cell>
          <cell r="D53">
            <v>12</v>
          </cell>
          <cell r="E53">
            <v>5.000000074505806E-2</v>
          </cell>
          <cell r="F53">
            <v>346.5599997282028</v>
          </cell>
        </row>
        <row r="54">
          <cell r="A54">
            <v>10267</v>
          </cell>
          <cell r="B54">
            <v>40</v>
          </cell>
          <cell r="C54">
            <v>14.7</v>
          </cell>
          <cell r="D54">
            <v>50</v>
          </cell>
          <cell r="E54">
            <v>0</v>
          </cell>
          <cell r="F54">
            <v>735</v>
          </cell>
        </row>
        <row r="55">
          <cell r="A55">
            <v>10267</v>
          </cell>
          <cell r="B55">
            <v>59</v>
          </cell>
          <cell r="C55">
            <v>44</v>
          </cell>
          <cell r="D55">
            <v>70</v>
          </cell>
          <cell r="E55">
            <v>0.15000000596046448</v>
          </cell>
          <cell r="F55">
            <v>2617.9999816417694</v>
          </cell>
        </row>
        <row r="56">
          <cell r="A56">
            <v>10267</v>
          </cell>
          <cell r="B56">
            <v>76</v>
          </cell>
          <cell r="C56">
            <v>14.4</v>
          </cell>
          <cell r="D56">
            <v>15</v>
          </cell>
          <cell r="E56">
            <v>0.15000000596046448</v>
          </cell>
          <cell r="F56">
            <v>183.59999871253967</v>
          </cell>
        </row>
        <row r="57">
          <cell r="A57">
            <v>10268</v>
          </cell>
          <cell r="B57">
            <v>29</v>
          </cell>
          <cell r="C57">
            <v>99</v>
          </cell>
          <cell r="D57">
            <v>10</v>
          </cell>
          <cell r="E57">
            <v>0</v>
          </cell>
          <cell r="F57">
            <v>990</v>
          </cell>
        </row>
        <row r="58">
          <cell r="A58">
            <v>10268</v>
          </cell>
          <cell r="B58">
            <v>72</v>
          </cell>
          <cell r="C58">
            <v>27.8</v>
          </cell>
          <cell r="D58">
            <v>4</v>
          </cell>
          <cell r="E58">
            <v>0</v>
          </cell>
          <cell r="F58">
            <v>111.2</v>
          </cell>
        </row>
        <row r="59">
          <cell r="A59">
            <v>10269</v>
          </cell>
          <cell r="B59">
            <v>33</v>
          </cell>
          <cell r="C59">
            <v>2</v>
          </cell>
          <cell r="D59">
            <v>60</v>
          </cell>
          <cell r="E59">
            <v>5.000000074505806E-2</v>
          </cell>
          <cell r="F59">
            <v>113.99999991059303</v>
          </cell>
        </row>
        <row r="60">
          <cell r="A60">
            <v>10269</v>
          </cell>
          <cell r="B60">
            <v>72</v>
          </cell>
          <cell r="C60">
            <v>27.8</v>
          </cell>
          <cell r="D60">
            <v>20</v>
          </cell>
          <cell r="E60">
            <v>5.000000074505806E-2</v>
          </cell>
          <cell r="F60">
            <v>528.19999958574772</v>
          </cell>
        </row>
        <row r="61">
          <cell r="A61">
            <v>10270</v>
          </cell>
          <cell r="B61">
            <v>36</v>
          </cell>
          <cell r="C61">
            <v>15.2</v>
          </cell>
          <cell r="D61">
            <v>30</v>
          </cell>
          <cell r="E61">
            <v>0</v>
          </cell>
          <cell r="F61">
            <v>456</v>
          </cell>
        </row>
        <row r="62">
          <cell r="A62">
            <v>10270</v>
          </cell>
          <cell r="B62">
            <v>43</v>
          </cell>
          <cell r="C62">
            <v>36.799999999999997</v>
          </cell>
          <cell r="D62">
            <v>25</v>
          </cell>
          <cell r="E62">
            <v>0</v>
          </cell>
          <cell r="F62">
            <v>919.99999999999989</v>
          </cell>
        </row>
        <row r="63">
          <cell r="A63">
            <v>10271</v>
          </cell>
          <cell r="B63">
            <v>33</v>
          </cell>
          <cell r="C63">
            <v>2</v>
          </cell>
          <cell r="D63">
            <v>24</v>
          </cell>
          <cell r="E63">
            <v>0</v>
          </cell>
          <cell r="F63">
            <v>48</v>
          </cell>
        </row>
        <row r="64">
          <cell r="A64">
            <v>10272</v>
          </cell>
          <cell r="B64">
            <v>20</v>
          </cell>
          <cell r="C64">
            <v>64.8</v>
          </cell>
          <cell r="D64">
            <v>6</v>
          </cell>
          <cell r="E64">
            <v>0</v>
          </cell>
          <cell r="F64">
            <v>388.79999999999995</v>
          </cell>
        </row>
        <row r="65">
          <cell r="A65">
            <v>10272</v>
          </cell>
          <cell r="B65">
            <v>31</v>
          </cell>
          <cell r="C65">
            <v>10</v>
          </cell>
          <cell r="D65">
            <v>40</v>
          </cell>
          <cell r="E65">
            <v>0</v>
          </cell>
          <cell r="F65">
            <v>400</v>
          </cell>
        </row>
        <row r="66">
          <cell r="A66">
            <v>10272</v>
          </cell>
          <cell r="B66">
            <v>72</v>
          </cell>
          <cell r="C66">
            <v>27.8</v>
          </cell>
          <cell r="D66">
            <v>24</v>
          </cell>
          <cell r="E66">
            <v>0</v>
          </cell>
          <cell r="F66">
            <v>667.2</v>
          </cell>
        </row>
        <row r="67">
          <cell r="A67">
            <v>10273</v>
          </cell>
          <cell r="B67">
            <v>10</v>
          </cell>
          <cell r="C67">
            <v>24.8</v>
          </cell>
          <cell r="D67">
            <v>24</v>
          </cell>
          <cell r="E67">
            <v>5.000000074505806E-2</v>
          </cell>
          <cell r="F67">
            <v>565.43999955654147</v>
          </cell>
        </row>
        <row r="68">
          <cell r="A68">
            <v>10273</v>
          </cell>
          <cell r="B68">
            <v>31</v>
          </cell>
          <cell r="C68">
            <v>10</v>
          </cell>
          <cell r="D68">
            <v>15</v>
          </cell>
          <cell r="E68">
            <v>5.000000074505806E-2</v>
          </cell>
          <cell r="F68">
            <v>142.49999988824129</v>
          </cell>
        </row>
        <row r="69">
          <cell r="A69">
            <v>10273</v>
          </cell>
          <cell r="B69">
            <v>33</v>
          </cell>
          <cell r="C69">
            <v>2</v>
          </cell>
          <cell r="D69">
            <v>20</v>
          </cell>
          <cell r="E69">
            <v>0</v>
          </cell>
          <cell r="F69">
            <v>40</v>
          </cell>
        </row>
        <row r="70">
          <cell r="A70">
            <v>10273</v>
          </cell>
          <cell r="B70">
            <v>40</v>
          </cell>
          <cell r="C70">
            <v>14.7</v>
          </cell>
          <cell r="D70">
            <v>60</v>
          </cell>
          <cell r="E70">
            <v>5.000000074505806E-2</v>
          </cell>
          <cell r="F70">
            <v>837.89999934285879</v>
          </cell>
        </row>
        <row r="71">
          <cell r="A71">
            <v>10273</v>
          </cell>
          <cell r="B71">
            <v>76</v>
          </cell>
          <cell r="C71">
            <v>14.4</v>
          </cell>
          <cell r="D71">
            <v>33</v>
          </cell>
          <cell r="E71">
            <v>5.000000074505806E-2</v>
          </cell>
          <cell r="F71">
            <v>451.43999964594838</v>
          </cell>
        </row>
        <row r="72">
          <cell r="A72">
            <v>10274</v>
          </cell>
          <cell r="B72">
            <v>71</v>
          </cell>
          <cell r="C72">
            <v>17.2</v>
          </cell>
          <cell r="D72">
            <v>20</v>
          </cell>
          <cell r="E72">
            <v>0</v>
          </cell>
          <cell r="F72">
            <v>344</v>
          </cell>
        </row>
        <row r="73">
          <cell r="A73">
            <v>10274</v>
          </cell>
          <cell r="B73">
            <v>72</v>
          </cell>
          <cell r="C73">
            <v>27.8</v>
          </cell>
          <cell r="D73">
            <v>7</v>
          </cell>
          <cell r="E73">
            <v>0</v>
          </cell>
          <cell r="F73">
            <v>194.6</v>
          </cell>
        </row>
        <row r="74">
          <cell r="A74">
            <v>10275</v>
          </cell>
          <cell r="B74">
            <v>24</v>
          </cell>
          <cell r="C74">
            <v>3.6</v>
          </cell>
          <cell r="D74">
            <v>12</v>
          </cell>
          <cell r="E74">
            <v>5.000000074505806E-2</v>
          </cell>
          <cell r="F74">
            <v>41.039999967813493</v>
          </cell>
        </row>
        <row r="75">
          <cell r="A75">
            <v>10275</v>
          </cell>
          <cell r="B75">
            <v>59</v>
          </cell>
          <cell r="C75">
            <v>44</v>
          </cell>
          <cell r="D75">
            <v>6</v>
          </cell>
          <cell r="E75">
            <v>5.000000074505806E-2</v>
          </cell>
          <cell r="F75">
            <v>250.79999980330467</v>
          </cell>
        </row>
        <row r="76">
          <cell r="A76">
            <v>10276</v>
          </cell>
          <cell r="B76">
            <v>10</v>
          </cell>
          <cell r="C76">
            <v>24.8</v>
          </cell>
          <cell r="D76">
            <v>15</v>
          </cell>
          <cell r="E76">
            <v>0</v>
          </cell>
          <cell r="F76">
            <v>372</v>
          </cell>
        </row>
        <row r="77">
          <cell r="A77">
            <v>10276</v>
          </cell>
          <cell r="B77">
            <v>13</v>
          </cell>
          <cell r="C77">
            <v>4.8</v>
          </cell>
          <cell r="D77">
            <v>10</v>
          </cell>
          <cell r="E77">
            <v>0</v>
          </cell>
          <cell r="F77">
            <v>48</v>
          </cell>
        </row>
        <row r="78">
          <cell r="A78">
            <v>10277</v>
          </cell>
          <cell r="B78">
            <v>28</v>
          </cell>
          <cell r="C78">
            <v>36.4</v>
          </cell>
          <cell r="D78">
            <v>20</v>
          </cell>
          <cell r="E78">
            <v>0</v>
          </cell>
          <cell r="F78">
            <v>728</v>
          </cell>
        </row>
        <row r="79">
          <cell r="A79">
            <v>10277</v>
          </cell>
          <cell r="B79">
            <v>62</v>
          </cell>
          <cell r="C79">
            <v>39.4</v>
          </cell>
          <cell r="D79">
            <v>12</v>
          </cell>
          <cell r="E79">
            <v>0</v>
          </cell>
          <cell r="F79">
            <v>472.79999999999995</v>
          </cell>
        </row>
        <row r="80">
          <cell r="A80">
            <v>10278</v>
          </cell>
          <cell r="B80">
            <v>44</v>
          </cell>
          <cell r="C80">
            <v>15.5</v>
          </cell>
          <cell r="D80">
            <v>16</v>
          </cell>
          <cell r="E80">
            <v>0</v>
          </cell>
          <cell r="F80">
            <v>248</v>
          </cell>
        </row>
        <row r="81">
          <cell r="A81">
            <v>10278</v>
          </cell>
          <cell r="B81">
            <v>59</v>
          </cell>
          <cell r="C81">
            <v>44</v>
          </cell>
          <cell r="D81">
            <v>15</v>
          </cell>
          <cell r="E81">
            <v>0</v>
          </cell>
          <cell r="F81">
            <v>660</v>
          </cell>
        </row>
        <row r="82">
          <cell r="A82">
            <v>10278</v>
          </cell>
          <cell r="B82">
            <v>63</v>
          </cell>
          <cell r="C82">
            <v>35.1</v>
          </cell>
          <cell r="D82">
            <v>8</v>
          </cell>
          <cell r="E82">
            <v>0</v>
          </cell>
          <cell r="F82">
            <v>280.8</v>
          </cell>
        </row>
        <row r="83">
          <cell r="A83">
            <v>10278</v>
          </cell>
          <cell r="B83">
            <v>73</v>
          </cell>
          <cell r="C83">
            <v>12</v>
          </cell>
          <cell r="D83">
            <v>25</v>
          </cell>
          <cell r="E83">
            <v>0</v>
          </cell>
          <cell r="F83">
            <v>300</v>
          </cell>
        </row>
        <row r="84">
          <cell r="A84">
            <v>10279</v>
          </cell>
          <cell r="B84">
            <v>17</v>
          </cell>
          <cell r="C84">
            <v>31.2</v>
          </cell>
          <cell r="D84">
            <v>15</v>
          </cell>
          <cell r="E84">
            <v>0.25</v>
          </cell>
          <cell r="F84">
            <v>351</v>
          </cell>
        </row>
        <row r="85">
          <cell r="A85">
            <v>10280</v>
          </cell>
          <cell r="B85">
            <v>24</v>
          </cell>
          <cell r="C85">
            <v>3.6</v>
          </cell>
          <cell r="D85">
            <v>12</v>
          </cell>
          <cell r="E85">
            <v>0</v>
          </cell>
          <cell r="F85">
            <v>43.2</v>
          </cell>
        </row>
        <row r="86">
          <cell r="A86">
            <v>10280</v>
          </cell>
          <cell r="B86">
            <v>55</v>
          </cell>
          <cell r="C86">
            <v>19.2</v>
          </cell>
          <cell r="D86">
            <v>20</v>
          </cell>
          <cell r="E86">
            <v>0</v>
          </cell>
          <cell r="F86">
            <v>384</v>
          </cell>
        </row>
        <row r="87">
          <cell r="A87">
            <v>10280</v>
          </cell>
          <cell r="B87">
            <v>75</v>
          </cell>
          <cell r="C87">
            <v>6.2</v>
          </cell>
          <cell r="D87">
            <v>30</v>
          </cell>
          <cell r="E87">
            <v>0</v>
          </cell>
          <cell r="F87">
            <v>186</v>
          </cell>
        </row>
        <row r="88">
          <cell r="A88">
            <v>10281</v>
          </cell>
          <cell r="B88">
            <v>19</v>
          </cell>
          <cell r="C88">
            <v>7.3</v>
          </cell>
          <cell r="D88">
            <v>1</v>
          </cell>
          <cell r="E88">
            <v>0</v>
          </cell>
          <cell r="F88">
            <v>7.3</v>
          </cell>
        </row>
        <row r="89">
          <cell r="A89">
            <v>10281</v>
          </cell>
          <cell r="B89">
            <v>24</v>
          </cell>
          <cell r="C89">
            <v>3.6</v>
          </cell>
          <cell r="D89">
            <v>6</v>
          </cell>
          <cell r="E89">
            <v>0</v>
          </cell>
          <cell r="F89">
            <v>21.6</v>
          </cell>
        </row>
        <row r="90">
          <cell r="A90">
            <v>10281</v>
          </cell>
          <cell r="B90">
            <v>35</v>
          </cell>
          <cell r="C90">
            <v>14.4</v>
          </cell>
          <cell r="D90">
            <v>4</v>
          </cell>
          <cell r="E90">
            <v>0</v>
          </cell>
          <cell r="F90">
            <v>57.6</v>
          </cell>
        </row>
        <row r="91">
          <cell r="A91">
            <v>10282</v>
          </cell>
          <cell r="B91">
            <v>30</v>
          </cell>
          <cell r="C91">
            <v>20.7</v>
          </cell>
          <cell r="D91">
            <v>6</v>
          </cell>
          <cell r="E91">
            <v>0</v>
          </cell>
          <cell r="F91">
            <v>124.19999999999999</v>
          </cell>
        </row>
        <row r="92">
          <cell r="A92">
            <v>10282</v>
          </cell>
          <cell r="B92">
            <v>57</v>
          </cell>
          <cell r="C92">
            <v>15.6</v>
          </cell>
          <cell r="D92">
            <v>2</v>
          </cell>
          <cell r="E92">
            <v>0</v>
          </cell>
          <cell r="F92">
            <v>31.2</v>
          </cell>
        </row>
        <row r="93">
          <cell r="A93">
            <v>10283</v>
          </cell>
          <cell r="B93">
            <v>15</v>
          </cell>
          <cell r="C93">
            <v>12.4</v>
          </cell>
          <cell r="D93">
            <v>20</v>
          </cell>
          <cell r="E93">
            <v>0</v>
          </cell>
          <cell r="F93">
            <v>248</v>
          </cell>
        </row>
        <row r="94">
          <cell r="A94">
            <v>10283</v>
          </cell>
          <cell r="B94">
            <v>19</v>
          </cell>
          <cell r="C94">
            <v>7.3</v>
          </cell>
          <cell r="D94">
            <v>18</v>
          </cell>
          <cell r="E94">
            <v>0</v>
          </cell>
          <cell r="F94">
            <v>131.4</v>
          </cell>
        </row>
        <row r="95">
          <cell r="A95">
            <v>10283</v>
          </cell>
          <cell r="B95">
            <v>60</v>
          </cell>
          <cell r="C95">
            <v>27.2</v>
          </cell>
          <cell r="D95">
            <v>35</v>
          </cell>
          <cell r="E95">
            <v>0</v>
          </cell>
          <cell r="F95">
            <v>952</v>
          </cell>
        </row>
        <row r="96">
          <cell r="A96">
            <v>10283</v>
          </cell>
          <cell r="B96">
            <v>72</v>
          </cell>
          <cell r="C96">
            <v>27.8</v>
          </cell>
          <cell r="D96">
            <v>3</v>
          </cell>
          <cell r="E96">
            <v>0</v>
          </cell>
          <cell r="F96">
            <v>83.4</v>
          </cell>
        </row>
        <row r="97">
          <cell r="A97">
            <v>10284</v>
          </cell>
          <cell r="B97">
            <v>27</v>
          </cell>
          <cell r="C97">
            <v>35.1</v>
          </cell>
          <cell r="D97">
            <v>15</v>
          </cell>
          <cell r="E97">
            <v>0.25</v>
          </cell>
          <cell r="F97">
            <v>394.875</v>
          </cell>
        </row>
        <row r="98">
          <cell r="A98">
            <v>10284</v>
          </cell>
          <cell r="B98">
            <v>44</v>
          </cell>
          <cell r="C98">
            <v>15.5</v>
          </cell>
          <cell r="D98">
            <v>21</v>
          </cell>
          <cell r="E98">
            <v>0</v>
          </cell>
          <cell r="F98">
            <v>325.5</v>
          </cell>
        </row>
        <row r="99">
          <cell r="A99">
            <v>10284</v>
          </cell>
          <cell r="B99">
            <v>60</v>
          </cell>
          <cell r="C99">
            <v>27.2</v>
          </cell>
          <cell r="D99">
            <v>20</v>
          </cell>
          <cell r="E99">
            <v>0.25</v>
          </cell>
          <cell r="F99">
            <v>408</v>
          </cell>
        </row>
        <row r="100">
          <cell r="A100">
            <v>10284</v>
          </cell>
          <cell r="B100">
            <v>67</v>
          </cell>
          <cell r="C100">
            <v>11.2</v>
          </cell>
          <cell r="D100">
            <v>5</v>
          </cell>
          <cell r="E100">
            <v>0.25</v>
          </cell>
          <cell r="F100">
            <v>42</v>
          </cell>
        </row>
        <row r="101">
          <cell r="A101">
            <v>10285</v>
          </cell>
          <cell r="B101">
            <v>1</v>
          </cell>
          <cell r="C101">
            <v>14.4</v>
          </cell>
          <cell r="D101">
            <v>45</v>
          </cell>
          <cell r="E101">
            <v>0.20000000298023224</v>
          </cell>
          <cell r="F101">
            <v>518.39999806880951</v>
          </cell>
        </row>
        <row r="102">
          <cell r="A102">
            <v>10285</v>
          </cell>
          <cell r="B102">
            <v>40</v>
          </cell>
          <cell r="C102">
            <v>14.7</v>
          </cell>
          <cell r="D102">
            <v>40</v>
          </cell>
          <cell r="E102">
            <v>0.20000000298023224</v>
          </cell>
          <cell r="F102">
            <v>470.39999824762344</v>
          </cell>
        </row>
        <row r="103">
          <cell r="A103">
            <v>10285</v>
          </cell>
          <cell r="B103">
            <v>53</v>
          </cell>
          <cell r="C103">
            <v>26.2</v>
          </cell>
          <cell r="D103">
            <v>36</v>
          </cell>
          <cell r="E103">
            <v>0.20000000298023224</v>
          </cell>
          <cell r="F103">
            <v>754.55999718904491</v>
          </cell>
        </row>
        <row r="104">
          <cell r="A104">
            <v>10286</v>
          </cell>
          <cell r="B104">
            <v>35</v>
          </cell>
          <cell r="C104">
            <v>14.4</v>
          </cell>
          <cell r="D104">
            <v>100</v>
          </cell>
          <cell r="E104">
            <v>0</v>
          </cell>
          <cell r="F104">
            <v>1440</v>
          </cell>
        </row>
        <row r="105">
          <cell r="A105">
            <v>10286</v>
          </cell>
          <cell r="B105">
            <v>62</v>
          </cell>
          <cell r="C105">
            <v>39.4</v>
          </cell>
          <cell r="D105">
            <v>40</v>
          </cell>
          <cell r="E105">
            <v>0</v>
          </cell>
          <cell r="F105">
            <v>1576</v>
          </cell>
        </row>
        <row r="106">
          <cell r="A106">
            <v>10287</v>
          </cell>
          <cell r="B106">
            <v>16</v>
          </cell>
          <cell r="C106">
            <v>13.9</v>
          </cell>
          <cell r="D106">
            <v>40</v>
          </cell>
          <cell r="E106">
            <v>0.15000000596046448</v>
          </cell>
          <cell r="F106">
            <v>472.59999668598175</v>
          </cell>
        </row>
        <row r="107">
          <cell r="A107">
            <v>10287</v>
          </cell>
          <cell r="B107">
            <v>34</v>
          </cell>
          <cell r="C107">
            <v>11.2</v>
          </cell>
          <cell r="D107">
            <v>20</v>
          </cell>
          <cell r="E107">
            <v>0</v>
          </cell>
          <cell r="F107">
            <v>224</v>
          </cell>
        </row>
        <row r="108">
          <cell r="A108">
            <v>10287</v>
          </cell>
          <cell r="B108">
            <v>46</v>
          </cell>
          <cell r="C108">
            <v>9.6</v>
          </cell>
          <cell r="D108">
            <v>15</v>
          </cell>
          <cell r="E108">
            <v>0.15000000596046448</v>
          </cell>
          <cell r="F108">
            <v>122.39999914169312</v>
          </cell>
        </row>
        <row r="109">
          <cell r="A109">
            <v>10288</v>
          </cell>
          <cell r="B109">
            <v>54</v>
          </cell>
          <cell r="C109">
            <v>5.9</v>
          </cell>
          <cell r="D109">
            <v>10</v>
          </cell>
          <cell r="E109">
            <v>0.10000000149011612</v>
          </cell>
          <cell r="F109">
            <v>53.099999912083149</v>
          </cell>
        </row>
        <row r="110">
          <cell r="A110">
            <v>10288</v>
          </cell>
          <cell r="B110">
            <v>68</v>
          </cell>
          <cell r="C110">
            <v>10</v>
          </cell>
          <cell r="D110">
            <v>3</v>
          </cell>
          <cell r="E110">
            <v>0.10000000149011612</v>
          </cell>
          <cell r="F110">
            <v>26.999999955296516</v>
          </cell>
        </row>
        <row r="111">
          <cell r="A111">
            <v>10289</v>
          </cell>
          <cell r="B111">
            <v>3</v>
          </cell>
          <cell r="C111">
            <v>8</v>
          </cell>
          <cell r="D111">
            <v>30</v>
          </cell>
          <cell r="E111">
            <v>0</v>
          </cell>
          <cell r="F111">
            <v>240</v>
          </cell>
        </row>
        <row r="112">
          <cell r="A112">
            <v>10289</v>
          </cell>
          <cell r="B112">
            <v>64</v>
          </cell>
          <cell r="C112">
            <v>26.6</v>
          </cell>
          <cell r="D112">
            <v>9</v>
          </cell>
          <cell r="E112">
            <v>0</v>
          </cell>
          <cell r="F112">
            <v>239.4</v>
          </cell>
        </row>
        <row r="113">
          <cell r="A113">
            <v>10290</v>
          </cell>
          <cell r="B113">
            <v>5</v>
          </cell>
          <cell r="C113">
            <v>17</v>
          </cell>
          <cell r="D113">
            <v>20</v>
          </cell>
          <cell r="E113">
            <v>0</v>
          </cell>
          <cell r="F113">
            <v>340</v>
          </cell>
        </row>
        <row r="114">
          <cell r="A114">
            <v>10290</v>
          </cell>
          <cell r="B114">
            <v>29</v>
          </cell>
          <cell r="C114">
            <v>99</v>
          </cell>
          <cell r="D114">
            <v>15</v>
          </cell>
          <cell r="E114">
            <v>0</v>
          </cell>
          <cell r="F114">
            <v>1485</v>
          </cell>
        </row>
        <row r="115">
          <cell r="A115">
            <v>10290</v>
          </cell>
          <cell r="B115">
            <v>49</v>
          </cell>
          <cell r="C115">
            <v>16</v>
          </cell>
          <cell r="D115">
            <v>15</v>
          </cell>
          <cell r="E115">
            <v>0</v>
          </cell>
          <cell r="F115">
            <v>240</v>
          </cell>
        </row>
        <row r="116">
          <cell r="A116">
            <v>10290</v>
          </cell>
          <cell r="B116">
            <v>77</v>
          </cell>
          <cell r="C116">
            <v>10.4</v>
          </cell>
          <cell r="D116">
            <v>10</v>
          </cell>
          <cell r="E116">
            <v>0</v>
          </cell>
          <cell r="F116">
            <v>104</v>
          </cell>
        </row>
        <row r="117">
          <cell r="A117">
            <v>10291</v>
          </cell>
          <cell r="B117">
            <v>13</v>
          </cell>
          <cell r="C117">
            <v>4.8</v>
          </cell>
          <cell r="D117">
            <v>20</v>
          </cell>
          <cell r="E117">
            <v>0.10000000149011612</v>
          </cell>
          <cell r="F117">
            <v>86.399999856948853</v>
          </cell>
        </row>
        <row r="118">
          <cell r="A118">
            <v>10291</v>
          </cell>
          <cell r="B118">
            <v>44</v>
          </cell>
          <cell r="C118">
            <v>15.5</v>
          </cell>
          <cell r="D118">
            <v>24</v>
          </cell>
          <cell r="E118">
            <v>0.10000000149011612</v>
          </cell>
          <cell r="F118">
            <v>334.7999994456768</v>
          </cell>
        </row>
        <row r="119">
          <cell r="A119">
            <v>10291</v>
          </cell>
          <cell r="B119">
            <v>51</v>
          </cell>
          <cell r="C119">
            <v>42.4</v>
          </cell>
          <cell r="D119">
            <v>2</v>
          </cell>
          <cell r="E119">
            <v>0.10000000149011612</v>
          </cell>
          <cell r="F119">
            <v>76.319999873638153</v>
          </cell>
        </row>
        <row r="120">
          <cell r="A120">
            <v>10292</v>
          </cell>
          <cell r="B120">
            <v>20</v>
          </cell>
          <cell r="C120">
            <v>64.8</v>
          </cell>
          <cell r="D120">
            <v>20</v>
          </cell>
          <cell r="E120">
            <v>0</v>
          </cell>
          <cell r="F120">
            <v>1296</v>
          </cell>
        </row>
        <row r="121">
          <cell r="A121">
            <v>10293</v>
          </cell>
          <cell r="B121">
            <v>18</v>
          </cell>
          <cell r="C121">
            <v>50</v>
          </cell>
          <cell r="D121">
            <v>12</v>
          </cell>
          <cell r="E121">
            <v>0</v>
          </cell>
          <cell r="F121">
            <v>600</v>
          </cell>
        </row>
        <row r="122">
          <cell r="A122">
            <v>10293</v>
          </cell>
          <cell r="B122">
            <v>24</v>
          </cell>
          <cell r="C122">
            <v>3.6</v>
          </cell>
          <cell r="D122">
            <v>10</v>
          </cell>
          <cell r="E122">
            <v>0</v>
          </cell>
          <cell r="F122">
            <v>36</v>
          </cell>
        </row>
        <row r="123">
          <cell r="A123">
            <v>10293</v>
          </cell>
          <cell r="B123">
            <v>63</v>
          </cell>
          <cell r="C123">
            <v>35.1</v>
          </cell>
          <cell r="D123">
            <v>5</v>
          </cell>
          <cell r="E123">
            <v>0</v>
          </cell>
          <cell r="F123">
            <v>175.5</v>
          </cell>
        </row>
        <row r="124">
          <cell r="A124">
            <v>10293</v>
          </cell>
          <cell r="B124">
            <v>75</v>
          </cell>
          <cell r="C124">
            <v>6.2</v>
          </cell>
          <cell r="D124">
            <v>6</v>
          </cell>
          <cell r="E124">
            <v>0</v>
          </cell>
          <cell r="F124">
            <v>37.200000000000003</v>
          </cell>
        </row>
        <row r="125">
          <cell r="A125">
            <v>10294</v>
          </cell>
          <cell r="B125">
            <v>1</v>
          </cell>
          <cell r="C125">
            <v>14.4</v>
          </cell>
          <cell r="D125">
            <v>18</v>
          </cell>
          <cell r="E125">
            <v>0</v>
          </cell>
          <cell r="F125">
            <v>259.2</v>
          </cell>
        </row>
        <row r="126">
          <cell r="A126">
            <v>10294</v>
          </cell>
          <cell r="B126">
            <v>17</v>
          </cell>
          <cell r="C126">
            <v>31.2</v>
          </cell>
          <cell r="D126">
            <v>15</v>
          </cell>
          <cell r="E126">
            <v>0</v>
          </cell>
          <cell r="F126">
            <v>468</v>
          </cell>
        </row>
        <row r="127">
          <cell r="A127">
            <v>10294</v>
          </cell>
          <cell r="B127">
            <v>43</v>
          </cell>
          <cell r="C127">
            <v>36.799999999999997</v>
          </cell>
          <cell r="D127">
            <v>15</v>
          </cell>
          <cell r="E127">
            <v>0</v>
          </cell>
          <cell r="F127">
            <v>552</v>
          </cell>
        </row>
        <row r="128">
          <cell r="A128">
            <v>10294</v>
          </cell>
          <cell r="B128">
            <v>60</v>
          </cell>
          <cell r="C128">
            <v>27.2</v>
          </cell>
          <cell r="D128">
            <v>21</v>
          </cell>
          <cell r="E128">
            <v>0</v>
          </cell>
          <cell r="F128">
            <v>571.19999999999993</v>
          </cell>
        </row>
        <row r="129">
          <cell r="A129">
            <v>10294</v>
          </cell>
          <cell r="B129">
            <v>75</v>
          </cell>
          <cell r="C129">
            <v>6.2</v>
          </cell>
          <cell r="D129">
            <v>6</v>
          </cell>
          <cell r="E129">
            <v>0</v>
          </cell>
          <cell r="F129">
            <v>37.200000000000003</v>
          </cell>
        </row>
        <row r="130">
          <cell r="A130">
            <v>10295</v>
          </cell>
          <cell r="B130">
            <v>56</v>
          </cell>
          <cell r="C130">
            <v>30.4</v>
          </cell>
          <cell r="D130">
            <v>4</v>
          </cell>
          <cell r="E130">
            <v>0</v>
          </cell>
          <cell r="F130">
            <v>121.6</v>
          </cell>
        </row>
        <row r="131">
          <cell r="A131">
            <v>10296</v>
          </cell>
          <cell r="B131">
            <v>11</v>
          </cell>
          <cell r="C131">
            <v>16.8</v>
          </cell>
          <cell r="D131">
            <v>12</v>
          </cell>
          <cell r="E131">
            <v>0</v>
          </cell>
          <cell r="F131">
            <v>201.60000000000002</v>
          </cell>
        </row>
        <row r="132">
          <cell r="A132">
            <v>10296</v>
          </cell>
          <cell r="B132">
            <v>16</v>
          </cell>
          <cell r="C132">
            <v>13.9</v>
          </cell>
          <cell r="D132">
            <v>30</v>
          </cell>
          <cell r="E132">
            <v>0</v>
          </cell>
          <cell r="F132">
            <v>417</v>
          </cell>
        </row>
        <row r="133">
          <cell r="A133">
            <v>10296</v>
          </cell>
          <cell r="B133">
            <v>69</v>
          </cell>
          <cell r="C133">
            <v>28.8</v>
          </cell>
          <cell r="D133">
            <v>15</v>
          </cell>
          <cell r="E133">
            <v>0</v>
          </cell>
          <cell r="F133">
            <v>432</v>
          </cell>
        </row>
        <row r="134">
          <cell r="A134">
            <v>10297</v>
          </cell>
          <cell r="B134">
            <v>39</v>
          </cell>
          <cell r="C134">
            <v>14.4</v>
          </cell>
          <cell r="D134">
            <v>60</v>
          </cell>
          <cell r="E134">
            <v>0</v>
          </cell>
          <cell r="F134">
            <v>864</v>
          </cell>
        </row>
        <row r="135">
          <cell r="A135">
            <v>10297</v>
          </cell>
          <cell r="B135">
            <v>72</v>
          </cell>
          <cell r="C135">
            <v>27.8</v>
          </cell>
          <cell r="D135">
            <v>20</v>
          </cell>
          <cell r="E135">
            <v>0</v>
          </cell>
          <cell r="F135">
            <v>556</v>
          </cell>
        </row>
        <row r="136">
          <cell r="A136">
            <v>10298</v>
          </cell>
          <cell r="B136">
            <v>2</v>
          </cell>
          <cell r="C136">
            <v>15.2</v>
          </cell>
          <cell r="D136">
            <v>40</v>
          </cell>
          <cell r="E136">
            <v>0</v>
          </cell>
          <cell r="F136">
            <v>608</v>
          </cell>
        </row>
        <row r="137">
          <cell r="A137">
            <v>10298</v>
          </cell>
          <cell r="B137">
            <v>36</v>
          </cell>
          <cell r="C137">
            <v>15.2</v>
          </cell>
          <cell r="D137">
            <v>40</v>
          </cell>
          <cell r="E137">
            <v>0.25</v>
          </cell>
          <cell r="F137">
            <v>456</v>
          </cell>
        </row>
        <row r="138">
          <cell r="A138">
            <v>10298</v>
          </cell>
          <cell r="B138">
            <v>59</v>
          </cell>
          <cell r="C138">
            <v>44</v>
          </cell>
          <cell r="D138">
            <v>30</v>
          </cell>
          <cell r="E138">
            <v>0.25</v>
          </cell>
          <cell r="F138">
            <v>990</v>
          </cell>
        </row>
        <row r="139">
          <cell r="A139">
            <v>10298</v>
          </cell>
          <cell r="B139">
            <v>62</v>
          </cell>
          <cell r="C139">
            <v>39.4</v>
          </cell>
          <cell r="D139">
            <v>15</v>
          </cell>
          <cell r="E139">
            <v>0</v>
          </cell>
          <cell r="F139">
            <v>591</v>
          </cell>
        </row>
        <row r="140">
          <cell r="A140">
            <v>10299</v>
          </cell>
          <cell r="B140">
            <v>19</v>
          </cell>
          <cell r="C140">
            <v>7.3</v>
          </cell>
          <cell r="D140">
            <v>15</v>
          </cell>
          <cell r="E140">
            <v>0</v>
          </cell>
          <cell r="F140">
            <v>109.5</v>
          </cell>
        </row>
        <row r="141">
          <cell r="A141">
            <v>10299</v>
          </cell>
          <cell r="B141">
            <v>70</v>
          </cell>
          <cell r="C141">
            <v>12</v>
          </cell>
          <cell r="D141">
            <v>20</v>
          </cell>
          <cell r="E141">
            <v>0</v>
          </cell>
          <cell r="F141">
            <v>240</v>
          </cell>
        </row>
        <row r="142">
          <cell r="A142">
            <v>10300</v>
          </cell>
          <cell r="B142">
            <v>66</v>
          </cell>
          <cell r="C142">
            <v>13.6</v>
          </cell>
          <cell r="D142">
            <v>30</v>
          </cell>
          <cell r="E142">
            <v>0</v>
          </cell>
          <cell r="F142">
            <v>408</v>
          </cell>
        </row>
        <row r="143">
          <cell r="A143">
            <v>10300</v>
          </cell>
          <cell r="B143">
            <v>68</v>
          </cell>
          <cell r="C143">
            <v>10</v>
          </cell>
          <cell r="D143">
            <v>20</v>
          </cell>
          <cell r="E143">
            <v>0</v>
          </cell>
          <cell r="F143">
            <v>200</v>
          </cell>
        </row>
        <row r="144">
          <cell r="A144">
            <v>10301</v>
          </cell>
          <cell r="B144">
            <v>40</v>
          </cell>
          <cell r="C144">
            <v>14.7</v>
          </cell>
          <cell r="D144">
            <v>10</v>
          </cell>
          <cell r="E144">
            <v>0</v>
          </cell>
          <cell r="F144">
            <v>147</v>
          </cell>
        </row>
        <row r="145">
          <cell r="A145">
            <v>10301</v>
          </cell>
          <cell r="B145">
            <v>56</v>
          </cell>
          <cell r="C145">
            <v>30.4</v>
          </cell>
          <cell r="D145">
            <v>20</v>
          </cell>
          <cell r="E145">
            <v>0</v>
          </cell>
          <cell r="F145">
            <v>608</v>
          </cell>
        </row>
        <row r="146">
          <cell r="A146">
            <v>10302</v>
          </cell>
          <cell r="B146">
            <v>17</v>
          </cell>
          <cell r="C146">
            <v>31.2</v>
          </cell>
          <cell r="D146">
            <v>40</v>
          </cell>
          <cell r="E146">
            <v>0</v>
          </cell>
          <cell r="F146">
            <v>1248</v>
          </cell>
        </row>
        <row r="147">
          <cell r="A147">
            <v>10302</v>
          </cell>
          <cell r="B147">
            <v>28</v>
          </cell>
          <cell r="C147">
            <v>36.4</v>
          </cell>
          <cell r="D147">
            <v>28</v>
          </cell>
          <cell r="E147">
            <v>0</v>
          </cell>
          <cell r="F147">
            <v>1019.1999999999999</v>
          </cell>
        </row>
        <row r="148">
          <cell r="A148">
            <v>10302</v>
          </cell>
          <cell r="B148">
            <v>43</v>
          </cell>
          <cell r="C148">
            <v>36.799999999999997</v>
          </cell>
          <cell r="D148">
            <v>12</v>
          </cell>
          <cell r="E148">
            <v>0</v>
          </cell>
          <cell r="F148">
            <v>441.59999999999997</v>
          </cell>
        </row>
        <row r="149">
          <cell r="A149">
            <v>10303</v>
          </cell>
          <cell r="B149">
            <v>40</v>
          </cell>
          <cell r="C149">
            <v>14.7</v>
          </cell>
          <cell r="D149">
            <v>40</v>
          </cell>
          <cell r="E149">
            <v>0.10000000149011612</v>
          </cell>
          <cell r="F149">
            <v>529.19999912381172</v>
          </cell>
        </row>
        <row r="150">
          <cell r="A150">
            <v>10303</v>
          </cell>
          <cell r="B150">
            <v>65</v>
          </cell>
          <cell r="C150">
            <v>16.8</v>
          </cell>
          <cell r="D150">
            <v>30</v>
          </cell>
          <cell r="E150">
            <v>0.10000000149011612</v>
          </cell>
          <cell r="F150">
            <v>453.59999924898148</v>
          </cell>
        </row>
        <row r="151">
          <cell r="A151">
            <v>10303</v>
          </cell>
          <cell r="B151">
            <v>68</v>
          </cell>
          <cell r="C151">
            <v>10</v>
          </cell>
          <cell r="D151">
            <v>15</v>
          </cell>
          <cell r="E151">
            <v>0.10000000149011612</v>
          </cell>
          <cell r="F151">
            <v>134.99999977648258</v>
          </cell>
        </row>
        <row r="152">
          <cell r="A152">
            <v>10304</v>
          </cell>
          <cell r="B152">
            <v>49</v>
          </cell>
          <cell r="C152">
            <v>16</v>
          </cell>
          <cell r="D152">
            <v>30</v>
          </cell>
          <cell r="E152">
            <v>0</v>
          </cell>
          <cell r="F152">
            <v>480</v>
          </cell>
        </row>
        <row r="153">
          <cell r="A153">
            <v>10304</v>
          </cell>
          <cell r="B153">
            <v>59</v>
          </cell>
          <cell r="C153">
            <v>44</v>
          </cell>
          <cell r="D153">
            <v>10</v>
          </cell>
          <cell r="E153">
            <v>0</v>
          </cell>
          <cell r="F153">
            <v>440</v>
          </cell>
        </row>
        <row r="154">
          <cell r="A154">
            <v>10304</v>
          </cell>
          <cell r="B154">
            <v>71</v>
          </cell>
          <cell r="C154">
            <v>17.2</v>
          </cell>
          <cell r="D154">
            <v>2</v>
          </cell>
          <cell r="E154">
            <v>0</v>
          </cell>
          <cell r="F154">
            <v>34.4</v>
          </cell>
        </row>
        <row r="155">
          <cell r="A155">
            <v>10305</v>
          </cell>
          <cell r="B155">
            <v>18</v>
          </cell>
          <cell r="C155">
            <v>50</v>
          </cell>
          <cell r="D155">
            <v>25</v>
          </cell>
          <cell r="E155">
            <v>0.10000000149011612</v>
          </cell>
          <cell r="F155">
            <v>1124.9999981373549</v>
          </cell>
        </row>
        <row r="156">
          <cell r="A156">
            <v>10305</v>
          </cell>
          <cell r="B156">
            <v>29</v>
          </cell>
          <cell r="C156">
            <v>99</v>
          </cell>
          <cell r="D156">
            <v>25</v>
          </cell>
          <cell r="E156">
            <v>0.10000000149011612</v>
          </cell>
          <cell r="F156">
            <v>2227.4999963119626</v>
          </cell>
        </row>
        <row r="157">
          <cell r="A157">
            <v>10305</v>
          </cell>
          <cell r="B157">
            <v>39</v>
          </cell>
          <cell r="C157">
            <v>14.4</v>
          </cell>
          <cell r="D157">
            <v>30</v>
          </cell>
          <cell r="E157">
            <v>0.10000000149011612</v>
          </cell>
          <cell r="F157">
            <v>388.79999935626984</v>
          </cell>
        </row>
        <row r="158">
          <cell r="A158">
            <v>10306</v>
          </cell>
          <cell r="B158">
            <v>30</v>
          </cell>
          <cell r="C158">
            <v>20.7</v>
          </cell>
          <cell r="D158">
            <v>10</v>
          </cell>
          <cell r="E158">
            <v>0</v>
          </cell>
          <cell r="F158">
            <v>207</v>
          </cell>
        </row>
        <row r="159">
          <cell r="A159">
            <v>10306</v>
          </cell>
          <cell r="B159">
            <v>53</v>
          </cell>
          <cell r="C159">
            <v>26.2</v>
          </cell>
          <cell r="D159">
            <v>10</v>
          </cell>
          <cell r="E159">
            <v>0</v>
          </cell>
          <cell r="F159">
            <v>262</v>
          </cell>
        </row>
        <row r="160">
          <cell r="A160">
            <v>10306</v>
          </cell>
          <cell r="B160">
            <v>54</v>
          </cell>
          <cell r="C160">
            <v>5.9</v>
          </cell>
          <cell r="D160">
            <v>5</v>
          </cell>
          <cell r="E160">
            <v>0</v>
          </cell>
          <cell r="F160">
            <v>29.5</v>
          </cell>
        </row>
        <row r="161">
          <cell r="A161">
            <v>10307</v>
          </cell>
          <cell r="B161">
            <v>62</v>
          </cell>
          <cell r="C161">
            <v>39.4</v>
          </cell>
          <cell r="D161">
            <v>10</v>
          </cell>
          <cell r="E161">
            <v>0</v>
          </cell>
          <cell r="F161">
            <v>394</v>
          </cell>
        </row>
        <row r="162">
          <cell r="A162">
            <v>10307</v>
          </cell>
          <cell r="B162">
            <v>68</v>
          </cell>
          <cell r="C162">
            <v>10</v>
          </cell>
          <cell r="D162">
            <v>3</v>
          </cell>
          <cell r="E162">
            <v>0</v>
          </cell>
          <cell r="F162">
            <v>30</v>
          </cell>
        </row>
        <row r="163">
          <cell r="A163">
            <v>10308</v>
          </cell>
          <cell r="B163">
            <v>69</v>
          </cell>
          <cell r="C163">
            <v>28.8</v>
          </cell>
          <cell r="D163">
            <v>1</v>
          </cell>
          <cell r="E163">
            <v>0</v>
          </cell>
          <cell r="F163">
            <v>28.8</v>
          </cell>
        </row>
        <row r="164">
          <cell r="A164">
            <v>10308</v>
          </cell>
          <cell r="B164">
            <v>70</v>
          </cell>
          <cell r="C164">
            <v>12</v>
          </cell>
          <cell r="D164">
            <v>5</v>
          </cell>
          <cell r="E164">
            <v>0</v>
          </cell>
          <cell r="F164">
            <v>60</v>
          </cell>
        </row>
        <row r="165">
          <cell r="A165">
            <v>10309</v>
          </cell>
          <cell r="B165">
            <v>4</v>
          </cell>
          <cell r="C165">
            <v>17.600000000000001</v>
          </cell>
          <cell r="D165">
            <v>20</v>
          </cell>
          <cell r="E165">
            <v>0</v>
          </cell>
          <cell r="F165">
            <v>352</v>
          </cell>
        </row>
        <row r="166">
          <cell r="A166">
            <v>10309</v>
          </cell>
          <cell r="B166">
            <v>6</v>
          </cell>
          <cell r="C166">
            <v>20</v>
          </cell>
          <cell r="D166">
            <v>30</v>
          </cell>
          <cell r="E166">
            <v>0</v>
          </cell>
          <cell r="F166">
            <v>600</v>
          </cell>
        </row>
        <row r="167">
          <cell r="A167">
            <v>10309</v>
          </cell>
          <cell r="B167">
            <v>42</v>
          </cell>
          <cell r="C167">
            <v>11.2</v>
          </cell>
          <cell r="D167">
            <v>2</v>
          </cell>
          <cell r="E167">
            <v>0</v>
          </cell>
          <cell r="F167">
            <v>22.4</v>
          </cell>
        </row>
        <row r="168">
          <cell r="A168">
            <v>10309</v>
          </cell>
          <cell r="B168">
            <v>43</v>
          </cell>
          <cell r="C168">
            <v>36.799999999999997</v>
          </cell>
          <cell r="D168">
            <v>20</v>
          </cell>
          <cell r="E168">
            <v>0</v>
          </cell>
          <cell r="F168">
            <v>736</v>
          </cell>
        </row>
        <row r="169">
          <cell r="A169">
            <v>10309</v>
          </cell>
          <cell r="B169">
            <v>71</v>
          </cell>
          <cell r="C169">
            <v>17.2</v>
          </cell>
          <cell r="D169">
            <v>3</v>
          </cell>
          <cell r="E169">
            <v>0</v>
          </cell>
          <cell r="F169">
            <v>51.599999999999994</v>
          </cell>
        </row>
        <row r="170">
          <cell r="A170">
            <v>10310</v>
          </cell>
          <cell r="B170">
            <v>16</v>
          </cell>
          <cell r="C170">
            <v>13.9</v>
          </cell>
          <cell r="D170">
            <v>10</v>
          </cell>
          <cell r="E170">
            <v>0</v>
          </cell>
          <cell r="F170">
            <v>139</v>
          </cell>
        </row>
        <row r="171">
          <cell r="A171">
            <v>10310</v>
          </cell>
          <cell r="B171">
            <v>62</v>
          </cell>
          <cell r="C171">
            <v>39.4</v>
          </cell>
          <cell r="D171">
            <v>5</v>
          </cell>
          <cell r="E171">
            <v>0</v>
          </cell>
          <cell r="F171">
            <v>197</v>
          </cell>
        </row>
        <row r="172">
          <cell r="A172">
            <v>10311</v>
          </cell>
          <cell r="B172">
            <v>42</v>
          </cell>
          <cell r="C172">
            <v>11.2</v>
          </cell>
          <cell r="D172">
            <v>6</v>
          </cell>
          <cell r="E172">
            <v>0</v>
          </cell>
          <cell r="F172">
            <v>67.199999999999989</v>
          </cell>
        </row>
        <row r="173">
          <cell r="A173">
            <v>10311</v>
          </cell>
          <cell r="B173">
            <v>69</v>
          </cell>
          <cell r="C173">
            <v>28.8</v>
          </cell>
          <cell r="D173">
            <v>7</v>
          </cell>
          <cell r="E173">
            <v>0</v>
          </cell>
          <cell r="F173">
            <v>201.6</v>
          </cell>
        </row>
        <row r="174">
          <cell r="A174">
            <v>10312</v>
          </cell>
          <cell r="B174">
            <v>28</v>
          </cell>
          <cell r="C174">
            <v>36.4</v>
          </cell>
          <cell r="D174">
            <v>4</v>
          </cell>
          <cell r="E174">
            <v>0</v>
          </cell>
          <cell r="F174">
            <v>145.6</v>
          </cell>
        </row>
        <row r="175">
          <cell r="A175">
            <v>10312</v>
          </cell>
          <cell r="B175">
            <v>43</v>
          </cell>
          <cell r="C175">
            <v>36.799999999999997</v>
          </cell>
          <cell r="D175">
            <v>24</v>
          </cell>
          <cell r="E175">
            <v>0</v>
          </cell>
          <cell r="F175">
            <v>883.19999999999993</v>
          </cell>
        </row>
        <row r="176">
          <cell r="A176">
            <v>10312</v>
          </cell>
          <cell r="B176">
            <v>53</v>
          </cell>
          <cell r="C176">
            <v>26.2</v>
          </cell>
          <cell r="D176">
            <v>20</v>
          </cell>
          <cell r="E176">
            <v>0</v>
          </cell>
          <cell r="F176">
            <v>524</v>
          </cell>
        </row>
        <row r="177">
          <cell r="A177">
            <v>10312</v>
          </cell>
          <cell r="B177">
            <v>75</v>
          </cell>
          <cell r="C177">
            <v>6.2</v>
          </cell>
          <cell r="D177">
            <v>10</v>
          </cell>
          <cell r="E177">
            <v>0</v>
          </cell>
          <cell r="F177">
            <v>62</v>
          </cell>
        </row>
        <row r="178">
          <cell r="A178">
            <v>10313</v>
          </cell>
          <cell r="B178">
            <v>36</v>
          </cell>
          <cell r="C178">
            <v>15.2</v>
          </cell>
          <cell r="D178">
            <v>12</v>
          </cell>
          <cell r="E178">
            <v>0</v>
          </cell>
          <cell r="F178">
            <v>182.39999999999998</v>
          </cell>
        </row>
        <row r="179">
          <cell r="A179">
            <v>10314</v>
          </cell>
          <cell r="B179">
            <v>32</v>
          </cell>
          <cell r="C179">
            <v>25.6</v>
          </cell>
          <cell r="D179">
            <v>40</v>
          </cell>
          <cell r="E179">
            <v>0.10000000149011612</v>
          </cell>
          <cell r="F179">
            <v>921.59999847412109</v>
          </cell>
        </row>
        <row r="180">
          <cell r="A180">
            <v>10314</v>
          </cell>
          <cell r="B180">
            <v>58</v>
          </cell>
          <cell r="C180">
            <v>10.6</v>
          </cell>
          <cell r="D180">
            <v>30</v>
          </cell>
          <cell r="E180">
            <v>0.10000000149011612</v>
          </cell>
          <cell r="F180">
            <v>286.19999952614307</v>
          </cell>
        </row>
        <row r="181">
          <cell r="A181">
            <v>10314</v>
          </cell>
          <cell r="B181">
            <v>62</v>
          </cell>
          <cell r="C181">
            <v>39.4</v>
          </cell>
          <cell r="D181">
            <v>25</v>
          </cell>
          <cell r="E181">
            <v>0.10000000149011612</v>
          </cell>
          <cell r="F181">
            <v>886.49999853223562</v>
          </cell>
        </row>
        <row r="182">
          <cell r="A182">
            <v>10315</v>
          </cell>
          <cell r="B182">
            <v>34</v>
          </cell>
          <cell r="C182">
            <v>11.2</v>
          </cell>
          <cell r="D182">
            <v>14</v>
          </cell>
          <cell r="E182">
            <v>0</v>
          </cell>
          <cell r="F182">
            <v>156.79999999999998</v>
          </cell>
        </row>
        <row r="183">
          <cell r="A183">
            <v>10315</v>
          </cell>
          <cell r="B183">
            <v>70</v>
          </cell>
          <cell r="C183">
            <v>12</v>
          </cell>
          <cell r="D183">
            <v>30</v>
          </cell>
          <cell r="E183">
            <v>0</v>
          </cell>
          <cell r="F183">
            <v>360</v>
          </cell>
        </row>
        <row r="184">
          <cell r="A184">
            <v>10316</v>
          </cell>
          <cell r="B184">
            <v>41</v>
          </cell>
          <cell r="C184">
            <v>7.7</v>
          </cell>
          <cell r="D184">
            <v>10</v>
          </cell>
          <cell r="E184">
            <v>0</v>
          </cell>
          <cell r="F184">
            <v>77</v>
          </cell>
        </row>
        <row r="185">
          <cell r="A185">
            <v>10316</v>
          </cell>
          <cell r="B185">
            <v>62</v>
          </cell>
          <cell r="C185">
            <v>39.4</v>
          </cell>
          <cell r="D185">
            <v>70</v>
          </cell>
          <cell r="E185">
            <v>0</v>
          </cell>
          <cell r="F185">
            <v>2758</v>
          </cell>
        </row>
        <row r="186">
          <cell r="A186">
            <v>10317</v>
          </cell>
          <cell r="B186">
            <v>1</v>
          </cell>
          <cell r="C186">
            <v>14.4</v>
          </cell>
          <cell r="D186">
            <v>20</v>
          </cell>
          <cell r="E186">
            <v>0</v>
          </cell>
          <cell r="F186">
            <v>288</v>
          </cell>
        </row>
        <row r="187">
          <cell r="A187">
            <v>10318</v>
          </cell>
          <cell r="B187">
            <v>41</v>
          </cell>
          <cell r="C187">
            <v>7.7</v>
          </cell>
          <cell r="D187">
            <v>20</v>
          </cell>
          <cell r="E187">
            <v>0</v>
          </cell>
          <cell r="F187">
            <v>154</v>
          </cell>
        </row>
        <row r="188">
          <cell r="A188">
            <v>10318</v>
          </cell>
          <cell r="B188">
            <v>76</v>
          </cell>
          <cell r="C188">
            <v>14.4</v>
          </cell>
          <cell r="D188">
            <v>6</v>
          </cell>
          <cell r="E188">
            <v>0</v>
          </cell>
          <cell r="F188">
            <v>86.4</v>
          </cell>
        </row>
        <row r="189">
          <cell r="A189">
            <v>10319</v>
          </cell>
          <cell r="B189">
            <v>17</v>
          </cell>
          <cell r="C189">
            <v>31.2</v>
          </cell>
          <cell r="D189">
            <v>8</v>
          </cell>
          <cell r="E189">
            <v>0</v>
          </cell>
          <cell r="F189">
            <v>249.6</v>
          </cell>
        </row>
        <row r="190">
          <cell r="A190">
            <v>10319</v>
          </cell>
          <cell r="B190">
            <v>28</v>
          </cell>
          <cell r="C190">
            <v>36.4</v>
          </cell>
          <cell r="D190">
            <v>14</v>
          </cell>
          <cell r="E190">
            <v>0</v>
          </cell>
          <cell r="F190">
            <v>509.59999999999997</v>
          </cell>
        </row>
        <row r="191">
          <cell r="A191">
            <v>10319</v>
          </cell>
          <cell r="B191">
            <v>76</v>
          </cell>
          <cell r="C191">
            <v>14.4</v>
          </cell>
          <cell r="D191">
            <v>30</v>
          </cell>
          <cell r="E191">
            <v>0</v>
          </cell>
          <cell r="F191">
            <v>432</v>
          </cell>
        </row>
        <row r="192">
          <cell r="A192">
            <v>10320</v>
          </cell>
          <cell r="B192">
            <v>71</v>
          </cell>
          <cell r="C192">
            <v>17.2</v>
          </cell>
          <cell r="D192">
            <v>30</v>
          </cell>
          <cell r="E192">
            <v>0</v>
          </cell>
          <cell r="F192">
            <v>516</v>
          </cell>
        </row>
        <row r="193">
          <cell r="A193">
            <v>10321</v>
          </cell>
          <cell r="B193">
            <v>35</v>
          </cell>
          <cell r="C193">
            <v>14.4</v>
          </cell>
          <cell r="D193">
            <v>10</v>
          </cell>
          <cell r="E193">
            <v>0</v>
          </cell>
          <cell r="F193">
            <v>144</v>
          </cell>
        </row>
        <row r="194">
          <cell r="A194">
            <v>10322</v>
          </cell>
          <cell r="B194">
            <v>52</v>
          </cell>
          <cell r="C194">
            <v>5.6</v>
          </cell>
          <cell r="D194">
            <v>20</v>
          </cell>
          <cell r="E194">
            <v>0</v>
          </cell>
          <cell r="F194">
            <v>112</v>
          </cell>
        </row>
        <row r="195">
          <cell r="A195">
            <v>10323</v>
          </cell>
          <cell r="B195">
            <v>15</v>
          </cell>
          <cell r="C195">
            <v>12.4</v>
          </cell>
          <cell r="D195">
            <v>5</v>
          </cell>
          <cell r="E195">
            <v>0</v>
          </cell>
          <cell r="F195">
            <v>62</v>
          </cell>
        </row>
        <row r="196">
          <cell r="A196">
            <v>10323</v>
          </cell>
          <cell r="B196">
            <v>25</v>
          </cell>
          <cell r="C196">
            <v>11.2</v>
          </cell>
          <cell r="D196">
            <v>4</v>
          </cell>
          <cell r="E196">
            <v>0</v>
          </cell>
          <cell r="F196">
            <v>44.8</v>
          </cell>
        </row>
        <row r="197">
          <cell r="A197">
            <v>10323</v>
          </cell>
          <cell r="B197">
            <v>39</v>
          </cell>
          <cell r="C197">
            <v>14.4</v>
          </cell>
          <cell r="D197">
            <v>4</v>
          </cell>
          <cell r="E197">
            <v>0</v>
          </cell>
          <cell r="F197">
            <v>57.6</v>
          </cell>
        </row>
        <row r="198">
          <cell r="A198">
            <v>10324</v>
          </cell>
          <cell r="B198">
            <v>16</v>
          </cell>
          <cell r="C198">
            <v>13.9</v>
          </cell>
          <cell r="D198">
            <v>21</v>
          </cell>
          <cell r="E198">
            <v>0.15000000596046448</v>
          </cell>
          <cell r="F198">
            <v>248.11499826014045</v>
          </cell>
        </row>
        <row r="199">
          <cell r="A199">
            <v>10324</v>
          </cell>
          <cell r="B199">
            <v>35</v>
          </cell>
          <cell r="C199">
            <v>14.4</v>
          </cell>
          <cell r="D199">
            <v>70</v>
          </cell>
          <cell r="E199">
            <v>0.15000000596046448</v>
          </cell>
          <cell r="F199">
            <v>856.79999399185181</v>
          </cell>
        </row>
        <row r="200">
          <cell r="A200">
            <v>10324</v>
          </cell>
          <cell r="B200">
            <v>46</v>
          </cell>
          <cell r="C200">
            <v>9.6</v>
          </cell>
          <cell r="D200">
            <v>30</v>
          </cell>
          <cell r="E200">
            <v>0</v>
          </cell>
          <cell r="F200">
            <v>288</v>
          </cell>
        </row>
        <row r="201">
          <cell r="A201">
            <v>10324</v>
          </cell>
          <cell r="B201">
            <v>59</v>
          </cell>
          <cell r="C201">
            <v>44</v>
          </cell>
          <cell r="D201">
            <v>40</v>
          </cell>
          <cell r="E201">
            <v>0.15000000596046448</v>
          </cell>
          <cell r="F201">
            <v>1495.9999895095825</v>
          </cell>
        </row>
        <row r="202">
          <cell r="A202">
            <v>10324</v>
          </cell>
          <cell r="B202">
            <v>63</v>
          </cell>
          <cell r="C202">
            <v>35.1</v>
          </cell>
          <cell r="D202">
            <v>80</v>
          </cell>
          <cell r="E202">
            <v>0.15000000596046448</v>
          </cell>
          <cell r="F202">
            <v>2386.7999832630157</v>
          </cell>
        </row>
        <row r="203">
          <cell r="A203">
            <v>10325</v>
          </cell>
          <cell r="B203">
            <v>6</v>
          </cell>
          <cell r="C203">
            <v>20</v>
          </cell>
          <cell r="D203">
            <v>6</v>
          </cell>
          <cell r="E203">
            <v>0</v>
          </cell>
          <cell r="F203">
            <v>120</v>
          </cell>
        </row>
        <row r="204">
          <cell r="A204">
            <v>10325</v>
          </cell>
          <cell r="B204">
            <v>13</v>
          </cell>
          <cell r="C204">
            <v>4.8</v>
          </cell>
          <cell r="D204">
            <v>12</v>
          </cell>
          <cell r="E204">
            <v>0</v>
          </cell>
          <cell r="F204">
            <v>57.599999999999994</v>
          </cell>
        </row>
        <row r="205">
          <cell r="A205">
            <v>10325</v>
          </cell>
          <cell r="B205">
            <v>14</v>
          </cell>
          <cell r="C205">
            <v>18.600000000000001</v>
          </cell>
          <cell r="D205">
            <v>9</v>
          </cell>
          <cell r="E205">
            <v>0</v>
          </cell>
          <cell r="F205">
            <v>167.4</v>
          </cell>
        </row>
        <row r="206">
          <cell r="A206">
            <v>10325</v>
          </cell>
          <cell r="B206">
            <v>31</v>
          </cell>
          <cell r="C206">
            <v>10</v>
          </cell>
          <cell r="D206">
            <v>4</v>
          </cell>
          <cell r="E206">
            <v>0</v>
          </cell>
          <cell r="F206">
            <v>40</v>
          </cell>
        </row>
        <row r="207">
          <cell r="A207">
            <v>10325</v>
          </cell>
          <cell r="B207">
            <v>72</v>
          </cell>
          <cell r="C207">
            <v>27.8</v>
          </cell>
          <cell r="D207">
            <v>40</v>
          </cell>
          <cell r="E207">
            <v>0</v>
          </cell>
          <cell r="F207">
            <v>1112</v>
          </cell>
        </row>
        <row r="208">
          <cell r="A208">
            <v>10326</v>
          </cell>
          <cell r="B208">
            <v>4</v>
          </cell>
          <cell r="C208">
            <v>17.600000000000001</v>
          </cell>
          <cell r="D208">
            <v>24</v>
          </cell>
          <cell r="E208">
            <v>0</v>
          </cell>
          <cell r="F208">
            <v>422.40000000000003</v>
          </cell>
        </row>
        <row r="209">
          <cell r="A209">
            <v>10326</v>
          </cell>
          <cell r="B209">
            <v>57</v>
          </cell>
          <cell r="C209">
            <v>15.6</v>
          </cell>
          <cell r="D209">
            <v>16</v>
          </cell>
          <cell r="E209">
            <v>0</v>
          </cell>
          <cell r="F209">
            <v>249.6</v>
          </cell>
        </row>
        <row r="210">
          <cell r="A210">
            <v>10326</v>
          </cell>
          <cell r="B210">
            <v>75</v>
          </cell>
          <cell r="C210">
            <v>6.2</v>
          </cell>
          <cell r="D210">
            <v>50</v>
          </cell>
          <cell r="E210">
            <v>0</v>
          </cell>
          <cell r="F210">
            <v>310</v>
          </cell>
        </row>
        <row r="211">
          <cell r="A211">
            <v>10327</v>
          </cell>
          <cell r="B211">
            <v>2</v>
          </cell>
          <cell r="C211">
            <v>15.2</v>
          </cell>
          <cell r="D211">
            <v>25</v>
          </cell>
          <cell r="E211">
            <v>0.20000000298023224</v>
          </cell>
          <cell r="F211">
            <v>303.99999886751175</v>
          </cell>
        </row>
        <row r="212">
          <cell r="A212">
            <v>10327</v>
          </cell>
          <cell r="B212">
            <v>11</v>
          </cell>
          <cell r="C212">
            <v>16.8</v>
          </cell>
          <cell r="D212">
            <v>50</v>
          </cell>
          <cell r="E212">
            <v>0.20000000298023224</v>
          </cell>
          <cell r="F212">
            <v>671.99999749660492</v>
          </cell>
        </row>
        <row r="213">
          <cell r="A213">
            <v>10327</v>
          </cell>
          <cell r="B213">
            <v>30</v>
          </cell>
          <cell r="C213">
            <v>20.7</v>
          </cell>
          <cell r="D213">
            <v>35</v>
          </cell>
          <cell r="E213">
            <v>0.20000000298023224</v>
          </cell>
          <cell r="F213">
            <v>579.59999784082174</v>
          </cell>
        </row>
        <row r="214">
          <cell r="A214">
            <v>10327</v>
          </cell>
          <cell r="B214">
            <v>58</v>
          </cell>
          <cell r="C214">
            <v>10.6</v>
          </cell>
          <cell r="D214">
            <v>30</v>
          </cell>
          <cell r="E214">
            <v>0.20000000298023224</v>
          </cell>
          <cell r="F214">
            <v>254.39999905228615</v>
          </cell>
        </row>
        <row r="215">
          <cell r="A215">
            <v>10328</v>
          </cell>
          <cell r="B215">
            <v>59</v>
          </cell>
          <cell r="C215">
            <v>44</v>
          </cell>
          <cell r="D215">
            <v>9</v>
          </cell>
          <cell r="E215">
            <v>0</v>
          </cell>
          <cell r="F215">
            <v>396</v>
          </cell>
        </row>
        <row r="216">
          <cell r="A216">
            <v>10328</v>
          </cell>
          <cell r="B216">
            <v>65</v>
          </cell>
          <cell r="C216">
            <v>16.8</v>
          </cell>
          <cell r="D216">
            <v>40</v>
          </cell>
          <cell r="E216">
            <v>0</v>
          </cell>
          <cell r="F216">
            <v>672</v>
          </cell>
        </row>
        <row r="217">
          <cell r="A217">
            <v>10328</v>
          </cell>
          <cell r="B217">
            <v>68</v>
          </cell>
          <cell r="C217">
            <v>10</v>
          </cell>
          <cell r="D217">
            <v>10</v>
          </cell>
          <cell r="E217">
            <v>0</v>
          </cell>
          <cell r="F217">
            <v>100</v>
          </cell>
        </row>
        <row r="218">
          <cell r="A218">
            <v>10329</v>
          </cell>
          <cell r="B218">
            <v>19</v>
          </cell>
          <cell r="C218">
            <v>7.3</v>
          </cell>
          <cell r="D218">
            <v>10</v>
          </cell>
          <cell r="E218">
            <v>5.000000074505806E-2</v>
          </cell>
          <cell r="F218">
            <v>69.349999945610762</v>
          </cell>
        </row>
        <row r="219">
          <cell r="A219">
            <v>10329</v>
          </cell>
          <cell r="B219">
            <v>30</v>
          </cell>
          <cell r="C219">
            <v>20.7</v>
          </cell>
          <cell r="D219">
            <v>8</v>
          </cell>
          <cell r="E219">
            <v>5.000000074505806E-2</v>
          </cell>
          <cell r="F219">
            <v>157.31999987661837</v>
          </cell>
        </row>
        <row r="220">
          <cell r="A220">
            <v>10329</v>
          </cell>
          <cell r="B220">
            <v>38</v>
          </cell>
          <cell r="C220">
            <v>210.8</v>
          </cell>
          <cell r="D220">
            <v>20</v>
          </cell>
          <cell r="E220">
            <v>5.000000074505806E-2</v>
          </cell>
          <cell r="F220">
            <v>4005.1999968588352</v>
          </cell>
        </row>
        <row r="221">
          <cell r="A221">
            <v>10329</v>
          </cell>
          <cell r="B221">
            <v>56</v>
          </cell>
          <cell r="C221">
            <v>30.4</v>
          </cell>
          <cell r="D221">
            <v>12</v>
          </cell>
          <cell r="E221">
            <v>5.000000074505806E-2</v>
          </cell>
          <cell r="F221">
            <v>346.5599997282028</v>
          </cell>
        </row>
        <row r="222">
          <cell r="A222">
            <v>10330</v>
          </cell>
          <cell r="B222">
            <v>26</v>
          </cell>
          <cell r="C222">
            <v>24.9</v>
          </cell>
          <cell r="D222">
            <v>50</v>
          </cell>
          <cell r="E222">
            <v>0.15000000596046448</v>
          </cell>
          <cell r="F222">
            <v>1058.2499925792217</v>
          </cell>
        </row>
        <row r="223">
          <cell r="A223">
            <v>10330</v>
          </cell>
          <cell r="B223">
            <v>72</v>
          </cell>
          <cell r="C223">
            <v>27.8</v>
          </cell>
          <cell r="D223">
            <v>25</v>
          </cell>
          <cell r="E223">
            <v>0.15000000596046448</v>
          </cell>
          <cell r="F223">
            <v>590.74999585747719</v>
          </cell>
        </row>
        <row r="224">
          <cell r="A224">
            <v>10331</v>
          </cell>
          <cell r="B224">
            <v>54</v>
          </cell>
          <cell r="C224">
            <v>5.9</v>
          </cell>
          <cell r="D224">
            <v>15</v>
          </cell>
          <cell r="E224">
            <v>0</v>
          </cell>
          <cell r="F224">
            <v>88.5</v>
          </cell>
        </row>
        <row r="225">
          <cell r="A225">
            <v>10332</v>
          </cell>
          <cell r="B225">
            <v>18</v>
          </cell>
          <cell r="C225">
            <v>50</v>
          </cell>
          <cell r="D225">
            <v>40</v>
          </cell>
          <cell r="E225">
            <v>0.20000000298023224</v>
          </cell>
          <cell r="F225">
            <v>1599.9999940395355</v>
          </cell>
        </row>
        <row r="226">
          <cell r="A226">
            <v>10332</v>
          </cell>
          <cell r="B226">
            <v>42</v>
          </cell>
          <cell r="C226">
            <v>11.2</v>
          </cell>
          <cell r="D226">
            <v>10</v>
          </cell>
          <cell r="E226">
            <v>0.20000000298023224</v>
          </cell>
          <cell r="F226">
            <v>89.599999666213989</v>
          </cell>
        </row>
        <row r="227">
          <cell r="A227">
            <v>10332</v>
          </cell>
          <cell r="B227">
            <v>47</v>
          </cell>
          <cell r="C227">
            <v>7.6</v>
          </cell>
          <cell r="D227">
            <v>16</v>
          </cell>
          <cell r="E227">
            <v>0.20000000298023224</v>
          </cell>
          <cell r="F227">
            <v>97.279999637603751</v>
          </cell>
        </row>
        <row r="228">
          <cell r="A228">
            <v>10333</v>
          </cell>
          <cell r="B228">
            <v>14</v>
          </cell>
          <cell r="C228">
            <v>18.600000000000001</v>
          </cell>
          <cell r="D228">
            <v>10</v>
          </cell>
          <cell r="E228">
            <v>0</v>
          </cell>
          <cell r="F228">
            <v>186</v>
          </cell>
        </row>
        <row r="229">
          <cell r="A229">
            <v>10333</v>
          </cell>
          <cell r="B229">
            <v>21</v>
          </cell>
          <cell r="C229">
            <v>8</v>
          </cell>
          <cell r="D229">
            <v>10</v>
          </cell>
          <cell r="E229">
            <v>0.10000000149011612</v>
          </cell>
          <cell r="F229">
            <v>71.99999988079071</v>
          </cell>
        </row>
        <row r="230">
          <cell r="A230">
            <v>10333</v>
          </cell>
          <cell r="B230">
            <v>71</v>
          </cell>
          <cell r="C230">
            <v>17.2</v>
          </cell>
          <cell r="D230">
            <v>40</v>
          </cell>
          <cell r="E230">
            <v>0.10000000149011612</v>
          </cell>
          <cell r="F230">
            <v>619.19999897480011</v>
          </cell>
        </row>
        <row r="231">
          <cell r="A231">
            <v>10334</v>
          </cell>
          <cell r="B231">
            <v>52</v>
          </cell>
          <cell r="C231">
            <v>5.6</v>
          </cell>
          <cell r="D231">
            <v>8</v>
          </cell>
          <cell r="E231">
            <v>0</v>
          </cell>
          <cell r="F231">
            <v>44.8</v>
          </cell>
        </row>
        <row r="232">
          <cell r="A232">
            <v>10334</v>
          </cell>
          <cell r="B232">
            <v>68</v>
          </cell>
          <cell r="C232">
            <v>10</v>
          </cell>
          <cell r="D232">
            <v>10</v>
          </cell>
          <cell r="E232">
            <v>0</v>
          </cell>
          <cell r="F232">
            <v>100</v>
          </cell>
        </row>
        <row r="233">
          <cell r="A233">
            <v>10335</v>
          </cell>
          <cell r="B233">
            <v>2</v>
          </cell>
          <cell r="C233">
            <v>15.2</v>
          </cell>
          <cell r="D233">
            <v>7</v>
          </cell>
          <cell r="E233">
            <v>0.20000000298023224</v>
          </cell>
          <cell r="F233">
            <v>85.119999682903284</v>
          </cell>
        </row>
        <row r="234">
          <cell r="A234">
            <v>10335</v>
          </cell>
          <cell r="B234">
            <v>31</v>
          </cell>
          <cell r="C234">
            <v>10</v>
          </cell>
          <cell r="D234">
            <v>25</v>
          </cell>
          <cell r="E234">
            <v>0.20000000298023224</v>
          </cell>
          <cell r="F234">
            <v>199.99999925494194</v>
          </cell>
        </row>
        <row r="235">
          <cell r="A235">
            <v>10335</v>
          </cell>
          <cell r="B235">
            <v>32</v>
          </cell>
          <cell r="C235">
            <v>25.6</v>
          </cell>
          <cell r="D235">
            <v>6</v>
          </cell>
          <cell r="E235">
            <v>0.20000000298023224</v>
          </cell>
          <cell r="F235">
            <v>122.87999954223635</v>
          </cell>
        </row>
        <row r="236">
          <cell r="A236">
            <v>10335</v>
          </cell>
          <cell r="B236">
            <v>51</v>
          </cell>
          <cell r="C236">
            <v>42.4</v>
          </cell>
          <cell r="D236">
            <v>48</v>
          </cell>
          <cell r="E236">
            <v>0.20000000298023224</v>
          </cell>
          <cell r="F236">
            <v>1628.1599939346313</v>
          </cell>
        </row>
        <row r="237">
          <cell r="A237">
            <v>10336</v>
          </cell>
          <cell r="B237">
            <v>4</v>
          </cell>
          <cell r="C237">
            <v>17.600000000000001</v>
          </cell>
          <cell r="D237">
            <v>18</v>
          </cell>
          <cell r="E237">
            <v>0.10000000149011612</v>
          </cell>
          <cell r="F237">
            <v>285.11999952793121</v>
          </cell>
        </row>
        <row r="238">
          <cell r="A238">
            <v>10337</v>
          </cell>
          <cell r="B238">
            <v>23</v>
          </cell>
          <cell r="C238">
            <v>7.2</v>
          </cell>
          <cell r="D238">
            <v>40</v>
          </cell>
          <cell r="E238">
            <v>0</v>
          </cell>
          <cell r="F238">
            <v>288</v>
          </cell>
        </row>
        <row r="239">
          <cell r="A239">
            <v>10337</v>
          </cell>
          <cell r="B239">
            <v>26</v>
          </cell>
          <cell r="C239">
            <v>24.9</v>
          </cell>
          <cell r="D239">
            <v>24</v>
          </cell>
          <cell r="E239">
            <v>0</v>
          </cell>
          <cell r="F239">
            <v>597.59999999999991</v>
          </cell>
        </row>
        <row r="240">
          <cell r="A240">
            <v>10337</v>
          </cell>
          <cell r="B240">
            <v>36</v>
          </cell>
          <cell r="C240">
            <v>15.2</v>
          </cell>
          <cell r="D240">
            <v>20</v>
          </cell>
          <cell r="E240">
            <v>0</v>
          </cell>
          <cell r="F240">
            <v>304</v>
          </cell>
        </row>
        <row r="241">
          <cell r="A241">
            <v>10337</v>
          </cell>
          <cell r="B241">
            <v>37</v>
          </cell>
          <cell r="C241">
            <v>20.8</v>
          </cell>
          <cell r="D241">
            <v>28</v>
          </cell>
          <cell r="E241">
            <v>0</v>
          </cell>
          <cell r="F241">
            <v>582.4</v>
          </cell>
        </row>
        <row r="242">
          <cell r="A242">
            <v>10337</v>
          </cell>
          <cell r="B242">
            <v>72</v>
          </cell>
          <cell r="C242">
            <v>27.8</v>
          </cell>
          <cell r="D242">
            <v>25</v>
          </cell>
          <cell r="E242">
            <v>0</v>
          </cell>
          <cell r="F242">
            <v>695</v>
          </cell>
        </row>
        <row r="243">
          <cell r="A243">
            <v>10338</v>
          </cell>
          <cell r="B243">
            <v>17</v>
          </cell>
          <cell r="C243">
            <v>31.2</v>
          </cell>
          <cell r="D243">
            <v>20</v>
          </cell>
          <cell r="E243">
            <v>0</v>
          </cell>
          <cell r="F243">
            <v>624</v>
          </cell>
        </row>
        <row r="244">
          <cell r="A244">
            <v>10338</v>
          </cell>
          <cell r="B244">
            <v>30</v>
          </cell>
          <cell r="C244">
            <v>20.7</v>
          </cell>
          <cell r="D244">
            <v>15</v>
          </cell>
          <cell r="E244">
            <v>0</v>
          </cell>
          <cell r="F244">
            <v>310.5</v>
          </cell>
        </row>
        <row r="245">
          <cell r="A245">
            <v>10339</v>
          </cell>
          <cell r="B245">
            <v>4</v>
          </cell>
          <cell r="C245">
            <v>17.600000000000001</v>
          </cell>
          <cell r="D245">
            <v>10</v>
          </cell>
          <cell r="E245">
            <v>0</v>
          </cell>
          <cell r="F245">
            <v>176</v>
          </cell>
        </row>
        <row r="246">
          <cell r="A246">
            <v>10339</v>
          </cell>
          <cell r="B246">
            <v>17</v>
          </cell>
          <cell r="C246">
            <v>31.2</v>
          </cell>
          <cell r="D246">
            <v>70</v>
          </cell>
          <cell r="E246">
            <v>5.000000074505806E-2</v>
          </cell>
          <cell r="F246">
            <v>2074.7999983727932</v>
          </cell>
        </row>
        <row r="247">
          <cell r="A247">
            <v>10339</v>
          </cell>
          <cell r="B247">
            <v>62</v>
          </cell>
          <cell r="C247">
            <v>39.4</v>
          </cell>
          <cell r="D247">
            <v>28</v>
          </cell>
          <cell r="E247">
            <v>0</v>
          </cell>
          <cell r="F247">
            <v>1103.2</v>
          </cell>
        </row>
        <row r="248">
          <cell r="A248">
            <v>10340</v>
          </cell>
          <cell r="B248">
            <v>18</v>
          </cell>
          <cell r="C248">
            <v>50</v>
          </cell>
          <cell r="D248">
            <v>20</v>
          </cell>
          <cell r="E248">
            <v>5.000000074505806E-2</v>
          </cell>
          <cell r="F248">
            <v>949.99999925494194</v>
          </cell>
        </row>
        <row r="249">
          <cell r="A249">
            <v>10340</v>
          </cell>
          <cell r="B249">
            <v>41</v>
          </cell>
          <cell r="C249">
            <v>7.7</v>
          </cell>
          <cell r="D249">
            <v>12</v>
          </cell>
          <cell r="E249">
            <v>5.000000074505806E-2</v>
          </cell>
          <cell r="F249">
            <v>87.779999931156638</v>
          </cell>
        </row>
        <row r="250">
          <cell r="A250">
            <v>10340</v>
          </cell>
          <cell r="B250">
            <v>43</v>
          </cell>
          <cell r="C250">
            <v>36.799999999999997</v>
          </cell>
          <cell r="D250">
            <v>40</v>
          </cell>
          <cell r="E250">
            <v>5.000000074505806E-2</v>
          </cell>
          <cell r="F250">
            <v>1398.3999989032745</v>
          </cell>
        </row>
        <row r="251">
          <cell r="A251">
            <v>10341</v>
          </cell>
          <cell r="B251">
            <v>33</v>
          </cell>
          <cell r="C251">
            <v>2</v>
          </cell>
          <cell r="D251">
            <v>8</v>
          </cell>
          <cell r="E251">
            <v>0</v>
          </cell>
          <cell r="F251">
            <v>16</v>
          </cell>
        </row>
        <row r="252">
          <cell r="A252">
            <v>10341</v>
          </cell>
          <cell r="B252">
            <v>59</v>
          </cell>
          <cell r="C252">
            <v>44</v>
          </cell>
          <cell r="D252">
            <v>9</v>
          </cell>
          <cell r="E252">
            <v>0.15000000596046448</v>
          </cell>
          <cell r="F252">
            <v>336.59999763965607</v>
          </cell>
        </row>
        <row r="253">
          <cell r="A253">
            <v>10342</v>
          </cell>
          <cell r="B253">
            <v>2</v>
          </cell>
          <cell r="C253">
            <v>15.2</v>
          </cell>
          <cell r="D253">
            <v>24</v>
          </cell>
          <cell r="E253">
            <v>0.20000000298023224</v>
          </cell>
          <cell r="F253">
            <v>291.83999891281127</v>
          </cell>
        </row>
        <row r="254">
          <cell r="A254">
            <v>10342</v>
          </cell>
          <cell r="B254">
            <v>31</v>
          </cell>
          <cell r="C254">
            <v>10</v>
          </cell>
          <cell r="D254">
            <v>56</v>
          </cell>
          <cell r="E254">
            <v>0.20000000298023224</v>
          </cell>
          <cell r="F254">
            <v>447.99999833106995</v>
          </cell>
        </row>
        <row r="255">
          <cell r="A255">
            <v>10342</v>
          </cell>
          <cell r="B255">
            <v>36</v>
          </cell>
          <cell r="C255">
            <v>15.2</v>
          </cell>
          <cell r="D255">
            <v>40</v>
          </cell>
          <cell r="E255">
            <v>0.20000000298023224</v>
          </cell>
          <cell r="F255">
            <v>486.3999981880188</v>
          </cell>
        </row>
        <row r="256">
          <cell r="A256">
            <v>10342</v>
          </cell>
          <cell r="B256">
            <v>55</v>
          </cell>
          <cell r="C256">
            <v>19.2</v>
          </cell>
          <cell r="D256">
            <v>40</v>
          </cell>
          <cell r="E256">
            <v>0.20000000298023224</v>
          </cell>
          <cell r="F256">
            <v>614.39999771118164</v>
          </cell>
        </row>
        <row r="257">
          <cell r="A257">
            <v>10343</v>
          </cell>
          <cell r="B257">
            <v>64</v>
          </cell>
          <cell r="C257">
            <v>26.6</v>
          </cell>
          <cell r="D257">
            <v>50</v>
          </cell>
          <cell r="E257">
            <v>0</v>
          </cell>
          <cell r="F257">
            <v>1330</v>
          </cell>
        </row>
        <row r="258">
          <cell r="A258">
            <v>10343</v>
          </cell>
          <cell r="B258">
            <v>68</v>
          </cell>
          <cell r="C258">
            <v>10</v>
          </cell>
          <cell r="D258">
            <v>4</v>
          </cell>
          <cell r="E258">
            <v>5.000000074505806E-2</v>
          </cell>
          <cell r="F258">
            <v>37.999999970197678</v>
          </cell>
        </row>
        <row r="259">
          <cell r="A259">
            <v>10343</v>
          </cell>
          <cell r="B259">
            <v>76</v>
          </cell>
          <cell r="C259">
            <v>14.4</v>
          </cell>
          <cell r="D259">
            <v>15</v>
          </cell>
          <cell r="E259">
            <v>0</v>
          </cell>
          <cell r="F259">
            <v>216</v>
          </cell>
        </row>
        <row r="260">
          <cell r="A260">
            <v>10344</v>
          </cell>
          <cell r="B260">
            <v>4</v>
          </cell>
          <cell r="C260">
            <v>17.600000000000001</v>
          </cell>
          <cell r="D260">
            <v>35</v>
          </cell>
          <cell r="E260">
            <v>0</v>
          </cell>
          <cell r="F260">
            <v>616</v>
          </cell>
        </row>
        <row r="261">
          <cell r="A261">
            <v>10344</v>
          </cell>
          <cell r="B261">
            <v>8</v>
          </cell>
          <cell r="C261">
            <v>32</v>
          </cell>
          <cell r="D261">
            <v>70</v>
          </cell>
          <cell r="E261">
            <v>0.25</v>
          </cell>
          <cell r="F261">
            <v>1680</v>
          </cell>
        </row>
        <row r="262">
          <cell r="A262">
            <v>10345</v>
          </cell>
          <cell r="B262">
            <v>8</v>
          </cell>
          <cell r="C262">
            <v>32</v>
          </cell>
          <cell r="D262">
            <v>70</v>
          </cell>
          <cell r="E262">
            <v>0</v>
          </cell>
          <cell r="F262">
            <v>2240</v>
          </cell>
        </row>
        <row r="263">
          <cell r="A263">
            <v>10345</v>
          </cell>
          <cell r="B263">
            <v>19</v>
          </cell>
          <cell r="C263">
            <v>7.3</v>
          </cell>
          <cell r="D263">
            <v>80</v>
          </cell>
          <cell r="E263">
            <v>0</v>
          </cell>
          <cell r="F263">
            <v>584</v>
          </cell>
        </row>
        <row r="264">
          <cell r="A264">
            <v>10345</v>
          </cell>
          <cell r="B264">
            <v>42</v>
          </cell>
          <cell r="C264">
            <v>11.2</v>
          </cell>
          <cell r="D264">
            <v>9</v>
          </cell>
          <cell r="E264">
            <v>0</v>
          </cell>
          <cell r="F264">
            <v>100.8</v>
          </cell>
        </row>
        <row r="265">
          <cell r="A265">
            <v>10346</v>
          </cell>
          <cell r="B265">
            <v>17</v>
          </cell>
          <cell r="C265">
            <v>31.2</v>
          </cell>
          <cell r="D265">
            <v>36</v>
          </cell>
          <cell r="E265">
            <v>0.10000000149011612</v>
          </cell>
          <cell r="F265">
            <v>1010.8799983263016</v>
          </cell>
        </row>
        <row r="266">
          <cell r="A266">
            <v>10346</v>
          </cell>
          <cell r="B266">
            <v>56</v>
          </cell>
          <cell r="C266">
            <v>30.4</v>
          </cell>
          <cell r="D266">
            <v>20</v>
          </cell>
          <cell r="E266">
            <v>0</v>
          </cell>
          <cell r="F266">
            <v>608</v>
          </cell>
        </row>
        <row r="267">
          <cell r="A267">
            <v>10347</v>
          </cell>
          <cell r="B267">
            <v>25</v>
          </cell>
          <cell r="C267">
            <v>11.2</v>
          </cell>
          <cell r="D267">
            <v>10</v>
          </cell>
          <cell r="E267">
            <v>0</v>
          </cell>
          <cell r="F267">
            <v>112</v>
          </cell>
        </row>
        <row r="268">
          <cell r="A268">
            <v>10347</v>
          </cell>
          <cell r="B268">
            <v>39</v>
          </cell>
          <cell r="C268">
            <v>14.4</v>
          </cell>
          <cell r="D268">
            <v>50</v>
          </cell>
          <cell r="E268">
            <v>0.15000000596046448</v>
          </cell>
          <cell r="F268">
            <v>611.99999570846558</v>
          </cell>
        </row>
        <row r="269">
          <cell r="A269">
            <v>10347</v>
          </cell>
          <cell r="B269">
            <v>40</v>
          </cell>
          <cell r="C269">
            <v>14.7</v>
          </cell>
          <cell r="D269">
            <v>4</v>
          </cell>
          <cell r="E269">
            <v>0</v>
          </cell>
          <cell r="F269">
            <v>58.8</v>
          </cell>
        </row>
        <row r="270">
          <cell r="A270">
            <v>10347</v>
          </cell>
          <cell r="B270">
            <v>75</v>
          </cell>
          <cell r="C270">
            <v>6.2</v>
          </cell>
          <cell r="D270">
            <v>6</v>
          </cell>
          <cell r="E270">
            <v>0.15000000596046448</v>
          </cell>
          <cell r="F270">
            <v>31.619999778270724</v>
          </cell>
        </row>
        <row r="271">
          <cell r="A271">
            <v>10348</v>
          </cell>
          <cell r="B271">
            <v>1</v>
          </cell>
          <cell r="C271">
            <v>14.4</v>
          </cell>
          <cell r="D271">
            <v>15</v>
          </cell>
          <cell r="E271">
            <v>0.15000000596046448</v>
          </cell>
          <cell r="F271">
            <v>183.59999871253967</v>
          </cell>
        </row>
        <row r="272">
          <cell r="A272">
            <v>10348</v>
          </cell>
          <cell r="B272">
            <v>23</v>
          </cell>
          <cell r="C272">
            <v>7.2</v>
          </cell>
          <cell r="D272">
            <v>25</v>
          </cell>
          <cell r="E272">
            <v>0</v>
          </cell>
          <cell r="F272">
            <v>180</v>
          </cell>
        </row>
        <row r="273">
          <cell r="A273">
            <v>10349</v>
          </cell>
          <cell r="B273">
            <v>54</v>
          </cell>
          <cell r="C273">
            <v>5.9</v>
          </cell>
          <cell r="D273">
            <v>24</v>
          </cell>
          <cell r="E273">
            <v>0</v>
          </cell>
          <cell r="F273">
            <v>141.60000000000002</v>
          </cell>
        </row>
        <row r="274">
          <cell r="A274">
            <v>10350</v>
          </cell>
          <cell r="B274">
            <v>50</v>
          </cell>
          <cell r="C274">
            <v>13</v>
          </cell>
          <cell r="D274">
            <v>15</v>
          </cell>
          <cell r="E274">
            <v>0.10000000149011612</v>
          </cell>
          <cell r="F274">
            <v>175.49999970942736</v>
          </cell>
        </row>
        <row r="275">
          <cell r="A275">
            <v>10350</v>
          </cell>
          <cell r="B275">
            <v>69</v>
          </cell>
          <cell r="C275">
            <v>28.8</v>
          </cell>
          <cell r="D275">
            <v>18</v>
          </cell>
          <cell r="E275">
            <v>0.10000000149011612</v>
          </cell>
          <cell r="F275">
            <v>466.5599992275238</v>
          </cell>
        </row>
        <row r="276">
          <cell r="A276">
            <v>10351</v>
          </cell>
          <cell r="B276">
            <v>38</v>
          </cell>
          <cell r="C276">
            <v>210.8</v>
          </cell>
          <cell r="D276">
            <v>20</v>
          </cell>
          <cell r="E276">
            <v>5.000000074505806E-2</v>
          </cell>
          <cell r="F276">
            <v>4005.1999968588352</v>
          </cell>
        </row>
        <row r="277">
          <cell r="A277">
            <v>10351</v>
          </cell>
          <cell r="B277">
            <v>41</v>
          </cell>
          <cell r="C277">
            <v>7.7</v>
          </cell>
          <cell r="D277">
            <v>13</v>
          </cell>
          <cell r="E277">
            <v>0</v>
          </cell>
          <cell r="F277">
            <v>100.10000000000001</v>
          </cell>
        </row>
        <row r="278">
          <cell r="A278">
            <v>10351</v>
          </cell>
          <cell r="B278">
            <v>44</v>
          </cell>
          <cell r="C278">
            <v>15.5</v>
          </cell>
          <cell r="D278">
            <v>77</v>
          </cell>
          <cell r="E278">
            <v>5.000000074505806E-2</v>
          </cell>
          <cell r="F278">
            <v>1133.8249991107732</v>
          </cell>
        </row>
        <row r="279">
          <cell r="A279">
            <v>10351</v>
          </cell>
          <cell r="B279">
            <v>65</v>
          </cell>
          <cell r="C279">
            <v>16.8</v>
          </cell>
          <cell r="D279">
            <v>10</v>
          </cell>
          <cell r="E279">
            <v>5.000000074505806E-2</v>
          </cell>
          <cell r="F279">
            <v>159.59999987483025</v>
          </cell>
        </row>
        <row r="280">
          <cell r="A280">
            <v>10352</v>
          </cell>
          <cell r="B280">
            <v>24</v>
          </cell>
          <cell r="C280">
            <v>3.6</v>
          </cell>
          <cell r="D280">
            <v>10</v>
          </cell>
          <cell r="E280">
            <v>0</v>
          </cell>
          <cell r="F280">
            <v>36</v>
          </cell>
        </row>
        <row r="281">
          <cell r="A281">
            <v>10352</v>
          </cell>
          <cell r="B281">
            <v>54</v>
          </cell>
          <cell r="C281">
            <v>5.9</v>
          </cell>
          <cell r="D281">
            <v>20</v>
          </cell>
          <cell r="E281">
            <v>0.15000000596046448</v>
          </cell>
          <cell r="F281">
            <v>100.29999929666519</v>
          </cell>
        </row>
        <row r="282">
          <cell r="A282">
            <v>10353</v>
          </cell>
          <cell r="B282">
            <v>11</v>
          </cell>
          <cell r="C282">
            <v>16.8</v>
          </cell>
          <cell r="D282">
            <v>12</v>
          </cell>
          <cell r="E282">
            <v>0.20000000298023224</v>
          </cell>
          <cell r="F282">
            <v>161.27999939918519</v>
          </cell>
        </row>
        <row r="283">
          <cell r="A283">
            <v>10353</v>
          </cell>
          <cell r="B283">
            <v>38</v>
          </cell>
          <cell r="C283">
            <v>210.8</v>
          </cell>
          <cell r="D283">
            <v>50</v>
          </cell>
          <cell r="E283">
            <v>0.20000000298023224</v>
          </cell>
          <cell r="F283">
            <v>8431.9999685883522</v>
          </cell>
        </row>
        <row r="284">
          <cell r="A284">
            <v>10354</v>
          </cell>
          <cell r="B284">
            <v>1</v>
          </cell>
          <cell r="C284">
            <v>14.4</v>
          </cell>
          <cell r="D284">
            <v>12</v>
          </cell>
          <cell r="E284">
            <v>0</v>
          </cell>
          <cell r="F284">
            <v>172.8</v>
          </cell>
        </row>
        <row r="285">
          <cell r="A285">
            <v>10354</v>
          </cell>
          <cell r="B285">
            <v>29</v>
          </cell>
          <cell r="C285">
            <v>99</v>
          </cell>
          <cell r="D285">
            <v>4</v>
          </cell>
          <cell r="E285">
            <v>0</v>
          </cell>
          <cell r="F285">
            <v>396</v>
          </cell>
        </row>
        <row r="286">
          <cell r="A286">
            <v>10355</v>
          </cell>
          <cell r="B286">
            <v>24</v>
          </cell>
          <cell r="C286">
            <v>3.6</v>
          </cell>
          <cell r="D286">
            <v>25</v>
          </cell>
          <cell r="E286">
            <v>0</v>
          </cell>
          <cell r="F286">
            <v>90</v>
          </cell>
        </row>
        <row r="287">
          <cell r="A287">
            <v>10355</v>
          </cell>
          <cell r="B287">
            <v>57</v>
          </cell>
          <cell r="C287">
            <v>15.6</v>
          </cell>
          <cell r="D287">
            <v>25</v>
          </cell>
          <cell r="E287">
            <v>0</v>
          </cell>
          <cell r="F287">
            <v>390</v>
          </cell>
        </row>
        <row r="288">
          <cell r="A288">
            <v>10356</v>
          </cell>
          <cell r="B288">
            <v>31</v>
          </cell>
          <cell r="C288">
            <v>10</v>
          </cell>
          <cell r="D288">
            <v>30</v>
          </cell>
          <cell r="E288">
            <v>0</v>
          </cell>
          <cell r="F288">
            <v>300</v>
          </cell>
        </row>
        <row r="289">
          <cell r="A289">
            <v>10356</v>
          </cell>
          <cell r="B289">
            <v>55</v>
          </cell>
          <cell r="C289">
            <v>19.2</v>
          </cell>
          <cell r="D289">
            <v>12</v>
          </cell>
          <cell r="E289">
            <v>0</v>
          </cell>
          <cell r="F289">
            <v>230.39999999999998</v>
          </cell>
        </row>
        <row r="290">
          <cell r="A290">
            <v>10356</v>
          </cell>
          <cell r="B290">
            <v>69</v>
          </cell>
          <cell r="C290">
            <v>28.8</v>
          </cell>
          <cell r="D290">
            <v>20</v>
          </cell>
          <cell r="E290">
            <v>0</v>
          </cell>
          <cell r="F290">
            <v>576</v>
          </cell>
        </row>
        <row r="291">
          <cell r="A291">
            <v>10357</v>
          </cell>
          <cell r="B291">
            <v>10</v>
          </cell>
          <cell r="C291">
            <v>24.8</v>
          </cell>
          <cell r="D291">
            <v>30</v>
          </cell>
          <cell r="E291">
            <v>0.20000000298023224</v>
          </cell>
          <cell r="F291">
            <v>595.19999778270721</v>
          </cell>
        </row>
        <row r="292">
          <cell r="A292">
            <v>10357</v>
          </cell>
          <cell r="B292">
            <v>26</v>
          </cell>
          <cell r="C292">
            <v>24.9</v>
          </cell>
          <cell r="D292">
            <v>16</v>
          </cell>
          <cell r="E292">
            <v>0</v>
          </cell>
          <cell r="F292">
            <v>398.4</v>
          </cell>
        </row>
        <row r="293">
          <cell r="A293">
            <v>10357</v>
          </cell>
          <cell r="B293">
            <v>60</v>
          </cell>
          <cell r="C293">
            <v>27.2</v>
          </cell>
          <cell r="D293">
            <v>8</v>
          </cell>
          <cell r="E293">
            <v>0.20000000298023224</v>
          </cell>
          <cell r="F293">
            <v>174.07999935150147</v>
          </cell>
        </row>
        <row r="294">
          <cell r="A294">
            <v>10358</v>
          </cell>
          <cell r="B294">
            <v>24</v>
          </cell>
          <cell r="C294">
            <v>3.6</v>
          </cell>
          <cell r="D294">
            <v>10</v>
          </cell>
          <cell r="E294">
            <v>5.000000074505806E-2</v>
          </cell>
          <cell r="F294">
            <v>34.19999997317791</v>
          </cell>
        </row>
        <row r="295">
          <cell r="A295">
            <v>10358</v>
          </cell>
          <cell r="B295">
            <v>34</v>
          </cell>
          <cell r="C295">
            <v>11.2</v>
          </cell>
          <cell r="D295">
            <v>10</v>
          </cell>
          <cell r="E295">
            <v>5.000000074505806E-2</v>
          </cell>
          <cell r="F295">
            <v>106.3999999165535</v>
          </cell>
        </row>
        <row r="296">
          <cell r="A296">
            <v>10358</v>
          </cell>
          <cell r="B296">
            <v>36</v>
          </cell>
          <cell r="C296">
            <v>15.2</v>
          </cell>
          <cell r="D296">
            <v>20</v>
          </cell>
          <cell r="E296">
            <v>5.000000074505806E-2</v>
          </cell>
          <cell r="F296">
            <v>288.79999977350235</v>
          </cell>
        </row>
        <row r="297">
          <cell r="A297">
            <v>10359</v>
          </cell>
          <cell r="B297">
            <v>16</v>
          </cell>
          <cell r="C297">
            <v>13.9</v>
          </cell>
          <cell r="D297">
            <v>56</v>
          </cell>
          <cell r="E297">
            <v>5.000000074505806E-2</v>
          </cell>
          <cell r="F297">
            <v>739.47999942004674</v>
          </cell>
        </row>
        <row r="298">
          <cell r="A298">
            <v>10359</v>
          </cell>
          <cell r="B298">
            <v>31</v>
          </cell>
          <cell r="C298">
            <v>10</v>
          </cell>
          <cell r="D298">
            <v>70</v>
          </cell>
          <cell r="E298">
            <v>5.000000074505806E-2</v>
          </cell>
          <cell r="F298">
            <v>664.99999947845936</v>
          </cell>
        </row>
        <row r="299">
          <cell r="A299">
            <v>10359</v>
          </cell>
          <cell r="B299">
            <v>60</v>
          </cell>
          <cell r="C299">
            <v>27.2</v>
          </cell>
          <cell r="D299">
            <v>80</v>
          </cell>
          <cell r="E299">
            <v>5.000000074505806E-2</v>
          </cell>
          <cell r="F299">
            <v>2067.1999983787537</v>
          </cell>
        </row>
        <row r="300">
          <cell r="A300">
            <v>10360</v>
          </cell>
          <cell r="B300">
            <v>28</v>
          </cell>
          <cell r="C300">
            <v>36.4</v>
          </cell>
          <cell r="D300">
            <v>30</v>
          </cell>
          <cell r="E300">
            <v>0</v>
          </cell>
          <cell r="F300">
            <v>1092</v>
          </cell>
        </row>
        <row r="301">
          <cell r="A301">
            <v>10360</v>
          </cell>
          <cell r="B301">
            <v>29</v>
          </cell>
          <cell r="C301">
            <v>99</v>
          </cell>
          <cell r="D301">
            <v>35</v>
          </cell>
          <cell r="E301">
            <v>0</v>
          </cell>
          <cell r="F301">
            <v>3465</v>
          </cell>
        </row>
        <row r="302">
          <cell r="A302">
            <v>10360</v>
          </cell>
          <cell r="B302">
            <v>38</v>
          </cell>
          <cell r="C302">
            <v>210.8</v>
          </cell>
          <cell r="D302">
            <v>10</v>
          </cell>
          <cell r="E302">
            <v>0</v>
          </cell>
          <cell r="F302">
            <v>2108</v>
          </cell>
        </row>
        <row r="303">
          <cell r="A303">
            <v>10360</v>
          </cell>
          <cell r="B303">
            <v>49</v>
          </cell>
          <cell r="C303">
            <v>16</v>
          </cell>
          <cell r="D303">
            <v>35</v>
          </cell>
          <cell r="E303">
            <v>0</v>
          </cell>
          <cell r="F303">
            <v>560</v>
          </cell>
        </row>
        <row r="304">
          <cell r="A304">
            <v>10360</v>
          </cell>
          <cell r="B304">
            <v>54</v>
          </cell>
          <cell r="C304">
            <v>5.9</v>
          </cell>
          <cell r="D304">
            <v>28</v>
          </cell>
          <cell r="E304">
            <v>0</v>
          </cell>
          <cell r="F304">
            <v>165.20000000000002</v>
          </cell>
        </row>
        <row r="305">
          <cell r="A305">
            <v>10361</v>
          </cell>
          <cell r="B305">
            <v>39</v>
          </cell>
          <cell r="C305">
            <v>14.4</v>
          </cell>
          <cell r="D305">
            <v>54</v>
          </cell>
          <cell r="E305">
            <v>0.10000000149011612</v>
          </cell>
          <cell r="F305">
            <v>699.83999884128571</v>
          </cell>
        </row>
        <row r="306">
          <cell r="A306">
            <v>10361</v>
          </cell>
          <cell r="B306">
            <v>60</v>
          </cell>
          <cell r="C306">
            <v>27.2</v>
          </cell>
          <cell r="D306">
            <v>55</v>
          </cell>
          <cell r="E306">
            <v>0.10000000149011612</v>
          </cell>
          <cell r="F306">
            <v>1346.3999977707863</v>
          </cell>
        </row>
        <row r="307">
          <cell r="A307">
            <v>10362</v>
          </cell>
          <cell r="B307">
            <v>25</v>
          </cell>
          <cell r="C307">
            <v>11.2</v>
          </cell>
          <cell r="D307">
            <v>50</v>
          </cell>
          <cell r="E307">
            <v>0</v>
          </cell>
          <cell r="F307">
            <v>560</v>
          </cell>
        </row>
        <row r="308">
          <cell r="A308">
            <v>10362</v>
          </cell>
          <cell r="B308">
            <v>51</v>
          </cell>
          <cell r="C308">
            <v>42.4</v>
          </cell>
          <cell r="D308">
            <v>20</v>
          </cell>
          <cell r="E308">
            <v>0</v>
          </cell>
          <cell r="F308">
            <v>848</v>
          </cell>
        </row>
        <row r="309">
          <cell r="A309">
            <v>10362</v>
          </cell>
          <cell r="B309">
            <v>54</v>
          </cell>
          <cell r="C309">
            <v>5.9</v>
          </cell>
          <cell r="D309">
            <v>24</v>
          </cell>
          <cell r="E309">
            <v>0</v>
          </cell>
          <cell r="F309">
            <v>141.60000000000002</v>
          </cell>
        </row>
        <row r="310">
          <cell r="A310">
            <v>10363</v>
          </cell>
          <cell r="B310">
            <v>31</v>
          </cell>
          <cell r="C310">
            <v>10</v>
          </cell>
          <cell r="D310">
            <v>20</v>
          </cell>
          <cell r="E310">
            <v>0</v>
          </cell>
          <cell r="F310">
            <v>200</v>
          </cell>
        </row>
        <row r="311">
          <cell r="A311">
            <v>10363</v>
          </cell>
          <cell r="B311">
            <v>75</v>
          </cell>
          <cell r="C311">
            <v>6.2</v>
          </cell>
          <cell r="D311">
            <v>12</v>
          </cell>
          <cell r="E311">
            <v>0</v>
          </cell>
          <cell r="F311">
            <v>74.400000000000006</v>
          </cell>
        </row>
        <row r="312">
          <cell r="A312">
            <v>10363</v>
          </cell>
          <cell r="B312">
            <v>76</v>
          </cell>
          <cell r="C312">
            <v>14.4</v>
          </cell>
          <cell r="D312">
            <v>12</v>
          </cell>
          <cell r="E312">
            <v>0</v>
          </cell>
          <cell r="F312">
            <v>172.8</v>
          </cell>
        </row>
        <row r="313">
          <cell r="A313">
            <v>10364</v>
          </cell>
          <cell r="B313">
            <v>69</v>
          </cell>
          <cell r="C313">
            <v>28.8</v>
          </cell>
          <cell r="D313">
            <v>30</v>
          </cell>
          <cell r="E313">
            <v>0</v>
          </cell>
          <cell r="F313">
            <v>864</v>
          </cell>
        </row>
        <row r="314">
          <cell r="A314">
            <v>10364</v>
          </cell>
          <cell r="B314">
            <v>71</v>
          </cell>
          <cell r="C314">
            <v>17.2</v>
          </cell>
          <cell r="D314">
            <v>5</v>
          </cell>
          <cell r="E314">
            <v>0</v>
          </cell>
          <cell r="F314">
            <v>86</v>
          </cell>
        </row>
        <row r="315">
          <cell r="A315">
            <v>10365</v>
          </cell>
          <cell r="B315">
            <v>11</v>
          </cell>
          <cell r="C315">
            <v>16.8</v>
          </cell>
          <cell r="D315">
            <v>24</v>
          </cell>
          <cell r="E315">
            <v>0</v>
          </cell>
          <cell r="F315">
            <v>403.20000000000005</v>
          </cell>
        </row>
        <row r="316">
          <cell r="A316">
            <v>10366</v>
          </cell>
          <cell r="B316">
            <v>65</v>
          </cell>
          <cell r="C316">
            <v>16.8</v>
          </cell>
          <cell r="D316">
            <v>5</v>
          </cell>
          <cell r="E316">
            <v>0</v>
          </cell>
          <cell r="F316">
            <v>84</v>
          </cell>
        </row>
        <row r="317">
          <cell r="A317">
            <v>10366</v>
          </cell>
          <cell r="B317">
            <v>77</v>
          </cell>
          <cell r="C317">
            <v>10.4</v>
          </cell>
          <cell r="D317">
            <v>5</v>
          </cell>
          <cell r="E317">
            <v>0</v>
          </cell>
          <cell r="F317">
            <v>52</v>
          </cell>
        </row>
        <row r="318">
          <cell r="A318">
            <v>10367</v>
          </cell>
          <cell r="B318">
            <v>34</v>
          </cell>
          <cell r="C318">
            <v>11.2</v>
          </cell>
          <cell r="D318">
            <v>36</v>
          </cell>
          <cell r="E318">
            <v>0</v>
          </cell>
          <cell r="F318">
            <v>403.2</v>
          </cell>
        </row>
        <row r="319">
          <cell r="A319">
            <v>10367</v>
          </cell>
          <cell r="B319">
            <v>54</v>
          </cell>
          <cell r="C319">
            <v>5.9</v>
          </cell>
          <cell r="D319">
            <v>18</v>
          </cell>
          <cell r="E319">
            <v>0</v>
          </cell>
          <cell r="F319">
            <v>106.2</v>
          </cell>
        </row>
        <row r="320">
          <cell r="A320">
            <v>10367</v>
          </cell>
          <cell r="B320">
            <v>65</v>
          </cell>
          <cell r="C320">
            <v>16.8</v>
          </cell>
          <cell r="D320">
            <v>15</v>
          </cell>
          <cell r="E320">
            <v>0</v>
          </cell>
          <cell r="F320">
            <v>252</v>
          </cell>
        </row>
        <row r="321">
          <cell r="A321">
            <v>10367</v>
          </cell>
          <cell r="B321">
            <v>77</v>
          </cell>
          <cell r="C321">
            <v>10.4</v>
          </cell>
          <cell r="D321">
            <v>7</v>
          </cell>
          <cell r="E321">
            <v>0</v>
          </cell>
          <cell r="F321">
            <v>72.8</v>
          </cell>
        </row>
        <row r="322">
          <cell r="A322">
            <v>10368</v>
          </cell>
          <cell r="B322">
            <v>21</v>
          </cell>
          <cell r="C322">
            <v>8</v>
          </cell>
          <cell r="D322">
            <v>5</v>
          </cell>
          <cell r="E322">
            <v>0.10000000149011612</v>
          </cell>
          <cell r="F322">
            <v>35.999999940395355</v>
          </cell>
        </row>
        <row r="323">
          <cell r="A323">
            <v>10368</v>
          </cell>
          <cell r="B323">
            <v>28</v>
          </cell>
          <cell r="C323">
            <v>36.4</v>
          </cell>
          <cell r="D323">
            <v>13</v>
          </cell>
          <cell r="E323">
            <v>0.10000000149011612</v>
          </cell>
          <cell r="F323">
            <v>425.87999929487705</v>
          </cell>
        </row>
        <row r="324">
          <cell r="A324">
            <v>10368</v>
          </cell>
          <cell r="B324">
            <v>57</v>
          </cell>
          <cell r="C324">
            <v>15.6</v>
          </cell>
          <cell r="D324">
            <v>25</v>
          </cell>
          <cell r="E324">
            <v>0</v>
          </cell>
          <cell r="F324">
            <v>390</v>
          </cell>
        </row>
        <row r="325">
          <cell r="A325">
            <v>10368</v>
          </cell>
          <cell r="B325">
            <v>64</v>
          </cell>
          <cell r="C325">
            <v>26.6</v>
          </cell>
          <cell r="D325">
            <v>35</v>
          </cell>
          <cell r="E325">
            <v>0.10000000149011612</v>
          </cell>
          <cell r="F325">
            <v>837.89999861270189</v>
          </cell>
        </row>
        <row r="326">
          <cell r="A326">
            <v>10369</v>
          </cell>
          <cell r="B326">
            <v>29</v>
          </cell>
          <cell r="C326">
            <v>99</v>
          </cell>
          <cell r="D326">
            <v>20</v>
          </cell>
          <cell r="E326">
            <v>0</v>
          </cell>
          <cell r="F326">
            <v>1980</v>
          </cell>
        </row>
        <row r="327">
          <cell r="A327">
            <v>10369</v>
          </cell>
          <cell r="B327">
            <v>56</v>
          </cell>
          <cell r="C327">
            <v>30.4</v>
          </cell>
          <cell r="D327">
            <v>18</v>
          </cell>
          <cell r="E327">
            <v>0.25</v>
          </cell>
          <cell r="F327">
            <v>410.4</v>
          </cell>
        </row>
        <row r="328">
          <cell r="A328">
            <v>10370</v>
          </cell>
          <cell r="B328">
            <v>1</v>
          </cell>
          <cell r="C328">
            <v>14.4</v>
          </cell>
          <cell r="D328">
            <v>15</v>
          </cell>
          <cell r="E328">
            <v>0.15000000596046448</v>
          </cell>
          <cell r="F328">
            <v>183.59999871253967</v>
          </cell>
        </row>
        <row r="329">
          <cell r="A329">
            <v>10370</v>
          </cell>
          <cell r="B329">
            <v>64</v>
          </cell>
          <cell r="C329">
            <v>26.6</v>
          </cell>
          <cell r="D329">
            <v>30</v>
          </cell>
          <cell r="E329">
            <v>0</v>
          </cell>
          <cell r="F329">
            <v>798</v>
          </cell>
        </row>
        <row r="330">
          <cell r="A330">
            <v>10370</v>
          </cell>
          <cell r="B330">
            <v>74</v>
          </cell>
          <cell r="C330">
            <v>8</v>
          </cell>
          <cell r="D330">
            <v>20</v>
          </cell>
          <cell r="E330">
            <v>0.15000000596046448</v>
          </cell>
          <cell r="F330">
            <v>135.99999904632568</v>
          </cell>
        </row>
        <row r="331">
          <cell r="A331">
            <v>10371</v>
          </cell>
          <cell r="B331">
            <v>36</v>
          </cell>
          <cell r="C331">
            <v>15.2</v>
          </cell>
          <cell r="D331">
            <v>6</v>
          </cell>
          <cell r="E331">
            <v>0.20000000298023224</v>
          </cell>
          <cell r="F331">
            <v>72.959999728202817</v>
          </cell>
        </row>
        <row r="332">
          <cell r="A332">
            <v>10372</v>
          </cell>
          <cell r="B332">
            <v>20</v>
          </cell>
          <cell r="C332">
            <v>64.8</v>
          </cell>
          <cell r="D332">
            <v>12</v>
          </cell>
          <cell r="E332">
            <v>0.25</v>
          </cell>
          <cell r="F332">
            <v>583.19999999999993</v>
          </cell>
        </row>
        <row r="333">
          <cell r="A333">
            <v>10372</v>
          </cell>
          <cell r="B333">
            <v>38</v>
          </cell>
          <cell r="C333">
            <v>210.8</v>
          </cell>
          <cell r="D333">
            <v>40</v>
          </cell>
          <cell r="E333">
            <v>0.25</v>
          </cell>
          <cell r="F333">
            <v>6324</v>
          </cell>
        </row>
        <row r="334">
          <cell r="A334">
            <v>10372</v>
          </cell>
          <cell r="B334">
            <v>60</v>
          </cell>
          <cell r="C334">
            <v>27.2</v>
          </cell>
          <cell r="D334">
            <v>70</v>
          </cell>
          <cell r="E334">
            <v>0.25</v>
          </cell>
          <cell r="F334">
            <v>1428</v>
          </cell>
        </row>
        <row r="335">
          <cell r="A335">
            <v>10372</v>
          </cell>
          <cell r="B335">
            <v>72</v>
          </cell>
          <cell r="C335">
            <v>27.8</v>
          </cell>
          <cell r="D335">
            <v>42</v>
          </cell>
          <cell r="E335">
            <v>0.25</v>
          </cell>
          <cell r="F335">
            <v>875.7</v>
          </cell>
        </row>
        <row r="336">
          <cell r="A336">
            <v>10373</v>
          </cell>
          <cell r="B336">
            <v>58</v>
          </cell>
          <cell r="C336">
            <v>10.6</v>
          </cell>
          <cell r="D336">
            <v>80</v>
          </cell>
          <cell r="E336">
            <v>0.20000000298023224</v>
          </cell>
          <cell r="F336">
            <v>678.39999747276306</v>
          </cell>
        </row>
        <row r="337">
          <cell r="A337">
            <v>10373</v>
          </cell>
          <cell r="B337">
            <v>71</v>
          </cell>
          <cell r="C337">
            <v>17.2</v>
          </cell>
          <cell r="D337">
            <v>50</v>
          </cell>
          <cell r="E337">
            <v>0.20000000298023224</v>
          </cell>
          <cell r="F337">
            <v>687.99999743700027</v>
          </cell>
        </row>
        <row r="338">
          <cell r="A338">
            <v>10374</v>
          </cell>
          <cell r="B338">
            <v>31</v>
          </cell>
          <cell r="C338">
            <v>10</v>
          </cell>
          <cell r="D338">
            <v>30</v>
          </cell>
          <cell r="E338">
            <v>0</v>
          </cell>
          <cell r="F338">
            <v>300</v>
          </cell>
        </row>
        <row r="339">
          <cell r="A339">
            <v>10374</v>
          </cell>
          <cell r="B339">
            <v>58</v>
          </cell>
          <cell r="C339">
            <v>10.6</v>
          </cell>
          <cell r="D339">
            <v>15</v>
          </cell>
          <cell r="E339">
            <v>0</v>
          </cell>
          <cell r="F339">
            <v>159</v>
          </cell>
        </row>
        <row r="340">
          <cell r="A340">
            <v>10375</v>
          </cell>
          <cell r="B340">
            <v>14</v>
          </cell>
          <cell r="C340">
            <v>18.600000000000001</v>
          </cell>
          <cell r="D340">
            <v>15</v>
          </cell>
          <cell r="E340">
            <v>0</v>
          </cell>
          <cell r="F340">
            <v>279</v>
          </cell>
        </row>
        <row r="341">
          <cell r="A341">
            <v>10375</v>
          </cell>
          <cell r="B341">
            <v>54</v>
          </cell>
          <cell r="C341">
            <v>5.9</v>
          </cell>
          <cell r="D341">
            <v>10</v>
          </cell>
          <cell r="E341">
            <v>0</v>
          </cell>
          <cell r="F341">
            <v>59</v>
          </cell>
        </row>
        <row r="342">
          <cell r="A342">
            <v>10376</v>
          </cell>
          <cell r="B342">
            <v>31</v>
          </cell>
          <cell r="C342">
            <v>10</v>
          </cell>
          <cell r="D342">
            <v>42</v>
          </cell>
          <cell r="E342">
            <v>5.000000074505806E-2</v>
          </cell>
          <cell r="F342">
            <v>398.99999968707561</v>
          </cell>
        </row>
        <row r="343">
          <cell r="A343">
            <v>10377</v>
          </cell>
          <cell r="B343">
            <v>28</v>
          </cell>
          <cell r="C343">
            <v>36.4</v>
          </cell>
          <cell r="D343">
            <v>20</v>
          </cell>
          <cell r="E343">
            <v>0.15000000596046448</v>
          </cell>
          <cell r="F343">
            <v>618.79999566078186</v>
          </cell>
        </row>
        <row r="344">
          <cell r="A344">
            <v>10377</v>
          </cell>
          <cell r="B344">
            <v>39</v>
          </cell>
          <cell r="C344">
            <v>14.4</v>
          </cell>
          <cell r="D344">
            <v>20</v>
          </cell>
          <cell r="E344">
            <v>0.15000000596046448</v>
          </cell>
          <cell r="F344">
            <v>244.79999828338623</v>
          </cell>
        </row>
        <row r="345">
          <cell r="A345">
            <v>10378</v>
          </cell>
          <cell r="B345">
            <v>71</v>
          </cell>
          <cell r="C345">
            <v>17.2</v>
          </cell>
          <cell r="D345">
            <v>6</v>
          </cell>
          <cell r="E345">
            <v>0</v>
          </cell>
          <cell r="F345">
            <v>103.19999999999999</v>
          </cell>
        </row>
        <row r="346">
          <cell r="A346">
            <v>10379</v>
          </cell>
          <cell r="B346">
            <v>41</v>
          </cell>
          <cell r="C346">
            <v>7.7</v>
          </cell>
          <cell r="D346">
            <v>8</v>
          </cell>
          <cell r="E346">
            <v>0.10000000149011612</v>
          </cell>
          <cell r="F346">
            <v>55.439999908208847</v>
          </cell>
        </row>
        <row r="347">
          <cell r="A347">
            <v>10379</v>
          </cell>
          <cell r="B347">
            <v>63</v>
          </cell>
          <cell r="C347">
            <v>35.1</v>
          </cell>
          <cell r="D347">
            <v>16</v>
          </cell>
          <cell r="E347">
            <v>0.10000000149011612</v>
          </cell>
          <cell r="F347">
            <v>505.43999916315079</v>
          </cell>
        </row>
        <row r="348">
          <cell r="A348">
            <v>10379</v>
          </cell>
          <cell r="B348">
            <v>65</v>
          </cell>
          <cell r="C348">
            <v>16.8</v>
          </cell>
          <cell r="D348">
            <v>20</v>
          </cell>
          <cell r="E348">
            <v>0.10000000149011612</v>
          </cell>
          <cell r="F348">
            <v>302.39999949932098</v>
          </cell>
        </row>
        <row r="349">
          <cell r="A349">
            <v>10380</v>
          </cell>
          <cell r="B349">
            <v>30</v>
          </cell>
          <cell r="C349">
            <v>20.7</v>
          </cell>
          <cell r="D349">
            <v>18</v>
          </cell>
          <cell r="E349">
            <v>0.10000000149011612</v>
          </cell>
          <cell r="F349">
            <v>335.33999944478268</v>
          </cell>
        </row>
        <row r="350">
          <cell r="A350">
            <v>10380</v>
          </cell>
          <cell r="B350">
            <v>53</v>
          </cell>
          <cell r="C350">
            <v>26.2</v>
          </cell>
          <cell r="D350">
            <v>20</v>
          </cell>
          <cell r="E350">
            <v>0.10000000149011612</v>
          </cell>
          <cell r="F350">
            <v>471.59999921917915</v>
          </cell>
        </row>
        <row r="351">
          <cell r="A351">
            <v>10380</v>
          </cell>
          <cell r="B351">
            <v>60</v>
          </cell>
          <cell r="C351">
            <v>27.2</v>
          </cell>
          <cell r="D351">
            <v>6</v>
          </cell>
          <cell r="E351">
            <v>0.10000000149011612</v>
          </cell>
          <cell r="F351">
            <v>146.87999975681305</v>
          </cell>
        </row>
        <row r="352">
          <cell r="A352">
            <v>10380</v>
          </cell>
          <cell r="B352">
            <v>70</v>
          </cell>
          <cell r="C352">
            <v>12</v>
          </cell>
          <cell r="D352">
            <v>30</v>
          </cell>
          <cell r="E352">
            <v>0</v>
          </cell>
          <cell r="F352">
            <v>360</v>
          </cell>
        </row>
        <row r="353">
          <cell r="A353">
            <v>10381</v>
          </cell>
          <cell r="B353">
            <v>74</v>
          </cell>
          <cell r="C353">
            <v>8</v>
          </cell>
          <cell r="D353">
            <v>14</v>
          </cell>
          <cell r="E353">
            <v>0</v>
          </cell>
          <cell r="F353">
            <v>112</v>
          </cell>
        </row>
        <row r="354">
          <cell r="A354">
            <v>10382</v>
          </cell>
          <cell r="B354">
            <v>5</v>
          </cell>
          <cell r="C354">
            <v>17</v>
          </cell>
          <cell r="D354">
            <v>32</v>
          </cell>
          <cell r="E354">
            <v>0</v>
          </cell>
          <cell r="F354">
            <v>544</v>
          </cell>
        </row>
        <row r="355">
          <cell r="A355">
            <v>10382</v>
          </cell>
          <cell r="B355">
            <v>18</v>
          </cell>
          <cell r="C355">
            <v>50</v>
          </cell>
          <cell r="D355">
            <v>9</v>
          </cell>
          <cell r="E355">
            <v>0</v>
          </cell>
          <cell r="F355">
            <v>450</v>
          </cell>
        </row>
        <row r="356">
          <cell r="A356">
            <v>10382</v>
          </cell>
          <cell r="B356">
            <v>29</v>
          </cell>
          <cell r="C356">
            <v>99</v>
          </cell>
          <cell r="D356">
            <v>14</v>
          </cell>
          <cell r="E356">
            <v>0</v>
          </cell>
          <cell r="F356">
            <v>1386</v>
          </cell>
        </row>
        <row r="357">
          <cell r="A357">
            <v>10382</v>
          </cell>
          <cell r="B357">
            <v>33</v>
          </cell>
          <cell r="C357">
            <v>2</v>
          </cell>
          <cell r="D357">
            <v>60</v>
          </cell>
          <cell r="E357">
            <v>0</v>
          </cell>
          <cell r="F357">
            <v>120</v>
          </cell>
        </row>
        <row r="358">
          <cell r="A358">
            <v>10382</v>
          </cell>
          <cell r="B358">
            <v>74</v>
          </cell>
          <cell r="C358">
            <v>8</v>
          </cell>
          <cell r="D358">
            <v>50</v>
          </cell>
          <cell r="E358">
            <v>0</v>
          </cell>
          <cell r="F358">
            <v>400</v>
          </cell>
        </row>
        <row r="359">
          <cell r="A359">
            <v>10383</v>
          </cell>
          <cell r="B359">
            <v>13</v>
          </cell>
          <cell r="C359">
            <v>4.8</v>
          </cell>
          <cell r="D359">
            <v>20</v>
          </cell>
          <cell r="E359">
            <v>0</v>
          </cell>
          <cell r="F359">
            <v>96</v>
          </cell>
        </row>
        <row r="360">
          <cell r="A360">
            <v>10383</v>
          </cell>
          <cell r="B360">
            <v>50</v>
          </cell>
          <cell r="C360">
            <v>13</v>
          </cell>
          <cell r="D360">
            <v>15</v>
          </cell>
          <cell r="E360">
            <v>0</v>
          </cell>
          <cell r="F360">
            <v>195</v>
          </cell>
        </row>
        <row r="361">
          <cell r="A361">
            <v>10383</v>
          </cell>
          <cell r="B361">
            <v>56</v>
          </cell>
          <cell r="C361">
            <v>30.4</v>
          </cell>
          <cell r="D361">
            <v>20</v>
          </cell>
          <cell r="E361">
            <v>0</v>
          </cell>
          <cell r="F361">
            <v>608</v>
          </cell>
        </row>
        <row r="362">
          <cell r="A362">
            <v>10384</v>
          </cell>
          <cell r="B362">
            <v>20</v>
          </cell>
          <cell r="C362">
            <v>64.8</v>
          </cell>
          <cell r="D362">
            <v>28</v>
          </cell>
          <cell r="E362">
            <v>0</v>
          </cell>
          <cell r="F362">
            <v>1814.3999999999999</v>
          </cell>
        </row>
        <row r="363">
          <cell r="A363">
            <v>10384</v>
          </cell>
          <cell r="B363">
            <v>60</v>
          </cell>
          <cell r="C363">
            <v>27.2</v>
          </cell>
          <cell r="D363">
            <v>15</v>
          </cell>
          <cell r="E363">
            <v>0</v>
          </cell>
          <cell r="F363">
            <v>408</v>
          </cell>
        </row>
        <row r="364">
          <cell r="A364">
            <v>10385</v>
          </cell>
          <cell r="B364">
            <v>7</v>
          </cell>
          <cell r="C364">
            <v>24</v>
          </cell>
          <cell r="D364">
            <v>10</v>
          </cell>
          <cell r="E364">
            <v>0.20000000298023224</v>
          </cell>
          <cell r="F364">
            <v>191.99999928474426</v>
          </cell>
        </row>
        <row r="365">
          <cell r="A365">
            <v>10385</v>
          </cell>
          <cell r="B365">
            <v>60</v>
          </cell>
          <cell r="C365">
            <v>27.2</v>
          </cell>
          <cell r="D365">
            <v>20</v>
          </cell>
          <cell r="E365">
            <v>0.20000000298023224</v>
          </cell>
          <cell r="F365">
            <v>435.19999837875366</v>
          </cell>
        </row>
        <row r="366">
          <cell r="A366">
            <v>10385</v>
          </cell>
          <cell r="B366">
            <v>68</v>
          </cell>
          <cell r="C366">
            <v>10</v>
          </cell>
          <cell r="D366">
            <v>8</v>
          </cell>
          <cell r="E366">
            <v>0.20000000298023224</v>
          </cell>
          <cell r="F366">
            <v>63.999999761581421</v>
          </cell>
        </row>
        <row r="367">
          <cell r="A367">
            <v>10386</v>
          </cell>
          <cell r="B367">
            <v>24</v>
          </cell>
          <cell r="C367">
            <v>3.6</v>
          </cell>
          <cell r="D367">
            <v>15</v>
          </cell>
          <cell r="E367">
            <v>0</v>
          </cell>
          <cell r="F367">
            <v>54</v>
          </cell>
        </row>
        <row r="368">
          <cell r="A368">
            <v>10386</v>
          </cell>
          <cell r="B368">
            <v>34</v>
          </cell>
          <cell r="C368">
            <v>11.2</v>
          </cell>
          <cell r="D368">
            <v>10</v>
          </cell>
          <cell r="E368">
            <v>0</v>
          </cell>
          <cell r="F368">
            <v>112</v>
          </cell>
        </row>
        <row r="369">
          <cell r="A369">
            <v>10387</v>
          </cell>
          <cell r="B369">
            <v>24</v>
          </cell>
          <cell r="C369">
            <v>3.6</v>
          </cell>
          <cell r="D369">
            <v>15</v>
          </cell>
          <cell r="E369">
            <v>0</v>
          </cell>
          <cell r="F369">
            <v>54</v>
          </cell>
        </row>
        <row r="370">
          <cell r="A370">
            <v>10387</v>
          </cell>
          <cell r="B370">
            <v>28</v>
          </cell>
          <cell r="C370">
            <v>36.4</v>
          </cell>
          <cell r="D370">
            <v>6</v>
          </cell>
          <cell r="E370">
            <v>0</v>
          </cell>
          <cell r="F370">
            <v>218.39999999999998</v>
          </cell>
        </row>
        <row r="371">
          <cell r="A371">
            <v>10387</v>
          </cell>
          <cell r="B371">
            <v>59</v>
          </cell>
          <cell r="C371">
            <v>44</v>
          </cell>
          <cell r="D371">
            <v>12</v>
          </cell>
          <cell r="E371">
            <v>0</v>
          </cell>
          <cell r="F371">
            <v>528</v>
          </cell>
        </row>
        <row r="372">
          <cell r="A372">
            <v>10387</v>
          </cell>
          <cell r="B372">
            <v>71</v>
          </cell>
          <cell r="C372">
            <v>17.2</v>
          </cell>
          <cell r="D372">
            <v>15</v>
          </cell>
          <cell r="E372">
            <v>0</v>
          </cell>
          <cell r="F372">
            <v>258</v>
          </cell>
        </row>
        <row r="373">
          <cell r="A373">
            <v>10388</v>
          </cell>
          <cell r="B373">
            <v>45</v>
          </cell>
          <cell r="C373">
            <v>7.6</v>
          </cell>
          <cell r="D373">
            <v>15</v>
          </cell>
          <cell r="E373">
            <v>0.20000000298023224</v>
          </cell>
          <cell r="F373">
            <v>91.199999660253525</v>
          </cell>
        </row>
        <row r="374">
          <cell r="A374">
            <v>10388</v>
          </cell>
          <cell r="B374">
            <v>52</v>
          </cell>
          <cell r="C374">
            <v>5.6</v>
          </cell>
          <cell r="D374">
            <v>20</v>
          </cell>
          <cell r="E374">
            <v>0.20000000298023224</v>
          </cell>
          <cell r="F374">
            <v>89.599999666213989</v>
          </cell>
        </row>
        <row r="375">
          <cell r="A375">
            <v>10388</v>
          </cell>
          <cell r="B375">
            <v>53</v>
          </cell>
          <cell r="C375">
            <v>26.2</v>
          </cell>
          <cell r="D375">
            <v>40</v>
          </cell>
          <cell r="E375">
            <v>0</v>
          </cell>
          <cell r="F375">
            <v>1048</v>
          </cell>
        </row>
        <row r="376">
          <cell r="A376">
            <v>10389</v>
          </cell>
          <cell r="B376">
            <v>10</v>
          </cell>
          <cell r="C376">
            <v>24.8</v>
          </cell>
          <cell r="D376">
            <v>16</v>
          </cell>
          <cell r="E376">
            <v>0</v>
          </cell>
          <cell r="F376">
            <v>396.8</v>
          </cell>
        </row>
        <row r="377">
          <cell r="A377">
            <v>10389</v>
          </cell>
          <cell r="B377">
            <v>55</v>
          </cell>
          <cell r="C377">
            <v>19.2</v>
          </cell>
          <cell r="D377">
            <v>15</v>
          </cell>
          <cell r="E377">
            <v>0</v>
          </cell>
          <cell r="F377">
            <v>288</v>
          </cell>
        </row>
        <row r="378">
          <cell r="A378">
            <v>10389</v>
          </cell>
          <cell r="B378">
            <v>62</v>
          </cell>
          <cell r="C378">
            <v>39.4</v>
          </cell>
          <cell r="D378">
            <v>20</v>
          </cell>
          <cell r="E378">
            <v>0</v>
          </cell>
          <cell r="F378">
            <v>788</v>
          </cell>
        </row>
        <row r="379">
          <cell r="A379">
            <v>10389</v>
          </cell>
          <cell r="B379">
            <v>70</v>
          </cell>
          <cell r="C379">
            <v>12</v>
          </cell>
          <cell r="D379">
            <v>30</v>
          </cell>
          <cell r="E379">
            <v>0</v>
          </cell>
          <cell r="F379">
            <v>360</v>
          </cell>
        </row>
        <row r="380">
          <cell r="A380">
            <v>10390</v>
          </cell>
          <cell r="B380">
            <v>31</v>
          </cell>
          <cell r="C380">
            <v>10</v>
          </cell>
          <cell r="D380">
            <v>60</v>
          </cell>
          <cell r="E380">
            <v>0.10000000149011612</v>
          </cell>
          <cell r="F380">
            <v>539.99999910593033</v>
          </cell>
        </row>
        <row r="381">
          <cell r="A381">
            <v>10390</v>
          </cell>
          <cell r="B381">
            <v>35</v>
          </cell>
          <cell r="C381">
            <v>14.4</v>
          </cell>
          <cell r="D381">
            <v>40</v>
          </cell>
          <cell r="E381">
            <v>0.10000000149011612</v>
          </cell>
          <cell r="F381">
            <v>518.39999914169312</v>
          </cell>
        </row>
        <row r="382">
          <cell r="A382">
            <v>10390</v>
          </cell>
          <cell r="B382">
            <v>46</v>
          </cell>
          <cell r="C382">
            <v>9.6</v>
          </cell>
          <cell r="D382">
            <v>45</v>
          </cell>
          <cell r="E382">
            <v>0</v>
          </cell>
          <cell r="F382">
            <v>432</v>
          </cell>
        </row>
        <row r="383">
          <cell r="A383">
            <v>10390</v>
          </cell>
          <cell r="B383">
            <v>72</v>
          </cell>
          <cell r="C383">
            <v>27.8</v>
          </cell>
          <cell r="D383">
            <v>24</v>
          </cell>
          <cell r="E383">
            <v>0.10000000149011612</v>
          </cell>
          <cell r="F383">
            <v>600.47999900579453</v>
          </cell>
        </row>
        <row r="384">
          <cell r="A384">
            <v>10391</v>
          </cell>
          <cell r="B384">
            <v>13</v>
          </cell>
          <cell r="C384">
            <v>4.8</v>
          </cell>
          <cell r="D384">
            <v>18</v>
          </cell>
          <cell r="E384">
            <v>0</v>
          </cell>
          <cell r="F384">
            <v>86.399999999999991</v>
          </cell>
        </row>
        <row r="385">
          <cell r="A385">
            <v>10392</v>
          </cell>
          <cell r="B385">
            <v>69</v>
          </cell>
          <cell r="C385">
            <v>28.8</v>
          </cell>
          <cell r="D385">
            <v>50</v>
          </cell>
          <cell r="E385">
            <v>0</v>
          </cell>
          <cell r="F385">
            <v>1440</v>
          </cell>
        </row>
        <row r="386">
          <cell r="A386">
            <v>10393</v>
          </cell>
          <cell r="B386">
            <v>2</v>
          </cell>
          <cell r="C386">
            <v>15.2</v>
          </cell>
          <cell r="D386">
            <v>25</v>
          </cell>
          <cell r="E386">
            <v>0.25</v>
          </cell>
          <cell r="F386">
            <v>285</v>
          </cell>
        </row>
        <row r="387">
          <cell r="A387">
            <v>10393</v>
          </cell>
          <cell r="B387">
            <v>14</v>
          </cell>
          <cell r="C387">
            <v>18.600000000000001</v>
          </cell>
          <cell r="D387">
            <v>42</v>
          </cell>
          <cell r="E387">
            <v>0.25</v>
          </cell>
          <cell r="F387">
            <v>585.90000000000009</v>
          </cell>
        </row>
        <row r="388">
          <cell r="A388">
            <v>10393</v>
          </cell>
          <cell r="B388">
            <v>25</v>
          </cell>
          <cell r="C388">
            <v>11.2</v>
          </cell>
          <cell r="D388">
            <v>7</v>
          </cell>
          <cell r="E388">
            <v>0.25</v>
          </cell>
          <cell r="F388">
            <v>58.8</v>
          </cell>
        </row>
        <row r="389">
          <cell r="A389">
            <v>10393</v>
          </cell>
          <cell r="B389">
            <v>26</v>
          </cell>
          <cell r="C389">
            <v>24.9</v>
          </cell>
          <cell r="D389">
            <v>70</v>
          </cell>
          <cell r="E389">
            <v>0.25</v>
          </cell>
          <cell r="F389">
            <v>1307.25</v>
          </cell>
        </row>
        <row r="390">
          <cell r="A390">
            <v>10393</v>
          </cell>
          <cell r="B390">
            <v>31</v>
          </cell>
          <cell r="C390">
            <v>10</v>
          </cell>
          <cell r="D390">
            <v>32</v>
          </cell>
          <cell r="E390">
            <v>0</v>
          </cell>
          <cell r="F390">
            <v>320</v>
          </cell>
        </row>
        <row r="391">
          <cell r="A391">
            <v>10394</v>
          </cell>
          <cell r="B391">
            <v>13</v>
          </cell>
          <cell r="C391">
            <v>4.8</v>
          </cell>
          <cell r="D391">
            <v>10</v>
          </cell>
          <cell r="E391">
            <v>0</v>
          </cell>
          <cell r="F391">
            <v>48</v>
          </cell>
        </row>
        <row r="392">
          <cell r="A392">
            <v>10394</v>
          </cell>
          <cell r="B392">
            <v>62</v>
          </cell>
          <cell r="C392">
            <v>39.4</v>
          </cell>
          <cell r="D392">
            <v>10</v>
          </cell>
          <cell r="E392">
            <v>0</v>
          </cell>
          <cell r="F392">
            <v>394</v>
          </cell>
        </row>
        <row r="393">
          <cell r="A393">
            <v>10395</v>
          </cell>
          <cell r="B393">
            <v>46</v>
          </cell>
          <cell r="C393">
            <v>9.6</v>
          </cell>
          <cell r="D393">
            <v>28</v>
          </cell>
          <cell r="E393">
            <v>0.10000000149011612</v>
          </cell>
          <cell r="F393">
            <v>241.91999959945679</v>
          </cell>
        </row>
        <row r="394">
          <cell r="A394">
            <v>10395</v>
          </cell>
          <cell r="B394">
            <v>53</v>
          </cell>
          <cell r="C394">
            <v>26.2</v>
          </cell>
          <cell r="D394">
            <v>70</v>
          </cell>
          <cell r="E394">
            <v>0.10000000149011612</v>
          </cell>
          <cell r="F394">
            <v>1650.599997267127</v>
          </cell>
        </row>
        <row r="395">
          <cell r="A395">
            <v>10395</v>
          </cell>
          <cell r="B395">
            <v>69</v>
          </cell>
          <cell r="C395">
            <v>28.8</v>
          </cell>
          <cell r="D395">
            <v>8</v>
          </cell>
          <cell r="E395">
            <v>0</v>
          </cell>
          <cell r="F395">
            <v>230.4</v>
          </cell>
        </row>
        <row r="396">
          <cell r="A396">
            <v>10396</v>
          </cell>
          <cell r="B396">
            <v>23</v>
          </cell>
          <cell r="C396">
            <v>7.2</v>
          </cell>
          <cell r="D396">
            <v>40</v>
          </cell>
          <cell r="E396">
            <v>0</v>
          </cell>
          <cell r="F396">
            <v>288</v>
          </cell>
        </row>
        <row r="397">
          <cell r="A397">
            <v>10396</v>
          </cell>
          <cell r="B397">
            <v>71</v>
          </cell>
          <cell r="C397">
            <v>17.2</v>
          </cell>
          <cell r="D397">
            <v>60</v>
          </cell>
          <cell r="E397">
            <v>0</v>
          </cell>
          <cell r="F397">
            <v>1032</v>
          </cell>
        </row>
        <row r="398">
          <cell r="A398">
            <v>10396</v>
          </cell>
          <cell r="B398">
            <v>72</v>
          </cell>
          <cell r="C398">
            <v>27.8</v>
          </cell>
          <cell r="D398">
            <v>21</v>
          </cell>
          <cell r="E398">
            <v>0</v>
          </cell>
          <cell r="F398">
            <v>583.80000000000007</v>
          </cell>
        </row>
        <row r="399">
          <cell r="A399">
            <v>10397</v>
          </cell>
          <cell r="B399">
            <v>21</v>
          </cell>
          <cell r="C399">
            <v>8</v>
          </cell>
          <cell r="D399">
            <v>10</v>
          </cell>
          <cell r="E399">
            <v>0.15000000596046448</v>
          </cell>
          <cell r="F399">
            <v>67.999999523162842</v>
          </cell>
        </row>
        <row r="400">
          <cell r="A400">
            <v>10397</v>
          </cell>
          <cell r="B400">
            <v>51</v>
          </cell>
          <cell r="C400">
            <v>42.4</v>
          </cell>
          <cell r="D400">
            <v>18</v>
          </cell>
          <cell r="E400">
            <v>0.15000000596046448</v>
          </cell>
          <cell r="F400">
            <v>648.71999545097344</v>
          </cell>
        </row>
        <row r="401">
          <cell r="A401">
            <v>10398</v>
          </cell>
          <cell r="B401">
            <v>35</v>
          </cell>
          <cell r="C401">
            <v>14.4</v>
          </cell>
          <cell r="D401">
            <v>30</v>
          </cell>
          <cell r="E401">
            <v>0</v>
          </cell>
          <cell r="F401">
            <v>432</v>
          </cell>
        </row>
        <row r="402">
          <cell r="A402">
            <v>10398</v>
          </cell>
          <cell r="B402">
            <v>55</v>
          </cell>
          <cell r="C402">
            <v>19.2</v>
          </cell>
          <cell r="D402">
            <v>120</v>
          </cell>
          <cell r="E402">
            <v>0.10000000149011612</v>
          </cell>
          <cell r="F402">
            <v>2073.5999965667725</v>
          </cell>
        </row>
        <row r="403">
          <cell r="A403">
            <v>10399</v>
          </cell>
          <cell r="B403">
            <v>68</v>
          </cell>
          <cell r="C403">
            <v>10</v>
          </cell>
          <cell r="D403">
            <v>60</v>
          </cell>
          <cell r="E403">
            <v>0</v>
          </cell>
          <cell r="F403">
            <v>600</v>
          </cell>
        </row>
        <row r="404">
          <cell r="A404">
            <v>10399</v>
          </cell>
          <cell r="B404">
            <v>71</v>
          </cell>
          <cell r="C404">
            <v>17.2</v>
          </cell>
          <cell r="D404">
            <v>30</v>
          </cell>
          <cell r="E404">
            <v>0</v>
          </cell>
          <cell r="F404">
            <v>516</v>
          </cell>
        </row>
        <row r="405">
          <cell r="A405">
            <v>10399</v>
          </cell>
          <cell r="B405">
            <v>76</v>
          </cell>
          <cell r="C405">
            <v>14.4</v>
          </cell>
          <cell r="D405">
            <v>35</v>
          </cell>
          <cell r="E405">
            <v>0</v>
          </cell>
          <cell r="F405">
            <v>504</v>
          </cell>
        </row>
        <row r="406">
          <cell r="A406">
            <v>10399</v>
          </cell>
          <cell r="B406">
            <v>77</v>
          </cell>
          <cell r="C406">
            <v>10.4</v>
          </cell>
          <cell r="D406">
            <v>14</v>
          </cell>
          <cell r="E406">
            <v>0</v>
          </cell>
          <cell r="F406">
            <v>145.6</v>
          </cell>
        </row>
        <row r="407">
          <cell r="A407">
            <v>10400</v>
          </cell>
          <cell r="B407">
            <v>29</v>
          </cell>
          <cell r="C407">
            <v>99</v>
          </cell>
          <cell r="D407">
            <v>21</v>
          </cell>
          <cell r="E407">
            <v>0</v>
          </cell>
          <cell r="F407">
            <v>2079</v>
          </cell>
        </row>
        <row r="408">
          <cell r="A408">
            <v>10400</v>
          </cell>
          <cell r="B408">
            <v>35</v>
          </cell>
          <cell r="C408">
            <v>14.4</v>
          </cell>
          <cell r="D408">
            <v>35</v>
          </cell>
          <cell r="E408">
            <v>0</v>
          </cell>
          <cell r="F408">
            <v>504</v>
          </cell>
        </row>
        <row r="409">
          <cell r="A409">
            <v>10400</v>
          </cell>
          <cell r="B409">
            <v>49</v>
          </cell>
          <cell r="C409">
            <v>16</v>
          </cell>
          <cell r="D409">
            <v>30</v>
          </cell>
          <cell r="E409">
            <v>0</v>
          </cell>
          <cell r="F409">
            <v>480</v>
          </cell>
        </row>
        <row r="410">
          <cell r="A410">
            <v>10401</v>
          </cell>
          <cell r="B410">
            <v>30</v>
          </cell>
          <cell r="C410">
            <v>20.7</v>
          </cell>
          <cell r="D410">
            <v>18</v>
          </cell>
          <cell r="E410">
            <v>0</v>
          </cell>
          <cell r="F410">
            <v>372.59999999999997</v>
          </cell>
        </row>
        <row r="411">
          <cell r="A411">
            <v>10401</v>
          </cell>
          <cell r="B411">
            <v>56</v>
          </cell>
          <cell r="C411">
            <v>30.4</v>
          </cell>
          <cell r="D411">
            <v>70</v>
          </cell>
          <cell r="E411">
            <v>0</v>
          </cell>
          <cell r="F411">
            <v>2128</v>
          </cell>
        </row>
        <row r="412">
          <cell r="A412">
            <v>10401</v>
          </cell>
          <cell r="B412">
            <v>65</v>
          </cell>
          <cell r="C412">
            <v>16.8</v>
          </cell>
          <cell r="D412">
            <v>20</v>
          </cell>
          <cell r="E412">
            <v>0</v>
          </cell>
          <cell r="F412">
            <v>336</v>
          </cell>
        </row>
        <row r="413">
          <cell r="A413">
            <v>10401</v>
          </cell>
          <cell r="B413">
            <v>71</v>
          </cell>
          <cell r="C413">
            <v>17.2</v>
          </cell>
          <cell r="D413">
            <v>60</v>
          </cell>
          <cell r="E413">
            <v>0</v>
          </cell>
          <cell r="F413">
            <v>1032</v>
          </cell>
        </row>
        <row r="414">
          <cell r="A414">
            <v>10402</v>
          </cell>
          <cell r="B414">
            <v>23</v>
          </cell>
          <cell r="C414">
            <v>7.2</v>
          </cell>
          <cell r="D414">
            <v>60</v>
          </cell>
          <cell r="E414">
            <v>0</v>
          </cell>
          <cell r="F414">
            <v>432</v>
          </cell>
        </row>
        <row r="415">
          <cell r="A415">
            <v>10402</v>
          </cell>
          <cell r="B415">
            <v>63</v>
          </cell>
          <cell r="C415">
            <v>35.1</v>
          </cell>
          <cell r="D415">
            <v>65</v>
          </cell>
          <cell r="E415">
            <v>0</v>
          </cell>
          <cell r="F415">
            <v>2281.5</v>
          </cell>
        </row>
        <row r="416">
          <cell r="A416">
            <v>10403</v>
          </cell>
          <cell r="B416">
            <v>16</v>
          </cell>
          <cell r="C416">
            <v>13.9</v>
          </cell>
          <cell r="D416">
            <v>21</v>
          </cell>
          <cell r="E416">
            <v>0.15000000596046448</v>
          </cell>
          <cell r="F416">
            <v>248.11499826014045</v>
          </cell>
        </row>
        <row r="417">
          <cell r="A417">
            <v>10403</v>
          </cell>
          <cell r="B417">
            <v>48</v>
          </cell>
          <cell r="C417">
            <v>10.199999999999999</v>
          </cell>
          <cell r="D417">
            <v>70</v>
          </cell>
          <cell r="E417">
            <v>0.15000000596046448</v>
          </cell>
          <cell r="F417">
            <v>606.89999574422836</v>
          </cell>
        </row>
        <row r="418">
          <cell r="A418">
            <v>10404</v>
          </cell>
          <cell r="B418">
            <v>26</v>
          </cell>
          <cell r="C418">
            <v>24.9</v>
          </cell>
          <cell r="D418">
            <v>30</v>
          </cell>
          <cell r="E418">
            <v>5.000000074505806E-2</v>
          </cell>
          <cell r="F418">
            <v>709.64999944344163</v>
          </cell>
        </row>
        <row r="419">
          <cell r="A419">
            <v>10404</v>
          </cell>
          <cell r="B419">
            <v>42</v>
          </cell>
          <cell r="C419">
            <v>11.2</v>
          </cell>
          <cell r="D419">
            <v>40</v>
          </cell>
          <cell r="E419">
            <v>5.000000074505806E-2</v>
          </cell>
          <cell r="F419">
            <v>425.59999966621399</v>
          </cell>
        </row>
        <row r="420">
          <cell r="A420">
            <v>10404</v>
          </cell>
          <cell r="B420">
            <v>49</v>
          </cell>
          <cell r="C420">
            <v>16</v>
          </cell>
          <cell r="D420">
            <v>30</v>
          </cell>
          <cell r="E420">
            <v>5.000000074505806E-2</v>
          </cell>
          <cell r="F420">
            <v>455.99999964237213</v>
          </cell>
        </row>
        <row r="421">
          <cell r="A421">
            <v>10405</v>
          </cell>
          <cell r="B421">
            <v>3</v>
          </cell>
          <cell r="C421">
            <v>8</v>
          </cell>
          <cell r="D421">
            <v>50</v>
          </cell>
          <cell r="E421">
            <v>0</v>
          </cell>
          <cell r="F421">
            <v>400</v>
          </cell>
        </row>
        <row r="422">
          <cell r="A422">
            <v>10406</v>
          </cell>
          <cell r="B422">
            <v>1</v>
          </cell>
          <cell r="C422">
            <v>14.4</v>
          </cell>
          <cell r="D422">
            <v>10</v>
          </cell>
          <cell r="E422">
            <v>0</v>
          </cell>
          <cell r="F422">
            <v>144</v>
          </cell>
        </row>
        <row r="423">
          <cell r="A423">
            <v>10406</v>
          </cell>
          <cell r="B423">
            <v>21</v>
          </cell>
          <cell r="C423">
            <v>8</v>
          </cell>
          <cell r="D423">
            <v>30</v>
          </cell>
          <cell r="E423">
            <v>0.10000000149011612</v>
          </cell>
          <cell r="F423">
            <v>215.99999964237213</v>
          </cell>
        </row>
        <row r="424">
          <cell r="A424">
            <v>10406</v>
          </cell>
          <cell r="B424">
            <v>28</v>
          </cell>
          <cell r="C424">
            <v>36.4</v>
          </cell>
          <cell r="D424">
            <v>42</v>
          </cell>
          <cell r="E424">
            <v>0.10000000149011612</v>
          </cell>
          <cell r="F424">
            <v>1375.9199977219105</v>
          </cell>
        </row>
        <row r="425">
          <cell r="A425">
            <v>10406</v>
          </cell>
          <cell r="B425">
            <v>36</v>
          </cell>
          <cell r="C425">
            <v>15.2</v>
          </cell>
          <cell r="D425">
            <v>5</v>
          </cell>
          <cell r="E425">
            <v>0.10000000149011612</v>
          </cell>
          <cell r="F425">
            <v>68.399999886751175</v>
          </cell>
        </row>
        <row r="426">
          <cell r="A426">
            <v>10406</v>
          </cell>
          <cell r="B426">
            <v>40</v>
          </cell>
          <cell r="C426">
            <v>14.7</v>
          </cell>
          <cell r="D426">
            <v>2</v>
          </cell>
          <cell r="E426">
            <v>0.10000000149011612</v>
          </cell>
          <cell r="F426">
            <v>26.459999956190586</v>
          </cell>
        </row>
        <row r="427">
          <cell r="A427">
            <v>10407</v>
          </cell>
          <cell r="B427">
            <v>11</v>
          </cell>
          <cell r="C427">
            <v>16.8</v>
          </cell>
          <cell r="D427">
            <v>30</v>
          </cell>
          <cell r="E427">
            <v>0</v>
          </cell>
          <cell r="F427">
            <v>504</v>
          </cell>
        </row>
        <row r="428">
          <cell r="A428">
            <v>10407</v>
          </cell>
          <cell r="B428">
            <v>69</v>
          </cell>
          <cell r="C428">
            <v>28.8</v>
          </cell>
          <cell r="D428">
            <v>15</v>
          </cell>
          <cell r="E428">
            <v>0</v>
          </cell>
          <cell r="F428">
            <v>432</v>
          </cell>
        </row>
        <row r="429">
          <cell r="A429">
            <v>10407</v>
          </cell>
          <cell r="B429">
            <v>71</v>
          </cell>
          <cell r="C429">
            <v>17.2</v>
          </cell>
          <cell r="D429">
            <v>15</v>
          </cell>
          <cell r="E429">
            <v>0</v>
          </cell>
          <cell r="F429">
            <v>258</v>
          </cell>
        </row>
        <row r="430">
          <cell r="A430">
            <v>10408</v>
          </cell>
          <cell r="B430">
            <v>37</v>
          </cell>
          <cell r="C430">
            <v>20.8</v>
          </cell>
          <cell r="D430">
            <v>10</v>
          </cell>
          <cell r="E430">
            <v>0</v>
          </cell>
          <cell r="F430">
            <v>208</v>
          </cell>
        </row>
        <row r="431">
          <cell r="A431">
            <v>10408</v>
          </cell>
          <cell r="B431">
            <v>54</v>
          </cell>
          <cell r="C431">
            <v>5.9</v>
          </cell>
          <cell r="D431">
            <v>6</v>
          </cell>
          <cell r="E431">
            <v>0</v>
          </cell>
          <cell r="F431">
            <v>35.400000000000006</v>
          </cell>
        </row>
        <row r="432">
          <cell r="A432">
            <v>10408</v>
          </cell>
          <cell r="B432">
            <v>62</v>
          </cell>
          <cell r="C432">
            <v>39.4</v>
          </cell>
          <cell r="D432">
            <v>35</v>
          </cell>
          <cell r="E432">
            <v>0</v>
          </cell>
          <cell r="F432">
            <v>1379</v>
          </cell>
        </row>
        <row r="433">
          <cell r="A433">
            <v>10409</v>
          </cell>
          <cell r="B433">
            <v>14</v>
          </cell>
          <cell r="C433">
            <v>18.600000000000001</v>
          </cell>
          <cell r="D433">
            <v>12</v>
          </cell>
          <cell r="E433">
            <v>0</v>
          </cell>
          <cell r="F433">
            <v>223.20000000000002</v>
          </cell>
        </row>
        <row r="434">
          <cell r="A434">
            <v>10409</v>
          </cell>
          <cell r="B434">
            <v>21</v>
          </cell>
          <cell r="C434">
            <v>8</v>
          </cell>
          <cell r="D434">
            <v>12</v>
          </cell>
          <cell r="E434">
            <v>0</v>
          </cell>
          <cell r="F434">
            <v>96</v>
          </cell>
        </row>
        <row r="435">
          <cell r="A435">
            <v>10410</v>
          </cell>
          <cell r="B435">
            <v>33</v>
          </cell>
          <cell r="C435">
            <v>2</v>
          </cell>
          <cell r="D435">
            <v>49</v>
          </cell>
          <cell r="E435">
            <v>0</v>
          </cell>
          <cell r="F435">
            <v>98</v>
          </cell>
        </row>
        <row r="436">
          <cell r="A436">
            <v>10410</v>
          </cell>
          <cell r="B436">
            <v>59</v>
          </cell>
          <cell r="C436">
            <v>44</v>
          </cell>
          <cell r="D436">
            <v>16</v>
          </cell>
          <cell r="E436">
            <v>0</v>
          </cell>
          <cell r="F436">
            <v>704</v>
          </cell>
        </row>
        <row r="437">
          <cell r="A437">
            <v>10411</v>
          </cell>
          <cell r="B437">
            <v>41</v>
          </cell>
          <cell r="C437">
            <v>7.7</v>
          </cell>
          <cell r="D437">
            <v>25</v>
          </cell>
          <cell r="E437">
            <v>0.20000000298023224</v>
          </cell>
          <cell r="F437">
            <v>153.99999942630529</v>
          </cell>
        </row>
        <row r="438">
          <cell r="A438">
            <v>10411</v>
          </cell>
          <cell r="B438">
            <v>44</v>
          </cell>
          <cell r="C438">
            <v>15.5</v>
          </cell>
          <cell r="D438">
            <v>40</v>
          </cell>
          <cell r="E438">
            <v>0.20000000298023224</v>
          </cell>
          <cell r="F438">
            <v>495.99999815225601</v>
          </cell>
        </row>
        <row r="439">
          <cell r="A439">
            <v>10411</v>
          </cell>
          <cell r="B439">
            <v>59</v>
          </cell>
          <cell r="C439">
            <v>44</v>
          </cell>
          <cell r="D439">
            <v>9</v>
          </cell>
          <cell r="E439">
            <v>0.20000000298023224</v>
          </cell>
          <cell r="F439">
            <v>316.79999881982803</v>
          </cell>
        </row>
        <row r="440">
          <cell r="A440">
            <v>10412</v>
          </cell>
          <cell r="B440">
            <v>14</v>
          </cell>
          <cell r="C440">
            <v>18.600000000000001</v>
          </cell>
          <cell r="D440">
            <v>20</v>
          </cell>
          <cell r="E440">
            <v>0.10000000149011612</v>
          </cell>
          <cell r="F440">
            <v>334.7999994456768</v>
          </cell>
        </row>
        <row r="441">
          <cell r="A441">
            <v>10413</v>
          </cell>
          <cell r="B441">
            <v>1</v>
          </cell>
          <cell r="C441">
            <v>14.4</v>
          </cell>
          <cell r="D441">
            <v>24</v>
          </cell>
          <cell r="E441">
            <v>0</v>
          </cell>
          <cell r="F441">
            <v>345.6</v>
          </cell>
        </row>
        <row r="442">
          <cell r="A442">
            <v>10413</v>
          </cell>
          <cell r="B442">
            <v>62</v>
          </cell>
          <cell r="C442">
            <v>39.4</v>
          </cell>
          <cell r="D442">
            <v>40</v>
          </cell>
          <cell r="E442">
            <v>0</v>
          </cell>
          <cell r="F442">
            <v>1576</v>
          </cell>
        </row>
        <row r="443">
          <cell r="A443">
            <v>10413</v>
          </cell>
          <cell r="B443">
            <v>76</v>
          </cell>
          <cell r="C443">
            <v>14.4</v>
          </cell>
          <cell r="D443">
            <v>14</v>
          </cell>
          <cell r="E443">
            <v>0</v>
          </cell>
          <cell r="F443">
            <v>201.6</v>
          </cell>
        </row>
        <row r="444">
          <cell r="A444">
            <v>10414</v>
          </cell>
          <cell r="B444">
            <v>19</v>
          </cell>
          <cell r="C444">
            <v>7.3</v>
          </cell>
          <cell r="D444">
            <v>18</v>
          </cell>
          <cell r="E444">
            <v>5.000000074505806E-2</v>
          </cell>
          <cell r="F444">
            <v>124.82999990209937</v>
          </cell>
        </row>
        <row r="445">
          <cell r="A445">
            <v>10414</v>
          </cell>
          <cell r="B445">
            <v>33</v>
          </cell>
          <cell r="C445">
            <v>2</v>
          </cell>
          <cell r="D445">
            <v>50</v>
          </cell>
          <cell r="E445">
            <v>0</v>
          </cell>
          <cell r="F445">
            <v>100</v>
          </cell>
        </row>
        <row r="446">
          <cell r="A446">
            <v>10415</v>
          </cell>
          <cell r="B446">
            <v>17</v>
          </cell>
          <cell r="C446">
            <v>31.2</v>
          </cell>
          <cell r="D446">
            <v>2</v>
          </cell>
          <cell r="E446">
            <v>0</v>
          </cell>
          <cell r="F446">
            <v>62.4</v>
          </cell>
        </row>
        <row r="447">
          <cell r="A447">
            <v>10415</v>
          </cell>
          <cell r="B447">
            <v>33</v>
          </cell>
          <cell r="C447">
            <v>2</v>
          </cell>
          <cell r="D447">
            <v>20</v>
          </cell>
          <cell r="E447">
            <v>0</v>
          </cell>
          <cell r="F447">
            <v>40</v>
          </cell>
        </row>
        <row r="448">
          <cell r="A448">
            <v>10416</v>
          </cell>
          <cell r="B448">
            <v>19</v>
          </cell>
          <cell r="C448">
            <v>7.3</v>
          </cell>
          <cell r="D448">
            <v>20</v>
          </cell>
          <cell r="E448">
            <v>0</v>
          </cell>
          <cell r="F448">
            <v>146</v>
          </cell>
        </row>
        <row r="449">
          <cell r="A449">
            <v>10416</v>
          </cell>
          <cell r="B449">
            <v>53</v>
          </cell>
          <cell r="C449">
            <v>26.2</v>
          </cell>
          <cell r="D449">
            <v>10</v>
          </cell>
          <cell r="E449">
            <v>0</v>
          </cell>
          <cell r="F449">
            <v>262</v>
          </cell>
        </row>
        <row r="450">
          <cell r="A450">
            <v>10416</v>
          </cell>
          <cell r="B450">
            <v>57</v>
          </cell>
          <cell r="C450">
            <v>15.6</v>
          </cell>
          <cell r="D450">
            <v>20</v>
          </cell>
          <cell r="E450">
            <v>0</v>
          </cell>
          <cell r="F450">
            <v>312</v>
          </cell>
        </row>
        <row r="451">
          <cell r="A451">
            <v>10417</v>
          </cell>
          <cell r="B451">
            <v>38</v>
          </cell>
          <cell r="C451">
            <v>210.8</v>
          </cell>
          <cell r="D451">
            <v>50</v>
          </cell>
          <cell r="E451">
            <v>0</v>
          </cell>
          <cell r="F451">
            <v>10540</v>
          </cell>
        </row>
        <row r="452">
          <cell r="A452">
            <v>10417</v>
          </cell>
          <cell r="B452">
            <v>46</v>
          </cell>
          <cell r="C452">
            <v>9.6</v>
          </cell>
          <cell r="D452">
            <v>2</v>
          </cell>
          <cell r="E452">
            <v>0.25</v>
          </cell>
          <cell r="F452">
            <v>14.399999999999999</v>
          </cell>
        </row>
        <row r="453">
          <cell r="A453">
            <v>10417</v>
          </cell>
          <cell r="B453">
            <v>68</v>
          </cell>
          <cell r="C453">
            <v>10</v>
          </cell>
          <cell r="D453">
            <v>36</v>
          </cell>
          <cell r="E453">
            <v>0.25</v>
          </cell>
          <cell r="F453">
            <v>270</v>
          </cell>
        </row>
        <row r="454">
          <cell r="A454">
            <v>10417</v>
          </cell>
          <cell r="B454">
            <v>77</v>
          </cell>
          <cell r="C454">
            <v>10.4</v>
          </cell>
          <cell r="D454">
            <v>35</v>
          </cell>
          <cell r="E454">
            <v>0</v>
          </cell>
          <cell r="F454">
            <v>364</v>
          </cell>
        </row>
        <row r="455">
          <cell r="A455">
            <v>10418</v>
          </cell>
          <cell r="B455">
            <v>2</v>
          </cell>
          <cell r="C455">
            <v>15.2</v>
          </cell>
          <cell r="D455">
            <v>60</v>
          </cell>
          <cell r="E455">
            <v>0</v>
          </cell>
          <cell r="F455">
            <v>912</v>
          </cell>
        </row>
        <row r="456">
          <cell r="A456">
            <v>10418</v>
          </cell>
          <cell r="B456">
            <v>47</v>
          </cell>
          <cell r="C456">
            <v>7.6</v>
          </cell>
          <cell r="D456">
            <v>55</v>
          </cell>
          <cell r="E456">
            <v>0</v>
          </cell>
          <cell r="F456">
            <v>418</v>
          </cell>
        </row>
        <row r="457">
          <cell r="A457">
            <v>10418</v>
          </cell>
          <cell r="B457">
            <v>61</v>
          </cell>
          <cell r="C457">
            <v>22.8</v>
          </cell>
          <cell r="D457">
            <v>16</v>
          </cell>
          <cell r="E457">
            <v>0</v>
          </cell>
          <cell r="F457">
            <v>364.8</v>
          </cell>
        </row>
        <row r="458">
          <cell r="A458">
            <v>10418</v>
          </cell>
          <cell r="B458">
            <v>74</v>
          </cell>
          <cell r="C458">
            <v>8</v>
          </cell>
          <cell r="D458">
            <v>15</v>
          </cell>
          <cell r="E458">
            <v>0</v>
          </cell>
          <cell r="F458">
            <v>120</v>
          </cell>
        </row>
        <row r="459">
          <cell r="A459">
            <v>10419</v>
          </cell>
          <cell r="B459">
            <v>60</v>
          </cell>
          <cell r="C459">
            <v>27.2</v>
          </cell>
          <cell r="D459">
            <v>60</v>
          </cell>
          <cell r="E459">
            <v>5.000000074505806E-2</v>
          </cell>
          <cell r="F459">
            <v>1550.3999987840652</v>
          </cell>
        </row>
        <row r="460">
          <cell r="A460">
            <v>10419</v>
          </cell>
          <cell r="B460">
            <v>69</v>
          </cell>
          <cell r="C460">
            <v>28.8</v>
          </cell>
          <cell r="D460">
            <v>20</v>
          </cell>
          <cell r="E460">
            <v>5.000000074505806E-2</v>
          </cell>
          <cell r="F460">
            <v>547.19999957084656</v>
          </cell>
        </row>
        <row r="461">
          <cell r="A461">
            <v>10420</v>
          </cell>
          <cell r="B461">
            <v>9</v>
          </cell>
          <cell r="C461">
            <v>77.599999999999994</v>
          </cell>
          <cell r="D461">
            <v>20</v>
          </cell>
          <cell r="E461">
            <v>0.10000000149011612</v>
          </cell>
          <cell r="F461">
            <v>1396.7999976873398</v>
          </cell>
        </row>
        <row r="462">
          <cell r="A462">
            <v>10420</v>
          </cell>
          <cell r="B462">
            <v>13</v>
          </cell>
          <cell r="C462">
            <v>4.8</v>
          </cell>
          <cell r="D462">
            <v>2</v>
          </cell>
          <cell r="E462">
            <v>0.10000000149011612</v>
          </cell>
          <cell r="F462">
            <v>8.6399999856948853</v>
          </cell>
        </row>
        <row r="463">
          <cell r="A463">
            <v>10420</v>
          </cell>
          <cell r="B463">
            <v>70</v>
          </cell>
          <cell r="C463">
            <v>12</v>
          </cell>
          <cell r="D463">
            <v>8</v>
          </cell>
          <cell r="E463">
            <v>0.10000000149011612</v>
          </cell>
          <cell r="F463">
            <v>86.399999856948853</v>
          </cell>
        </row>
        <row r="464">
          <cell r="A464">
            <v>10420</v>
          </cell>
          <cell r="B464">
            <v>73</v>
          </cell>
          <cell r="C464">
            <v>12</v>
          </cell>
          <cell r="D464">
            <v>20</v>
          </cell>
          <cell r="E464">
            <v>0.10000000149011612</v>
          </cell>
          <cell r="F464">
            <v>215.99999964237213</v>
          </cell>
        </row>
        <row r="465">
          <cell r="A465">
            <v>10421</v>
          </cell>
          <cell r="B465">
            <v>19</v>
          </cell>
          <cell r="C465">
            <v>7.3</v>
          </cell>
          <cell r="D465">
            <v>4</v>
          </cell>
          <cell r="E465">
            <v>0.15000000596046448</v>
          </cell>
          <cell r="F465">
            <v>24.819999825954437</v>
          </cell>
        </row>
        <row r="466">
          <cell r="A466">
            <v>10421</v>
          </cell>
          <cell r="B466">
            <v>26</v>
          </cell>
          <cell r="C466">
            <v>24.9</v>
          </cell>
          <cell r="D466">
            <v>30</v>
          </cell>
          <cell r="E466">
            <v>0</v>
          </cell>
          <cell r="F466">
            <v>747</v>
          </cell>
        </row>
        <row r="467">
          <cell r="A467">
            <v>10421</v>
          </cell>
          <cell r="B467">
            <v>53</v>
          </cell>
          <cell r="C467">
            <v>26.2</v>
          </cell>
          <cell r="D467">
            <v>15</v>
          </cell>
          <cell r="E467">
            <v>0.15000000596046448</v>
          </cell>
          <cell r="F467">
            <v>334.04999765753746</v>
          </cell>
        </row>
        <row r="468">
          <cell r="A468">
            <v>10421</v>
          </cell>
          <cell r="B468">
            <v>77</v>
          </cell>
          <cell r="C468">
            <v>10.4</v>
          </cell>
          <cell r="D468">
            <v>10</v>
          </cell>
          <cell r="E468">
            <v>0.15000000596046448</v>
          </cell>
          <cell r="F468">
            <v>88.399999380111694</v>
          </cell>
        </row>
        <row r="469">
          <cell r="A469">
            <v>10422</v>
          </cell>
          <cell r="B469">
            <v>26</v>
          </cell>
          <cell r="C469">
            <v>24.9</v>
          </cell>
          <cell r="D469">
            <v>2</v>
          </cell>
          <cell r="E469">
            <v>0</v>
          </cell>
          <cell r="F469">
            <v>49.8</v>
          </cell>
        </row>
        <row r="470">
          <cell r="A470">
            <v>10423</v>
          </cell>
          <cell r="B470">
            <v>31</v>
          </cell>
          <cell r="C470">
            <v>10</v>
          </cell>
          <cell r="D470">
            <v>14</v>
          </cell>
          <cell r="E470">
            <v>0</v>
          </cell>
          <cell r="F470">
            <v>140</v>
          </cell>
        </row>
        <row r="471">
          <cell r="A471">
            <v>10423</v>
          </cell>
          <cell r="B471">
            <v>59</v>
          </cell>
          <cell r="C471">
            <v>44</v>
          </cell>
          <cell r="D471">
            <v>20</v>
          </cell>
          <cell r="E471">
            <v>0</v>
          </cell>
          <cell r="F471">
            <v>880</v>
          </cell>
        </row>
        <row r="472">
          <cell r="A472">
            <v>10424</v>
          </cell>
          <cell r="B472">
            <v>35</v>
          </cell>
          <cell r="C472">
            <v>14.4</v>
          </cell>
          <cell r="D472">
            <v>60</v>
          </cell>
          <cell r="E472">
            <v>0.20000000298023224</v>
          </cell>
          <cell r="F472">
            <v>691.19999742507935</v>
          </cell>
        </row>
        <row r="473">
          <cell r="A473">
            <v>10424</v>
          </cell>
          <cell r="B473">
            <v>38</v>
          </cell>
          <cell r="C473">
            <v>210.8</v>
          </cell>
          <cell r="D473">
            <v>49</v>
          </cell>
          <cell r="E473">
            <v>0.20000000298023224</v>
          </cell>
          <cell r="F473">
            <v>8263.3599692165863</v>
          </cell>
        </row>
        <row r="474">
          <cell r="A474">
            <v>10424</v>
          </cell>
          <cell r="B474">
            <v>68</v>
          </cell>
          <cell r="C474">
            <v>10</v>
          </cell>
          <cell r="D474">
            <v>30</v>
          </cell>
          <cell r="E474">
            <v>0.20000000298023224</v>
          </cell>
          <cell r="F474">
            <v>239.99999910593033</v>
          </cell>
        </row>
        <row r="475">
          <cell r="A475">
            <v>10425</v>
          </cell>
          <cell r="B475">
            <v>55</v>
          </cell>
          <cell r="C475">
            <v>19.2</v>
          </cell>
          <cell r="D475">
            <v>10</v>
          </cell>
          <cell r="E475">
            <v>0.25</v>
          </cell>
          <cell r="F475">
            <v>144</v>
          </cell>
        </row>
        <row r="476">
          <cell r="A476">
            <v>10425</v>
          </cell>
          <cell r="B476">
            <v>76</v>
          </cell>
          <cell r="C476">
            <v>14.4</v>
          </cell>
          <cell r="D476">
            <v>20</v>
          </cell>
          <cell r="E476">
            <v>0.25</v>
          </cell>
          <cell r="F476">
            <v>216</v>
          </cell>
        </row>
        <row r="477">
          <cell r="A477">
            <v>10426</v>
          </cell>
          <cell r="B477">
            <v>56</v>
          </cell>
          <cell r="C477">
            <v>30.4</v>
          </cell>
          <cell r="D477">
            <v>5</v>
          </cell>
          <cell r="E477">
            <v>0</v>
          </cell>
          <cell r="F477">
            <v>152</v>
          </cell>
        </row>
        <row r="478">
          <cell r="A478">
            <v>10426</v>
          </cell>
          <cell r="B478">
            <v>64</v>
          </cell>
          <cell r="C478">
            <v>26.6</v>
          </cell>
          <cell r="D478">
            <v>7</v>
          </cell>
          <cell r="E478">
            <v>0</v>
          </cell>
          <cell r="F478">
            <v>186.20000000000002</v>
          </cell>
        </row>
        <row r="479">
          <cell r="A479">
            <v>10427</v>
          </cell>
          <cell r="B479">
            <v>14</v>
          </cell>
          <cell r="C479">
            <v>18.600000000000001</v>
          </cell>
          <cell r="D479">
            <v>35</v>
          </cell>
          <cell r="E479">
            <v>0</v>
          </cell>
          <cell r="F479">
            <v>651</v>
          </cell>
        </row>
        <row r="480">
          <cell r="A480">
            <v>10428</v>
          </cell>
          <cell r="B480">
            <v>46</v>
          </cell>
          <cell r="C480">
            <v>9.6</v>
          </cell>
          <cell r="D480">
            <v>20</v>
          </cell>
          <cell r="E480">
            <v>0</v>
          </cell>
          <cell r="F480">
            <v>192</v>
          </cell>
        </row>
        <row r="481">
          <cell r="A481">
            <v>10429</v>
          </cell>
          <cell r="B481">
            <v>50</v>
          </cell>
          <cell r="C481">
            <v>13</v>
          </cell>
          <cell r="D481">
            <v>40</v>
          </cell>
          <cell r="E481">
            <v>0</v>
          </cell>
          <cell r="F481">
            <v>520</v>
          </cell>
        </row>
        <row r="482">
          <cell r="A482">
            <v>10429</v>
          </cell>
          <cell r="B482">
            <v>63</v>
          </cell>
          <cell r="C482">
            <v>35.1</v>
          </cell>
          <cell r="D482">
            <v>35</v>
          </cell>
          <cell r="E482">
            <v>0.25</v>
          </cell>
          <cell r="F482">
            <v>921.375</v>
          </cell>
        </row>
        <row r="483">
          <cell r="A483">
            <v>10430</v>
          </cell>
          <cell r="B483">
            <v>17</v>
          </cell>
          <cell r="C483">
            <v>31.2</v>
          </cell>
          <cell r="D483">
            <v>45</v>
          </cell>
          <cell r="E483">
            <v>0.20000000298023224</v>
          </cell>
          <cell r="F483">
            <v>1123.1999958157539</v>
          </cell>
        </row>
        <row r="484">
          <cell r="A484">
            <v>10430</v>
          </cell>
          <cell r="B484">
            <v>21</v>
          </cell>
          <cell r="C484">
            <v>8</v>
          </cell>
          <cell r="D484">
            <v>50</v>
          </cell>
          <cell r="E484">
            <v>0</v>
          </cell>
          <cell r="F484">
            <v>400</v>
          </cell>
        </row>
        <row r="485">
          <cell r="A485">
            <v>10430</v>
          </cell>
          <cell r="B485">
            <v>56</v>
          </cell>
          <cell r="C485">
            <v>30.4</v>
          </cell>
          <cell r="D485">
            <v>30</v>
          </cell>
          <cell r="E485">
            <v>0</v>
          </cell>
          <cell r="F485">
            <v>912</v>
          </cell>
        </row>
        <row r="486">
          <cell r="A486">
            <v>10430</v>
          </cell>
          <cell r="B486">
            <v>59</v>
          </cell>
          <cell r="C486">
            <v>44</v>
          </cell>
          <cell r="D486">
            <v>70</v>
          </cell>
          <cell r="E486">
            <v>0.20000000298023224</v>
          </cell>
          <cell r="F486">
            <v>2463.9999908208847</v>
          </cell>
        </row>
        <row r="487">
          <cell r="A487">
            <v>10431</v>
          </cell>
          <cell r="B487">
            <v>17</v>
          </cell>
          <cell r="C487">
            <v>31.2</v>
          </cell>
          <cell r="D487">
            <v>50</v>
          </cell>
          <cell r="E487">
            <v>0.25</v>
          </cell>
          <cell r="F487">
            <v>1170</v>
          </cell>
        </row>
        <row r="488">
          <cell r="A488">
            <v>10431</v>
          </cell>
          <cell r="B488">
            <v>40</v>
          </cell>
          <cell r="C488">
            <v>14.7</v>
          </cell>
          <cell r="D488">
            <v>50</v>
          </cell>
          <cell r="E488">
            <v>0.25</v>
          </cell>
          <cell r="F488">
            <v>551.25</v>
          </cell>
        </row>
        <row r="489">
          <cell r="A489">
            <v>10431</v>
          </cell>
          <cell r="B489">
            <v>47</v>
          </cell>
          <cell r="C489">
            <v>7.6</v>
          </cell>
          <cell r="D489">
            <v>30</v>
          </cell>
          <cell r="E489">
            <v>0.25</v>
          </cell>
          <cell r="F489">
            <v>171</v>
          </cell>
        </row>
        <row r="490">
          <cell r="A490">
            <v>10432</v>
          </cell>
          <cell r="B490">
            <v>26</v>
          </cell>
          <cell r="C490">
            <v>24.9</v>
          </cell>
          <cell r="D490">
            <v>10</v>
          </cell>
          <cell r="E490">
            <v>0</v>
          </cell>
          <cell r="F490">
            <v>249</v>
          </cell>
        </row>
        <row r="491">
          <cell r="A491">
            <v>10432</v>
          </cell>
          <cell r="B491">
            <v>54</v>
          </cell>
          <cell r="C491">
            <v>5.9</v>
          </cell>
          <cell r="D491">
            <v>40</v>
          </cell>
          <cell r="E491">
            <v>0</v>
          </cell>
          <cell r="F491">
            <v>236</v>
          </cell>
        </row>
        <row r="492">
          <cell r="A492">
            <v>10433</v>
          </cell>
          <cell r="B492">
            <v>56</v>
          </cell>
          <cell r="C492">
            <v>30.4</v>
          </cell>
          <cell r="D492">
            <v>28</v>
          </cell>
          <cell r="E492">
            <v>0</v>
          </cell>
          <cell r="F492">
            <v>851.19999999999993</v>
          </cell>
        </row>
        <row r="493">
          <cell r="A493">
            <v>10434</v>
          </cell>
          <cell r="B493">
            <v>11</v>
          </cell>
          <cell r="C493">
            <v>16.8</v>
          </cell>
          <cell r="D493">
            <v>6</v>
          </cell>
          <cell r="E493">
            <v>0</v>
          </cell>
          <cell r="F493">
            <v>100.80000000000001</v>
          </cell>
        </row>
        <row r="494">
          <cell r="A494">
            <v>10434</v>
          </cell>
          <cell r="B494">
            <v>76</v>
          </cell>
          <cell r="C494">
            <v>14.4</v>
          </cell>
          <cell r="D494">
            <v>18</v>
          </cell>
          <cell r="E494">
            <v>0.15000000596046448</v>
          </cell>
          <cell r="F494">
            <v>220.3199984550476</v>
          </cell>
        </row>
        <row r="495">
          <cell r="A495">
            <v>10435</v>
          </cell>
          <cell r="B495">
            <v>2</v>
          </cell>
          <cell r="C495">
            <v>15.2</v>
          </cell>
          <cell r="D495">
            <v>10</v>
          </cell>
          <cell r="E495">
            <v>0</v>
          </cell>
          <cell r="F495">
            <v>152</v>
          </cell>
        </row>
        <row r="496">
          <cell r="A496">
            <v>10435</v>
          </cell>
          <cell r="B496">
            <v>22</v>
          </cell>
          <cell r="C496">
            <v>16.8</v>
          </cell>
          <cell r="D496">
            <v>12</v>
          </cell>
          <cell r="E496">
            <v>0</v>
          </cell>
          <cell r="F496">
            <v>201.60000000000002</v>
          </cell>
        </row>
        <row r="497">
          <cell r="A497">
            <v>10435</v>
          </cell>
          <cell r="B497">
            <v>72</v>
          </cell>
          <cell r="C497">
            <v>27.8</v>
          </cell>
          <cell r="D497">
            <v>10</v>
          </cell>
          <cell r="E497">
            <v>0</v>
          </cell>
          <cell r="F497">
            <v>278</v>
          </cell>
        </row>
        <row r="498">
          <cell r="A498">
            <v>10436</v>
          </cell>
          <cell r="B498">
            <v>46</v>
          </cell>
          <cell r="C498">
            <v>9.6</v>
          </cell>
          <cell r="D498">
            <v>5</v>
          </cell>
          <cell r="E498">
            <v>0</v>
          </cell>
          <cell r="F498">
            <v>48</v>
          </cell>
        </row>
        <row r="499">
          <cell r="A499">
            <v>10436</v>
          </cell>
          <cell r="B499">
            <v>56</v>
          </cell>
          <cell r="C499">
            <v>30.4</v>
          </cell>
          <cell r="D499">
            <v>40</v>
          </cell>
          <cell r="E499">
            <v>0.10000000149011612</v>
          </cell>
          <cell r="F499">
            <v>1094.3999981880188</v>
          </cell>
        </row>
        <row r="500">
          <cell r="A500">
            <v>10436</v>
          </cell>
          <cell r="B500">
            <v>64</v>
          </cell>
          <cell r="C500">
            <v>26.6</v>
          </cell>
          <cell r="D500">
            <v>30</v>
          </cell>
          <cell r="E500">
            <v>0.10000000149011612</v>
          </cell>
          <cell r="F500">
            <v>718.19999881088734</v>
          </cell>
        </row>
        <row r="501">
          <cell r="A501">
            <v>10436</v>
          </cell>
          <cell r="B501">
            <v>75</v>
          </cell>
          <cell r="C501">
            <v>6.2</v>
          </cell>
          <cell r="D501">
            <v>24</v>
          </cell>
          <cell r="E501">
            <v>0.10000000149011612</v>
          </cell>
          <cell r="F501">
            <v>133.91999977827072</v>
          </cell>
        </row>
        <row r="502">
          <cell r="A502">
            <v>10437</v>
          </cell>
          <cell r="B502">
            <v>53</v>
          </cell>
          <cell r="C502">
            <v>26.2</v>
          </cell>
          <cell r="D502">
            <v>15</v>
          </cell>
          <cell r="E502">
            <v>0</v>
          </cell>
          <cell r="F502">
            <v>393</v>
          </cell>
        </row>
        <row r="503">
          <cell r="A503">
            <v>10438</v>
          </cell>
          <cell r="B503">
            <v>19</v>
          </cell>
          <cell r="C503">
            <v>7.3</v>
          </cell>
          <cell r="D503">
            <v>15</v>
          </cell>
          <cell r="E503">
            <v>0.20000000298023224</v>
          </cell>
          <cell r="F503">
            <v>87.59999967366457</v>
          </cell>
        </row>
        <row r="504">
          <cell r="A504">
            <v>10438</v>
          </cell>
          <cell r="B504">
            <v>34</v>
          </cell>
          <cell r="C504">
            <v>11.2</v>
          </cell>
          <cell r="D504">
            <v>20</v>
          </cell>
          <cell r="E504">
            <v>0.20000000298023224</v>
          </cell>
          <cell r="F504">
            <v>179.19999933242798</v>
          </cell>
        </row>
        <row r="505">
          <cell r="A505">
            <v>10438</v>
          </cell>
          <cell r="B505">
            <v>57</v>
          </cell>
          <cell r="C505">
            <v>15.6</v>
          </cell>
          <cell r="D505">
            <v>15</v>
          </cell>
          <cell r="E505">
            <v>0.20000000298023224</v>
          </cell>
          <cell r="F505">
            <v>187.19999930262566</v>
          </cell>
        </row>
        <row r="506">
          <cell r="A506">
            <v>10439</v>
          </cell>
          <cell r="B506">
            <v>12</v>
          </cell>
          <cell r="C506">
            <v>30.4</v>
          </cell>
          <cell r="D506">
            <v>15</v>
          </cell>
          <cell r="E506">
            <v>0</v>
          </cell>
          <cell r="F506">
            <v>456</v>
          </cell>
        </row>
        <row r="507">
          <cell r="A507">
            <v>10439</v>
          </cell>
          <cell r="B507">
            <v>16</v>
          </cell>
          <cell r="C507">
            <v>13.9</v>
          </cell>
          <cell r="D507">
            <v>16</v>
          </cell>
          <cell r="E507">
            <v>0</v>
          </cell>
          <cell r="F507">
            <v>222.4</v>
          </cell>
        </row>
        <row r="508">
          <cell r="A508">
            <v>10439</v>
          </cell>
          <cell r="B508">
            <v>64</v>
          </cell>
          <cell r="C508">
            <v>26.6</v>
          </cell>
          <cell r="D508">
            <v>6</v>
          </cell>
          <cell r="E508">
            <v>0</v>
          </cell>
          <cell r="F508">
            <v>159.60000000000002</v>
          </cell>
        </row>
        <row r="509">
          <cell r="A509">
            <v>10439</v>
          </cell>
          <cell r="B509">
            <v>74</v>
          </cell>
          <cell r="C509">
            <v>8</v>
          </cell>
          <cell r="D509">
            <v>30</v>
          </cell>
          <cell r="E509">
            <v>0</v>
          </cell>
          <cell r="F509">
            <v>240</v>
          </cell>
        </row>
        <row r="510">
          <cell r="A510">
            <v>10440</v>
          </cell>
          <cell r="B510">
            <v>2</v>
          </cell>
          <cell r="C510">
            <v>15.2</v>
          </cell>
          <cell r="D510">
            <v>45</v>
          </cell>
          <cell r="E510">
            <v>0.15000000596046448</v>
          </cell>
          <cell r="F510">
            <v>581.3999959230423</v>
          </cell>
        </row>
        <row r="511">
          <cell r="A511">
            <v>10440</v>
          </cell>
          <cell r="B511">
            <v>16</v>
          </cell>
          <cell r="C511">
            <v>13.9</v>
          </cell>
          <cell r="D511">
            <v>49</v>
          </cell>
          <cell r="E511">
            <v>0.15000000596046448</v>
          </cell>
          <cell r="F511">
            <v>578.93499594032767</v>
          </cell>
        </row>
        <row r="512">
          <cell r="A512">
            <v>10440</v>
          </cell>
          <cell r="B512">
            <v>29</v>
          </cell>
          <cell r="C512">
            <v>99</v>
          </cell>
          <cell r="D512">
            <v>24</v>
          </cell>
          <cell r="E512">
            <v>0.15000000596046448</v>
          </cell>
          <cell r="F512">
            <v>2019.5999858379364</v>
          </cell>
        </row>
        <row r="513">
          <cell r="A513">
            <v>10440</v>
          </cell>
          <cell r="B513">
            <v>61</v>
          </cell>
          <cell r="C513">
            <v>22.8</v>
          </cell>
          <cell r="D513">
            <v>90</v>
          </cell>
          <cell r="E513">
            <v>0.15000000596046448</v>
          </cell>
          <cell r="F513">
            <v>1744.1999877691269</v>
          </cell>
        </row>
        <row r="514">
          <cell r="A514">
            <v>10441</v>
          </cell>
          <cell r="B514">
            <v>27</v>
          </cell>
          <cell r="C514">
            <v>35.1</v>
          </cell>
          <cell r="D514">
            <v>50</v>
          </cell>
          <cell r="E514">
            <v>0</v>
          </cell>
          <cell r="F514">
            <v>1755</v>
          </cell>
        </row>
        <row r="515">
          <cell r="A515">
            <v>10442</v>
          </cell>
          <cell r="B515">
            <v>11</v>
          </cell>
          <cell r="C515">
            <v>16.8</v>
          </cell>
          <cell r="D515">
            <v>30</v>
          </cell>
          <cell r="E515">
            <v>0</v>
          </cell>
          <cell r="F515">
            <v>504</v>
          </cell>
        </row>
        <row r="516">
          <cell r="A516">
            <v>10442</v>
          </cell>
          <cell r="B516">
            <v>54</v>
          </cell>
          <cell r="C516">
            <v>5.9</v>
          </cell>
          <cell r="D516">
            <v>80</v>
          </cell>
          <cell r="E516">
            <v>0</v>
          </cell>
          <cell r="F516">
            <v>472</v>
          </cell>
        </row>
        <row r="517">
          <cell r="A517">
            <v>10442</v>
          </cell>
          <cell r="B517">
            <v>66</v>
          </cell>
          <cell r="C517">
            <v>13.6</v>
          </cell>
          <cell r="D517">
            <v>60</v>
          </cell>
          <cell r="E517">
            <v>0</v>
          </cell>
          <cell r="F517">
            <v>816</v>
          </cell>
        </row>
        <row r="518">
          <cell r="A518">
            <v>10443</v>
          </cell>
          <cell r="B518">
            <v>11</v>
          </cell>
          <cell r="C518">
            <v>16.8</v>
          </cell>
          <cell r="D518">
            <v>6</v>
          </cell>
          <cell r="E518">
            <v>0.20000000298023224</v>
          </cell>
          <cell r="F518">
            <v>80.639999699592593</v>
          </cell>
        </row>
        <row r="519">
          <cell r="A519">
            <v>10443</v>
          </cell>
          <cell r="B519">
            <v>28</v>
          </cell>
          <cell r="C519">
            <v>36.4</v>
          </cell>
          <cell r="D519">
            <v>12</v>
          </cell>
          <cell r="E519">
            <v>0</v>
          </cell>
          <cell r="F519">
            <v>436.79999999999995</v>
          </cell>
        </row>
        <row r="520">
          <cell r="A520">
            <v>10444</v>
          </cell>
          <cell r="B520">
            <v>17</v>
          </cell>
          <cell r="C520">
            <v>31.2</v>
          </cell>
          <cell r="D520">
            <v>10</v>
          </cell>
          <cell r="E520">
            <v>0</v>
          </cell>
          <cell r="F520">
            <v>312</v>
          </cell>
        </row>
        <row r="521">
          <cell r="A521">
            <v>10444</v>
          </cell>
          <cell r="B521">
            <v>26</v>
          </cell>
          <cell r="C521">
            <v>24.9</v>
          </cell>
          <cell r="D521">
            <v>15</v>
          </cell>
          <cell r="E521">
            <v>0</v>
          </cell>
          <cell r="F521">
            <v>373.5</v>
          </cell>
        </row>
        <row r="522">
          <cell r="A522">
            <v>10444</v>
          </cell>
          <cell r="B522">
            <v>35</v>
          </cell>
          <cell r="C522">
            <v>14.4</v>
          </cell>
          <cell r="D522">
            <v>8</v>
          </cell>
          <cell r="E522">
            <v>0</v>
          </cell>
          <cell r="F522">
            <v>115.2</v>
          </cell>
        </row>
        <row r="523">
          <cell r="A523">
            <v>10444</v>
          </cell>
          <cell r="B523">
            <v>41</v>
          </cell>
          <cell r="C523">
            <v>7.7</v>
          </cell>
          <cell r="D523">
            <v>30</v>
          </cell>
          <cell r="E523">
            <v>0</v>
          </cell>
          <cell r="F523">
            <v>231</v>
          </cell>
        </row>
        <row r="524">
          <cell r="A524">
            <v>10445</v>
          </cell>
          <cell r="B524">
            <v>39</v>
          </cell>
          <cell r="C524">
            <v>14.4</v>
          </cell>
          <cell r="D524">
            <v>6</v>
          </cell>
          <cell r="E524">
            <v>0</v>
          </cell>
          <cell r="F524">
            <v>86.4</v>
          </cell>
        </row>
        <row r="525">
          <cell r="A525">
            <v>10445</v>
          </cell>
          <cell r="B525">
            <v>54</v>
          </cell>
          <cell r="C525">
            <v>5.9</v>
          </cell>
          <cell r="D525">
            <v>15</v>
          </cell>
          <cell r="E525">
            <v>0</v>
          </cell>
          <cell r="F525">
            <v>88.5</v>
          </cell>
        </row>
        <row r="526">
          <cell r="A526">
            <v>10446</v>
          </cell>
          <cell r="B526">
            <v>19</v>
          </cell>
          <cell r="C526">
            <v>7.3</v>
          </cell>
          <cell r="D526">
            <v>12</v>
          </cell>
          <cell r="E526">
            <v>0.10000000149011612</v>
          </cell>
          <cell r="F526">
            <v>78.839999869465828</v>
          </cell>
        </row>
        <row r="527">
          <cell r="A527">
            <v>10446</v>
          </cell>
          <cell r="B527">
            <v>24</v>
          </cell>
          <cell r="C527">
            <v>3.6</v>
          </cell>
          <cell r="D527">
            <v>20</v>
          </cell>
          <cell r="E527">
            <v>0.10000000149011612</v>
          </cell>
          <cell r="F527">
            <v>64.799999892711639</v>
          </cell>
        </row>
        <row r="528">
          <cell r="A528">
            <v>10446</v>
          </cell>
          <cell r="B528">
            <v>31</v>
          </cell>
          <cell r="C528">
            <v>10</v>
          </cell>
          <cell r="D528">
            <v>3</v>
          </cell>
          <cell r="E528">
            <v>0.10000000149011612</v>
          </cell>
          <cell r="F528">
            <v>26.999999955296516</v>
          </cell>
        </row>
        <row r="529">
          <cell r="A529">
            <v>10446</v>
          </cell>
          <cell r="B529">
            <v>52</v>
          </cell>
          <cell r="C529">
            <v>5.6</v>
          </cell>
          <cell r="D529">
            <v>15</v>
          </cell>
          <cell r="E529">
            <v>0.10000000149011612</v>
          </cell>
          <cell r="F529">
            <v>75.599999874830246</v>
          </cell>
        </row>
        <row r="530">
          <cell r="A530">
            <v>10447</v>
          </cell>
          <cell r="B530">
            <v>19</v>
          </cell>
          <cell r="C530">
            <v>7.3</v>
          </cell>
          <cell r="D530">
            <v>40</v>
          </cell>
          <cell r="E530">
            <v>0</v>
          </cell>
          <cell r="F530">
            <v>292</v>
          </cell>
        </row>
        <row r="531">
          <cell r="A531">
            <v>10447</v>
          </cell>
          <cell r="B531">
            <v>65</v>
          </cell>
          <cell r="C531">
            <v>16.8</v>
          </cell>
          <cell r="D531">
            <v>35</v>
          </cell>
          <cell r="E531">
            <v>0</v>
          </cell>
          <cell r="F531">
            <v>588</v>
          </cell>
        </row>
        <row r="532">
          <cell r="A532">
            <v>10447</v>
          </cell>
          <cell r="B532">
            <v>71</v>
          </cell>
          <cell r="C532">
            <v>17.2</v>
          </cell>
          <cell r="D532">
            <v>2</v>
          </cell>
          <cell r="E532">
            <v>0</v>
          </cell>
          <cell r="F532">
            <v>34.4</v>
          </cell>
        </row>
        <row r="533">
          <cell r="A533">
            <v>10448</v>
          </cell>
          <cell r="B533">
            <v>26</v>
          </cell>
          <cell r="C533">
            <v>24.9</v>
          </cell>
          <cell r="D533">
            <v>6</v>
          </cell>
          <cell r="E533">
            <v>0</v>
          </cell>
          <cell r="F533">
            <v>149.39999999999998</v>
          </cell>
        </row>
        <row r="534">
          <cell r="A534">
            <v>10448</v>
          </cell>
          <cell r="B534">
            <v>40</v>
          </cell>
          <cell r="C534">
            <v>14.7</v>
          </cell>
          <cell r="D534">
            <v>20</v>
          </cell>
          <cell r="E534">
            <v>0</v>
          </cell>
          <cell r="F534">
            <v>294</v>
          </cell>
        </row>
        <row r="535">
          <cell r="A535">
            <v>10449</v>
          </cell>
          <cell r="B535">
            <v>10</v>
          </cell>
          <cell r="C535">
            <v>24.8</v>
          </cell>
          <cell r="D535">
            <v>14</v>
          </cell>
          <cell r="E535">
            <v>0</v>
          </cell>
          <cell r="F535">
            <v>347.2</v>
          </cell>
        </row>
        <row r="536">
          <cell r="A536">
            <v>10449</v>
          </cell>
          <cell r="B536">
            <v>52</v>
          </cell>
          <cell r="C536">
            <v>5.6</v>
          </cell>
          <cell r="D536">
            <v>20</v>
          </cell>
          <cell r="E536">
            <v>0</v>
          </cell>
          <cell r="F536">
            <v>112</v>
          </cell>
        </row>
        <row r="537">
          <cell r="A537">
            <v>10449</v>
          </cell>
          <cell r="B537">
            <v>62</v>
          </cell>
          <cell r="C537">
            <v>39.4</v>
          </cell>
          <cell r="D537">
            <v>35</v>
          </cell>
          <cell r="E537">
            <v>0</v>
          </cell>
          <cell r="F537">
            <v>1379</v>
          </cell>
        </row>
        <row r="538">
          <cell r="A538">
            <v>10450</v>
          </cell>
          <cell r="B538">
            <v>10</v>
          </cell>
          <cell r="C538">
            <v>24.8</v>
          </cell>
          <cell r="D538">
            <v>20</v>
          </cell>
          <cell r="E538">
            <v>0.20000000298023224</v>
          </cell>
          <cell r="F538">
            <v>396.79999852180481</v>
          </cell>
        </row>
        <row r="539">
          <cell r="A539">
            <v>10450</v>
          </cell>
          <cell r="B539">
            <v>54</v>
          </cell>
          <cell r="C539">
            <v>5.9</v>
          </cell>
          <cell r="D539">
            <v>6</v>
          </cell>
          <cell r="E539">
            <v>0.20000000298023224</v>
          </cell>
          <cell r="F539">
            <v>28.319999894499784</v>
          </cell>
        </row>
        <row r="540">
          <cell r="A540">
            <v>10451</v>
          </cell>
          <cell r="B540">
            <v>55</v>
          </cell>
          <cell r="C540">
            <v>19.2</v>
          </cell>
          <cell r="D540">
            <v>120</v>
          </cell>
          <cell r="E540">
            <v>0.10000000149011612</v>
          </cell>
          <cell r="F540">
            <v>2073.5999965667725</v>
          </cell>
        </row>
        <row r="541">
          <cell r="A541">
            <v>10451</v>
          </cell>
          <cell r="B541">
            <v>64</v>
          </cell>
          <cell r="C541">
            <v>26.6</v>
          </cell>
          <cell r="D541">
            <v>35</v>
          </cell>
          <cell r="E541">
            <v>0.10000000149011612</v>
          </cell>
          <cell r="F541">
            <v>837.89999861270189</v>
          </cell>
        </row>
        <row r="542">
          <cell r="A542">
            <v>10451</v>
          </cell>
          <cell r="B542">
            <v>65</v>
          </cell>
          <cell r="C542">
            <v>16.8</v>
          </cell>
          <cell r="D542">
            <v>28</v>
          </cell>
          <cell r="E542">
            <v>0.10000000149011612</v>
          </cell>
          <cell r="F542">
            <v>423.35999929904943</v>
          </cell>
        </row>
        <row r="543">
          <cell r="A543">
            <v>10451</v>
          </cell>
          <cell r="B543">
            <v>77</v>
          </cell>
          <cell r="C543">
            <v>10.4</v>
          </cell>
          <cell r="D543">
            <v>55</v>
          </cell>
          <cell r="E543">
            <v>0.10000000149011612</v>
          </cell>
          <cell r="F543">
            <v>514.79999914765358</v>
          </cell>
        </row>
        <row r="544">
          <cell r="A544">
            <v>10452</v>
          </cell>
          <cell r="B544">
            <v>28</v>
          </cell>
          <cell r="C544">
            <v>36.4</v>
          </cell>
          <cell r="D544">
            <v>15</v>
          </cell>
          <cell r="E544">
            <v>0</v>
          </cell>
          <cell r="F544">
            <v>546</v>
          </cell>
        </row>
        <row r="545">
          <cell r="A545">
            <v>10452</v>
          </cell>
          <cell r="B545">
            <v>44</v>
          </cell>
          <cell r="C545">
            <v>15.5</v>
          </cell>
          <cell r="D545">
            <v>100</v>
          </cell>
          <cell r="E545">
            <v>5.000000074505806E-2</v>
          </cell>
          <cell r="F545">
            <v>1472.49999884516</v>
          </cell>
        </row>
        <row r="546">
          <cell r="A546">
            <v>10453</v>
          </cell>
          <cell r="B546">
            <v>48</v>
          </cell>
          <cell r="C546">
            <v>10.199999999999999</v>
          </cell>
          <cell r="D546">
            <v>15</v>
          </cell>
          <cell r="E546">
            <v>0.10000000149011612</v>
          </cell>
          <cell r="F546">
            <v>137.69999977201223</v>
          </cell>
        </row>
        <row r="547">
          <cell r="A547">
            <v>10453</v>
          </cell>
          <cell r="B547">
            <v>70</v>
          </cell>
          <cell r="C547">
            <v>12</v>
          </cell>
          <cell r="D547">
            <v>25</v>
          </cell>
          <cell r="E547">
            <v>0.10000000149011612</v>
          </cell>
          <cell r="F547">
            <v>269.99999955296516</v>
          </cell>
        </row>
        <row r="548">
          <cell r="A548">
            <v>10454</v>
          </cell>
          <cell r="B548">
            <v>16</v>
          </cell>
          <cell r="C548">
            <v>13.9</v>
          </cell>
          <cell r="D548">
            <v>20</v>
          </cell>
          <cell r="E548">
            <v>0.20000000298023224</v>
          </cell>
          <cell r="F548">
            <v>222.39999917149544</v>
          </cell>
        </row>
        <row r="549">
          <cell r="A549">
            <v>10454</v>
          </cell>
          <cell r="B549">
            <v>33</v>
          </cell>
          <cell r="C549">
            <v>2</v>
          </cell>
          <cell r="D549">
            <v>20</v>
          </cell>
          <cell r="E549">
            <v>0.20000000298023224</v>
          </cell>
          <cell r="F549">
            <v>31.99999988079071</v>
          </cell>
        </row>
        <row r="550">
          <cell r="A550">
            <v>10454</v>
          </cell>
          <cell r="B550">
            <v>46</v>
          </cell>
          <cell r="C550">
            <v>9.6</v>
          </cell>
          <cell r="D550">
            <v>10</v>
          </cell>
          <cell r="E550">
            <v>0.20000000298023224</v>
          </cell>
          <cell r="F550">
            <v>76.799999713897705</v>
          </cell>
        </row>
        <row r="551">
          <cell r="A551">
            <v>10455</v>
          </cell>
          <cell r="B551">
            <v>39</v>
          </cell>
          <cell r="C551">
            <v>14.4</v>
          </cell>
          <cell r="D551">
            <v>20</v>
          </cell>
          <cell r="E551">
            <v>0</v>
          </cell>
          <cell r="F551">
            <v>288</v>
          </cell>
        </row>
        <row r="552">
          <cell r="A552">
            <v>10455</v>
          </cell>
          <cell r="B552">
            <v>53</v>
          </cell>
          <cell r="C552">
            <v>26.2</v>
          </cell>
          <cell r="D552">
            <v>50</v>
          </cell>
          <cell r="E552">
            <v>0</v>
          </cell>
          <cell r="F552">
            <v>1310</v>
          </cell>
        </row>
        <row r="553">
          <cell r="A553">
            <v>10455</v>
          </cell>
          <cell r="B553">
            <v>61</v>
          </cell>
          <cell r="C553">
            <v>22.8</v>
          </cell>
          <cell r="D553">
            <v>25</v>
          </cell>
          <cell r="E553">
            <v>0</v>
          </cell>
          <cell r="F553">
            <v>570</v>
          </cell>
        </row>
        <row r="554">
          <cell r="A554">
            <v>10455</v>
          </cell>
          <cell r="B554">
            <v>71</v>
          </cell>
          <cell r="C554">
            <v>17.2</v>
          </cell>
          <cell r="D554">
            <v>30</v>
          </cell>
          <cell r="E554">
            <v>0</v>
          </cell>
          <cell r="F554">
            <v>516</v>
          </cell>
        </row>
        <row r="555">
          <cell r="A555">
            <v>10456</v>
          </cell>
          <cell r="B555">
            <v>21</v>
          </cell>
          <cell r="C555">
            <v>8</v>
          </cell>
          <cell r="D555">
            <v>40</v>
          </cell>
          <cell r="E555">
            <v>0.15000000596046448</v>
          </cell>
          <cell r="F555">
            <v>271.99999809265137</v>
          </cell>
        </row>
        <row r="556">
          <cell r="A556">
            <v>10456</v>
          </cell>
          <cell r="B556">
            <v>49</v>
          </cell>
          <cell r="C556">
            <v>16</v>
          </cell>
          <cell r="D556">
            <v>21</v>
          </cell>
          <cell r="E556">
            <v>0.15000000596046448</v>
          </cell>
          <cell r="F556">
            <v>285.59999799728394</v>
          </cell>
        </row>
        <row r="557">
          <cell r="A557">
            <v>10457</v>
          </cell>
          <cell r="B557">
            <v>59</v>
          </cell>
          <cell r="C557">
            <v>44</v>
          </cell>
          <cell r="D557">
            <v>36</v>
          </cell>
          <cell r="E557">
            <v>0</v>
          </cell>
          <cell r="F557">
            <v>1584</v>
          </cell>
        </row>
        <row r="558">
          <cell r="A558">
            <v>10458</v>
          </cell>
          <cell r="B558">
            <v>26</v>
          </cell>
          <cell r="C558">
            <v>24.9</v>
          </cell>
          <cell r="D558">
            <v>30</v>
          </cell>
          <cell r="E558">
            <v>0</v>
          </cell>
          <cell r="F558">
            <v>747</v>
          </cell>
        </row>
        <row r="559">
          <cell r="A559">
            <v>10458</v>
          </cell>
          <cell r="B559">
            <v>28</v>
          </cell>
          <cell r="C559">
            <v>36.4</v>
          </cell>
          <cell r="D559">
            <v>30</v>
          </cell>
          <cell r="E559">
            <v>0</v>
          </cell>
          <cell r="F559">
            <v>1092</v>
          </cell>
        </row>
        <row r="560">
          <cell r="A560">
            <v>10458</v>
          </cell>
          <cell r="B560">
            <v>43</v>
          </cell>
          <cell r="C560">
            <v>36.799999999999997</v>
          </cell>
          <cell r="D560">
            <v>20</v>
          </cell>
          <cell r="E560">
            <v>0</v>
          </cell>
          <cell r="F560">
            <v>736</v>
          </cell>
        </row>
        <row r="561">
          <cell r="A561">
            <v>10458</v>
          </cell>
          <cell r="B561">
            <v>56</v>
          </cell>
          <cell r="C561">
            <v>30.4</v>
          </cell>
          <cell r="D561">
            <v>15</v>
          </cell>
          <cell r="E561">
            <v>0</v>
          </cell>
          <cell r="F561">
            <v>456</v>
          </cell>
        </row>
        <row r="562">
          <cell r="A562">
            <v>10458</v>
          </cell>
          <cell r="B562">
            <v>71</v>
          </cell>
          <cell r="C562">
            <v>17.2</v>
          </cell>
          <cell r="D562">
            <v>50</v>
          </cell>
          <cell r="E562">
            <v>0</v>
          </cell>
          <cell r="F562">
            <v>860</v>
          </cell>
        </row>
        <row r="563">
          <cell r="A563">
            <v>10459</v>
          </cell>
          <cell r="B563">
            <v>7</v>
          </cell>
          <cell r="C563">
            <v>24</v>
          </cell>
          <cell r="D563">
            <v>16</v>
          </cell>
          <cell r="E563">
            <v>5.000000074505806E-2</v>
          </cell>
          <cell r="F563">
            <v>364.79999971389771</v>
          </cell>
        </row>
        <row r="564">
          <cell r="A564">
            <v>10459</v>
          </cell>
          <cell r="B564">
            <v>46</v>
          </cell>
          <cell r="C564">
            <v>9.6</v>
          </cell>
          <cell r="D564">
            <v>20</v>
          </cell>
          <cell r="E564">
            <v>5.000000074505806E-2</v>
          </cell>
          <cell r="F564">
            <v>182.39999985694885</v>
          </cell>
        </row>
        <row r="565">
          <cell r="A565">
            <v>10459</v>
          </cell>
          <cell r="B565">
            <v>72</v>
          </cell>
          <cell r="C565">
            <v>27.8</v>
          </cell>
          <cell r="D565">
            <v>40</v>
          </cell>
          <cell r="E565">
            <v>0</v>
          </cell>
          <cell r="F565">
            <v>1112</v>
          </cell>
        </row>
        <row r="566">
          <cell r="A566">
            <v>10460</v>
          </cell>
          <cell r="B566">
            <v>68</v>
          </cell>
          <cell r="C566">
            <v>10</v>
          </cell>
          <cell r="D566">
            <v>21</v>
          </cell>
          <cell r="E566">
            <v>0.25</v>
          </cell>
          <cell r="F566">
            <v>157.5</v>
          </cell>
        </row>
        <row r="567">
          <cell r="A567">
            <v>10460</v>
          </cell>
          <cell r="B567">
            <v>75</v>
          </cell>
          <cell r="C567">
            <v>6.2</v>
          </cell>
          <cell r="D567">
            <v>4</v>
          </cell>
          <cell r="E567">
            <v>0.25</v>
          </cell>
          <cell r="F567">
            <v>18.600000000000001</v>
          </cell>
        </row>
        <row r="568">
          <cell r="A568">
            <v>10461</v>
          </cell>
          <cell r="B568">
            <v>21</v>
          </cell>
          <cell r="C568">
            <v>8</v>
          </cell>
          <cell r="D568">
            <v>40</v>
          </cell>
          <cell r="E568">
            <v>0.25</v>
          </cell>
          <cell r="F568">
            <v>240</v>
          </cell>
        </row>
        <row r="569">
          <cell r="A569">
            <v>10461</v>
          </cell>
          <cell r="B569">
            <v>30</v>
          </cell>
          <cell r="C569">
            <v>20.7</v>
          </cell>
          <cell r="D569">
            <v>28</v>
          </cell>
          <cell r="E569">
            <v>0.25</v>
          </cell>
          <cell r="F569">
            <v>434.70000000000005</v>
          </cell>
        </row>
        <row r="570">
          <cell r="A570">
            <v>10461</v>
          </cell>
          <cell r="B570">
            <v>55</v>
          </cell>
          <cell r="C570">
            <v>19.2</v>
          </cell>
          <cell r="D570">
            <v>60</v>
          </cell>
          <cell r="E570">
            <v>0.25</v>
          </cell>
          <cell r="F570">
            <v>864</v>
          </cell>
        </row>
        <row r="571">
          <cell r="A571">
            <v>10462</v>
          </cell>
          <cell r="B571">
            <v>13</v>
          </cell>
          <cell r="C571">
            <v>4.8</v>
          </cell>
          <cell r="D571">
            <v>1</v>
          </cell>
          <cell r="E571">
            <v>0</v>
          </cell>
          <cell r="F571">
            <v>4.8</v>
          </cell>
        </row>
        <row r="572">
          <cell r="A572">
            <v>10462</v>
          </cell>
          <cell r="B572">
            <v>23</v>
          </cell>
          <cell r="C572">
            <v>7.2</v>
          </cell>
          <cell r="D572">
            <v>21</v>
          </cell>
          <cell r="E572">
            <v>0</v>
          </cell>
          <cell r="F572">
            <v>151.20000000000002</v>
          </cell>
        </row>
        <row r="573">
          <cell r="A573">
            <v>10463</v>
          </cell>
          <cell r="B573">
            <v>19</v>
          </cell>
          <cell r="C573">
            <v>7.3</v>
          </cell>
          <cell r="D573">
            <v>21</v>
          </cell>
          <cell r="E573">
            <v>0</v>
          </cell>
          <cell r="F573">
            <v>153.29999999999998</v>
          </cell>
        </row>
        <row r="574">
          <cell r="A574">
            <v>10463</v>
          </cell>
          <cell r="B574">
            <v>42</v>
          </cell>
          <cell r="C574">
            <v>11.2</v>
          </cell>
          <cell r="D574">
            <v>50</v>
          </cell>
          <cell r="E574">
            <v>0</v>
          </cell>
          <cell r="F574">
            <v>560</v>
          </cell>
        </row>
        <row r="575">
          <cell r="A575">
            <v>10464</v>
          </cell>
          <cell r="B575">
            <v>4</v>
          </cell>
          <cell r="C575">
            <v>17.600000000000001</v>
          </cell>
          <cell r="D575">
            <v>16</v>
          </cell>
          <cell r="E575">
            <v>0.20000000298023224</v>
          </cell>
          <cell r="F575">
            <v>225.27999916076661</v>
          </cell>
        </row>
        <row r="576">
          <cell r="A576">
            <v>10464</v>
          </cell>
          <cell r="B576">
            <v>43</v>
          </cell>
          <cell r="C576">
            <v>36.799999999999997</v>
          </cell>
          <cell r="D576">
            <v>3</v>
          </cell>
          <cell r="E576">
            <v>0</v>
          </cell>
          <cell r="F576">
            <v>110.39999999999999</v>
          </cell>
        </row>
        <row r="577">
          <cell r="A577">
            <v>10464</v>
          </cell>
          <cell r="B577">
            <v>56</v>
          </cell>
          <cell r="C577">
            <v>30.4</v>
          </cell>
          <cell r="D577">
            <v>30</v>
          </cell>
          <cell r="E577">
            <v>0.20000000298023224</v>
          </cell>
          <cell r="F577">
            <v>729.5999972820282</v>
          </cell>
        </row>
        <row r="578">
          <cell r="A578">
            <v>10464</v>
          </cell>
          <cell r="B578">
            <v>60</v>
          </cell>
          <cell r="C578">
            <v>27.2</v>
          </cell>
          <cell r="D578">
            <v>20</v>
          </cell>
          <cell r="E578">
            <v>0</v>
          </cell>
          <cell r="F578">
            <v>544</v>
          </cell>
        </row>
        <row r="579">
          <cell r="A579">
            <v>10465</v>
          </cell>
          <cell r="B579">
            <v>24</v>
          </cell>
          <cell r="C579">
            <v>3.6</v>
          </cell>
          <cell r="D579">
            <v>25</v>
          </cell>
          <cell r="E579">
            <v>0</v>
          </cell>
          <cell r="F579">
            <v>90</v>
          </cell>
        </row>
        <row r="580">
          <cell r="A580">
            <v>10465</v>
          </cell>
          <cell r="B580">
            <v>29</v>
          </cell>
          <cell r="C580">
            <v>99</v>
          </cell>
          <cell r="D580">
            <v>18</v>
          </cell>
          <cell r="E580">
            <v>0.10000000149011612</v>
          </cell>
          <cell r="F580">
            <v>1603.7999973446131</v>
          </cell>
        </row>
        <row r="581">
          <cell r="A581">
            <v>10465</v>
          </cell>
          <cell r="B581">
            <v>40</v>
          </cell>
          <cell r="C581">
            <v>14.7</v>
          </cell>
          <cell r="D581">
            <v>20</v>
          </cell>
          <cell r="E581">
            <v>0</v>
          </cell>
          <cell r="F581">
            <v>294</v>
          </cell>
        </row>
        <row r="582">
          <cell r="A582">
            <v>10465</v>
          </cell>
          <cell r="B582">
            <v>45</v>
          </cell>
          <cell r="C582">
            <v>7.6</v>
          </cell>
          <cell r="D582">
            <v>30</v>
          </cell>
          <cell r="E582">
            <v>0.10000000149011612</v>
          </cell>
          <cell r="F582">
            <v>205.19999966025352</v>
          </cell>
        </row>
        <row r="583">
          <cell r="A583">
            <v>10465</v>
          </cell>
          <cell r="B583">
            <v>50</v>
          </cell>
          <cell r="C583">
            <v>13</v>
          </cell>
          <cell r="D583">
            <v>25</v>
          </cell>
          <cell r="E583">
            <v>0</v>
          </cell>
          <cell r="F583">
            <v>325</v>
          </cell>
        </row>
        <row r="584">
          <cell r="A584">
            <v>10466</v>
          </cell>
          <cell r="B584">
            <v>11</v>
          </cell>
          <cell r="C584">
            <v>16.8</v>
          </cell>
          <cell r="D584">
            <v>10</v>
          </cell>
          <cell r="E584">
            <v>0</v>
          </cell>
          <cell r="F584">
            <v>168</v>
          </cell>
        </row>
        <row r="585">
          <cell r="A585">
            <v>10466</v>
          </cell>
          <cell r="B585">
            <v>46</v>
          </cell>
          <cell r="C585">
            <v>9.6</v>
          </cell>
          <cell r="D585">
            <v>5</v>
          </cell>
          <cell r="E585">
            <v>0</v>
          </cell>
          <cell r="F585">
            <v>48</v>
          </cell>
        </row>
        <row r="586">
          <cell r="A586">
            <v>10467</v>
          </cell>
          <cell r="B586">
            <v>24</v>
          </cell>
          <cell r="C586">
            <v>3.6</v>
          </cell>
          <cell r="D586">
            <v>28</v>
          </cell>
          <cell r="E586">
            <v>0</v>
          </cell>
          <cell r="F586">
            <v>100.8</v>
          </cell>
        </row>
        <row r="587">
          <cell r="A587">
            <v>10467</v>
          </cell>
          <cell r="B587">
            <v>25</v>
          </cell>
          <cell r="C587">
            <v>11.2</v>
          </cell>
          <cell r="D587">
            <v>12</v>
          </cell>
          <cell r="E587">
            <v>0</v>
          </cell>
          <cell r="F587">
            <v>134.39999999999998</v>
          </cell>
        </row>
        <row r="588">
          <cell r="A588">
            <v>10468</v>
          </cell>
          <cell r="B588">
            <v>30</v>
          </cell>
          <cell r="C588">
            <v>20.7</v>
          </cell>
          <cell r="D588">
            <v>8</v>
          </cell>
          <cell r="E588">
            <v>0</v>
          </cell>
          <cell r="F588">
            <v>165.6</v>
          </cell>
        </row>
        <row r="589">
          <cell r="A589">
            <v>10468</v>
          </cell>
          <cell r="B589">
            <v>43</v>
          </cell>
          <cell r="C589">
            <v>36.799999999999997</v>
          </cell>
          <cell r="D589">
            <v>15</v>
          </cell>
          <cell r="E589">
            <v>0</v>
          </cell>
          <cell r="F589">
            <v>552</v>
          </cell>
        </row>
        <row r="590">
          <cell r="A590">
            <v>10469</v>
          </cell>
          <cell r="B590">
            <v>2</v>
          </cell>
          <cell r="C590">
            <v>15.2</v>
          </cell>
          <cell r="D590">
            <v>40</v>
          </cell>
          <cell r="E590">
            <v>0.15000000596046448</v>
          </cell>
          <cell r="F590">
            <v>516.7999963760376</v>
          </cell>
        </row>
        <row r="591">
          <cell r="A591">
            <v>10469</v>
          </cell>
          <cell r="B591">
            <v>16</v>
          </cell>
          <cell r="C591">
            <v>13.9</v>
          </cell>
          <cell r="D591">
            <v>35</v>
          </cell>
          <cell r="E591">
            <v>0.15000000596046448</v>
          </cell>
          <cell r="F591">
            <v>413.52499710023403</v>
          </cell>
        </row>
        <row r="592">
          <cell r="A592">
            <v>10469</v>
          </cell>
          <cell r="B592">
            <v>44</v>
          </cell>
          <cell r="C592">
            <v>15.5</v>
          </cell>
          <cell r="D592">
            <v>2</v>
          </cell>
          <cell r="E592">
            <v>0.15000000596046448</v>
          </cell>
          <cell r="F592">
            <v>26.349999815225601</v>
          </cell>
        </row>
        <row r="593">
          <cell r="A593">
            <v>10470</v>
          </cell>
          <cell r="B593">
            <v>18</v>
          </cell>
          <cell r="C593">
            <v>50</v>
          </cell>
          <cell r="D593">
            <v>30</v>
          </cell>
          <cell r="E593">
            <v>0</v>
          </cell>
          <cell r="F593">
            <v>1500</v>
          </cell>
        </row>
        <row r="594">
          <cell r="A594">
            <v>10470</v>
          </cell>
          <cell r="B594">
            <v>23</v>
          </cell>
          <cell r="C594">
            <v>7.2</v>
          </cell>
          <cell r="D594">
            <v>15</v>
          </cell>
          <cell r="E594">
            <v>0</v>
          </cell>
          <cell r="F594">
            <v>108</v>
          </cell>
        </row>
        <row r="595">
          <cell r="A595">
            <v>10470</v>
          </cell>
          <cell r="B595">
            <v>64</v>
          </cell>
          <cell r="C595">
            <v>26.6</v>
          </cell>
          <cell r="D595">
            <v>8</v>
          </cell>
          <cell r="E595">
            <v>0</v>
          </cell>
          <cell r="F595">
            <v>212.8</v>
          </cell>
        </row>
        <row r="596">
          <cell r="A596">
            <v>10471</v>
          </cell>
          <cell r="B596">
            <v>7</v>
          </cell>
          <cell r="C596">
            <v>24</v>
          </cell>
          <cell r="D596">
            <v>30</v>
          </cell>
          <cell r="E596">
            <v>0</v>
          </cell>
          <cell r="F596">
            <v>720</v>
          </cell>
        </row>
        <row r="597">
          <cell r="A597">
            <v>10471</v>
          </cell>
          <cell r="B597">
            <v>56</v>
          </cell>
          <cell r="C597">
            <v>30.4</v>
          </cell>
          <cell r="D597">
            <v>20</v>
          </cell>
          <cell r="E597">
            <v>0</v>
          </cell>
          <cell r="F597">
            <v>608</v>
          </cell>
        </row>
        <row r="598">
          <cell r="A598">
            <v>10472</v>
          </cell>
          <cell r="B598">
            <v>24</v>
          </cell>
          <cell r="C598">
            <v>3.6</v>
          </cell>
          <cell r="D598">
            <v>80</v>
          </cell>
          <cell r="E598">
            <v>5.000000074505806E-2</v>
          </cell>
          <cell r="F598">
            <v>273.59999978542328</v>
          </cell>
        </row>
        <row r="599">
          <cell r="A599">
            <v>10472</v>
          </cell>
          <cell r="B599">
            <v>51</v>
          </cell>
          <cell r="C599">
            <v>42.4</v>
          </cell>
          <cell r="D599">
            <v>18</v>
          </cell>
          <cell r="E599">
            <v>0</v>
          </cell>
          <cell r="F599">
            <v>763.19999999999993</v>
          </cell>
        </row>
        <row r="600">
          <cell r="A600">
            <v>10473</v>
          </cell>
          <cell r="B600">
            <v>33</v>
          </cell>
          <cell r="C600">
            <v>2</v>
          </cell>
          <cell r="D600">
            <v>12</v>
          </cell>
          <cell r="E600">
            <v>0</v>
          </cell>
          <cell r="F600">
            <v>24</v>
          </cell>
        </row>
        <row r="601">
          <cell r="A601">
            <v>10473</v>
          </cell>
          <cell r="B601">
            <v>71</v>
          </cell>
          <cell r="C601">
            <v>17.2</v>
          </cell>
          <cell r="D601">
            <v>12</v>
          </cell>
          <cell r="E601">
            <v>0</v>
          </cell>
          <cell r="F601">
            <v>206.39999999999998</v>
          </cell>
        </row>
        <row r="602">
          <cell r="A602">
            <v>10474</v>
          </cell>
          <cell r="B602">
            <v>14</v>
          </cell>
          <cell r="C602">
            <v>18.600000000000001</v>
          </cell>
          <cell r="D602">
            <v>12</v>
          </cell>
          <cell r="E602">
            <v>0</v>
          </cell>
          <cell r="F602">
            <v>223.20000000000002</v>
          </cell>
        </row>
        <row r="603">
          <cell r="A603">
            <v>10474</v>
          </cell>
          <cell r="B603">
            <v>28</v>
          </cell>
          <cell r="C603">
            <v>36.4</v>
          </cell>
          <cell r="D603">
            <v>18</v>
          </cell>
          <cell r="E603">
            <v>0</v>
          </cell>
          <cell r="F603">
            <v>655.19999999999993</v>
          </cell>
        </row>
        <row r="604">
          <cell r="A604">
            <v>10474</v>
          </cell>
          <cell r="B604">
            <v>40</v>
          </cell>
          <cell r="C604">
            <v>14.7</v>
          </cell>
          <cell r="D604">
            <v>21</v>
          </cell>
          <cell r="E604">
            <v>0</v>
          </cell>
          <cell r="F604">
            <v>308.7</v>
          </cell>
        </row>
        <row r="605">
          <cell r="A605">
            <v>10474</v>
          </cell>
          <cell r="B605">
            <v>75</v>
          </cell>
          <cell r="C605">
            <v>6.2</v>
          </cell>
          <cell r="D605">
            <v>10</v>
          </cell>
          <cell r="E605">
            <v>0</v>
          </cell>
          <cell r="F605">
            <v>62</v>
          </cell>
        </row>
        <row r="606">
          <cell r="A606">
            <v>10475</v>
          </cell>
          <cell r="B606">
            <v>31</v>
          </cell>
          <cell r="C606">
            <v>10</v>
          </cell>
          <cell r="D606">
            <v>35</v>
          </cell>
          <cell r="E606">
            <v>0.15000000596046448</v>
          </cell>
          <cell r="F606">
            <v>297.49999791383743</v>
          </cell>
        </row>
        <row r="607">
          <cell r="A607">
            <v>10475</v>
          </cell>
          <cell r="B607">
            <v>66</v>
          </cell>
          <cell r="C607">
            <v>13.6</v>
          </cell>
          <cell r="D607">
            <v>60</v>
          </cell>
          <cell r="E607">
            <v>0.15000000596046448</v>
          </cell>
          <cell r="F607">
            <v>693.59999513626099</v>
          </cell>
        </row>
        <row r="608">
          <cell r="A608">
            <v>10475</v>
          </cell>
          <cell r="B608">
            <v>76</v>
          </cell>
          <cell r="C608">
            <v>14.4</v>
          </cell>
          <cell r="D608">
            <v>42</v>
          </cell>
          <cell r="E608">
            <v>0.15000000596046448</v>
          </cell>
          <cell r="F608">
            <v>514.07999639511115</v>
          </cell>
        </row>
        <row r="609">
          <cell r="A609">
            <v>10476</v>
          </cell>
          <cell r="B609">
            <v>55</v>
          </cell>
          <cell r="C609">
            <v>19.2</v>
          </cell>
          <cell r="D609">
            <v>2</v>
          </cell>
          <cell r="E609">
            <v>5.000000074505806E-2</v>
          </cell>
          <cell r="F609">
            <v>36.479999971389766</v>
          </cell>
        </row>
        <row r="610">
          <cell r="A610">
            <v>10476</v>
          </cell>
          <cell r="B610">
            <v>70</v>
          </cell>
          <cell r="C610">
            <v>12</v>
          </cell>
          <cell r="D610">
            <v>12</v>
          </cell>
          <cell r="E610">
            <v>0</v>
          </cell>
          <cell r="F610">
            <v>144</v>
          </cell>
        </row>
        <row r="611">
          <cell r="A611">
            <v>10477</v>
          </cell>
          <cell r="B611">
            <v>1</v>
          </cell>
          <cell r="C611">
            <v>14.4</v>
          </cell>
          <cell r="D611">
            <v>15</v>
          </cell>
          <cell r="E611">
            <v>0</v>
          </cell>
          <cell r="F611">
            <v>216</v>
          </cell>
        </row>
        <row r="612">
          <cell r="A612">
            <v>10477</v>
          </cell>
          <cell r="B612">
            <v>21</v>
          </cell>
          <cell r="C612">
            <v>8</v>
          </cell>
          <cell r="D612">
            <v>21</v>
          </cell>
          <cell r="E612">
            <v>0.25</v>
          </cell>
          <cell r="F612">
            <v>126</v>
          </cell>
        </row>
        <row r="613">
          <cell r="A613">
            <v>10477</v>
          </cell>
          <cell r="B613">
            <v>39</v>
          </cell>
          <cell r="C613">
            <v>14.4</v>
          </cell>
          <cell r="D613">
            <v>20</v>
          </cell>
          <cell r="E613">
            <v>0.25</v>
          </cell>
          <cell r="F613">
            <v>216</v>
          </cell>
        </row>
        <row r="614">
          <cell r="A614">
            <v>10478</v>
          </cell>
          <cell r="B614">
            <v>10</v>
          </cell>
          <cell r="C614">
            <v>24.8</v>
          </cell>
          <cell r="D614">
            <v>20</v>
          </cell>
          <cell r="E614">
            <v>5.000000074505806E-2</v>
          </cell>
          <cell r="F614">
            <v>471.1999996304512</v>
          </cell>
        </row>
        <row r="615">
          <cell r="A615">
            <v>10479</v>
          </cell>
          <cell r="B615">
            <v>38</v>
          </cell>
          <cell r="C615">
            <v>210.8</v>
          </cell>
          <cell r="D615">
            <v>30</v>
          </cell>
          <cell r="E615">
            <v>0</v>
          </cell>
          <cell r="F615">
            <v>6324</v>
          </cell>
        </row>
        <row r="616">
          <cell r="A616">
            <v>10479</v>
          </cell>
          <cell r="B616">
            <v>53</v>
          </cell>
          <cell r="C616">
            <v>26.2</v>
          </cell>
          <cell r="D616">
            <v>28</v>
          </cell>
          <cell r="E616">
            <v>0</v>
          </cell>
          <cell r="F616">
            <v>733.6</v>
          </cell>
        </row>
        <row r="617">
          <cell r="A617">
            <v>10479</v>
          </cell>
          <cell r="B617">
            <v>59</v>
          </cell>
          <cell r="C617">
            <v>44</v>
          </cell>
          <cell r="D617">
            <v>60</v>
          </cell>
          <cell r="E617">
            <v>0</v>
          </cell>
          <cell r="F617">
            <v>2640</v>
          </cell>
        </row>
        <row r="618">
          <cell r="A618">
            <v>10479</v>
          </cell>
          <cell r="B618">
            <v>64</v>
          </cell>
          <cell r="C618">
            <v>26.6</v>
          </cell>
          <cell r="D618">
            <v>30</v>
          </cell>
          <cell r="E618">
            <v>0</v>
          </cell>
          <cell r="F618">
            <v>798</v>
          </cell>
        </row>
        <row r="619">
          <cell r="A619">
            <v>10480</v>
          </cell>
          <cell r="B619">
            <v>47</v>
          </cell>
          <cell r="C619">
            <v>7.6</v>
          </cell>
          <cell r="D619">
            <v>30</v>
          </cell>
          <cell r="E619">
            <v>0</v>
          </cell>
          <cell r="F619">
            <v>228</v>
          </cell>
        </row>
        <row r="620">
          <cell r="A620">
            <v>10480</v>
          </cell>
          <cell r="B620">
            <v>59</v>
          </cell>
          <cell r="C620">
            <v>44</v>
          </cell>
          <cell r="D620">
            <v>12</v>
          </cell>
          <cell r="E620">
            <v>0</v>
          </cell>
          <cell r="F620">
            <v>528</v>
          </cell>
        </row>
        <row r="621">
          <cell r="A621">
            <v>10481</v>
          </cell>
          <cell r="B621">
            <v>49</v>
          </cell>
          <cell r="C621">
            <v>16</v>
          </cell>
          <cell r="D621">
            <v>24</v>
          </cell>
          <cell r="E621">
            <v>0</v>
          </cell>
          <cell r="F621">
            <v>384</v>
          </cell>
        </row>
        <row r="622">
          <cell r="A622">
            <v>10481</v>
          </cell>
          <cell r="B622">
            <v>60</v>
          </cell>
          <cell r="C622">
            <v>27.2</v>
          </cell>
          <cell r="D622">
            <v>40</v>
          </cell>
          <cell r="E622">
            <v>0</v>
          </cell>
          <cell r="F622">
            <v>1088</v>
          </cell>
        </row>
        <row r="623">
          <cell r="A623">
            <v>10482</v>
          </cell>
          <cell r="B623">
            <v>40</v>
          </cell>
          <cell r="C623">
            <v>14.7</v>
          </cell>
          <cell r="D623">
            <v>10</v>
          </cell>
          <cell r="E623">
            <v>0</v>
          </cell>
          <cell r="F623">
            <v>147</v>
          </cell>
        </row>
        <row r="624">
          <cell r="A624">
            <v>10483</v>
          </cell>
          <cell r="B624">
            <v>34</v>
          </cell>
          <cell r="C624">
            <v>11.2</v>
          </cell>
          <cell r="D624">
            <v>35</v>
          </cell>
          <cell r="E624">
            <v>5.000000074505806E-2</v>
          </cell>
          <cell r="F624">
            <v>372.39999970793724</v>
          </cell>
        </row>
        <row r="625">
          <cell r="A625">
            <v>10483</v>
          </cell>
          <cell r="B625">
            <v>77</v>
          </cell>
          <cell r="C625">
            <v>10.4</v>
          </cell>
          <cell r="D625">
            <v>30</v>
          </cell>
          <cell r="E625">
            <v>5.000000074505806E-2</v>
          </cell>
          <cell r="F625">
            <v>296.39999976754189</v>
          </cell>
        </row>
        <row r="626">
          <cell r="A626">
            <v>10484</v>
          </cell>
          <cell r="B626">
            <v>21</v>
          </cell>
          <cell r="C626">
            <v>8</v>
          </cell>
          <cell r="D626">
            <v>14</v>
          </cell>
          <cell r="E626">
            <v>0</v>
          </cell>
          <cell r="F626">
            <v>112</v>
          </cell>
        </row>
        <row r="627">
          <cell r="A627">
            <v>10484</v>
          </cell>
          <cell r="B627">
            <v>40</v>
          </cell>
          <cell r="C627">
            <v>14.7</v>
          </cell>
          <cell r="D627">
            <v>10</v>
          </cell>
          <cell r="E627">
            <v>0</v>
          </cell>
          <cell r="F627">
            <v>147</v>
          </cell>
        </row>
        <row r="628">
          <cell r="A628">
            <v>10484</v>
          </cell>
          <cell r="B628">
            <v>51</v>
          </cell>
          <cell r="C628">
            <v>42.4</v>
          </cell>
          <cell r="D628">
            <v>3</v>
          </cell>
          <cell r="E628">
            <v>0</v>
          </cell>
          <cell r="F628">
            <v>127.19999999999999</v>
          </cell>
        </row>
        <row r="629">
          <cell r="A629">
            <v>10485</v>
          </cell>
          <cell r="B629">
            <v>2</v>
          </cell>
          <cell r="C629">
            <v>15.2</v>
          </cell>
          <cell r="D629">
            <v>20</v>
          </cell>
          <cell r="E629">
            <v>0.10000000149011612</v>
          </cell>
          <cell r="F629">
            <v>273.5999995470047</v>
          </cell>
        </row>
        <row r="630">
          <cell r="A630">
            <v>10485</v>
          </cell>
          <cell r="B630">
            <v>3</v>
          </cell>
          <cell r="C630">
            <v>8</v>
          </cell>
          <cell r="D630">
            <v>20</v>
          </cell>
          <cell r="E630">
            <v>0.10000000149011612</v>
          </cell>
          <cell r="F630">
            <v>143.99999976158142</v>
          </cell>
        </row>
        <row r="631">
          <cell r="A631">
            <v>10485</v>
          </cell>
          <cell r="B631">
            <v>55</v>
          </cell>
          <cell r="C631">
            <v>19.2</v>
          </cell>
          <cell r="D631">
            <v>30</v>
          </cell>
          <cell r="E631">
            <v>0.10000000149011612</v>
          </cell>
          <cell r="F631">
            <v>518.39999914169312</v>
          </cell>
        </row>
        <row r="632">
          <cell r="A632">
            <v>10485</v>
          </cell>
          <cell r="B632">
            <v>70</v>
          </cell>
          <cell r="C632">
            <v>12</v>
          </cell>
          <cell r="D632">
            <v>60</v>
          </cell>
          <cell r="E632">
            <v>0.10000000149011612</v>
          </cell>
          <cell r="F632">
            <v>647.99999892711639</v>
          </cell>
        </row>
        <row r="633">
          <cell r="A633">
            <v>10486</v>
          </cell>
          <cell r="B633">
            <v>11</v>
          </cell>
          <cell r="C633">
            <v>16.8</v>
          </cell>
          <cell r="D633">
            <v>5</v>
          </cell>
          <cell r="E633">
            <v>0</v>
          </cell>
          <cell r="F633">
            <v>84</v>
          </cell>
        </row>
        <row r="634">
          <cell r="A634">
            <v>10486</v>
          </cell>
          <cell r="B634">
            <v>51</v>
          </cell>
          <cell r="C634">
            <v>42.4</v>
          </cell>
          <cell r="D634">
            <v>25</v>
          </cell>
          <cell r="E634">
            <v>0</v>
          </cell>
          <cell r="F634">
            <v>1060</v>
          </cell>
        </row>
        <row r="635">
          <cell r="A635">
            <v>10486</v>
          </cell>
          <cell r="B635">
            <v>74</v>
          </cell>
          <cell r="C635">
            <v>8</v>
          </cell>
          <cell r="D635">
            <v>16</v>
          </cell>
          <cell r="E635">
            <v>0</v>
          </cell>
          <cell r="F635">
            <v>128</v>
          </cell>
        </row>
        <row r="636">
          <cell r="A636">
            <v>10487</v>
          </cell>
          <cell r="B636">
            <v>19</v>
          </cell>
          <cell r="C636">
            <v>7.3</v>
          </cell>
          <cell r="D636">
            <v>5</v>
          </cell>
          <cell r="E636">
            <v>0</v>
          </cell>
          <cell r="F636">
            <v>36.5</v>
          </cell>
        </row>
        <row r="637">
          <cell r="A637">
            <v>10487</v>
          </cell>
          <cell r="B637">
            <v>26</v>
          </cell>
          <cell r="C637">
            <v>24.9</v>
          </cell>
          <cell r="D637">
            <v>30</v>
          </cell>
          <cell r="E637">
            <v>0</v>
          </cell>
          <cell r="F637">
            <v>747</v>
          </cell>
        </row>
        <row r="638">
          <cell r="A638">
            <v>10487</v>
          </cell>
          <cell r="B638">
            <v>54</v>
          </cell>
          <cell r="C638">
            <v>5.9</v>
          </cell>
          <cell r="D638">
            <v>24</v>
          </cell>
          <cell r="E638">
            <v>0.25</v>
          </cell>
          <cell r="F638">
            <v>106.20000000000002</v>
          </cell>
        </row>
        <row r="639">
          <cell r="A639">
            <v>10488</v>
          </cell>
          <cell r="B639">
            <v>59</v>
          </cell>
          <cell r="C639">
            <v>44</v>
          </cell>
          <cell r="D639">
            <v>30</v>
          </cell>
          <cell r="E639">
            <v>0</v>
          </cell>
          <cell r="F639">
            <v>1320</v>
          </cell>
        </row>
        <row r="640">
          <cell r="A640">
            <v>10488</v>
          </cell>
          <cell r="B640">
            <v>73</v>
          </cell>
          <cell r="C640">
            <v>12</v>
          </cell>
          <cell r="D640">
            <v>20</v>
          </cell>
          <cell r="E640">
            <v>0.20000000298023224</v>
          </cell>
          <cell r="F640">
            <v>191.99999928474426</v>
          </cell>
        </row>
        <row r="641">
          <cell r="A641">
            <v>10489</v>
          </cell>
          <cell r="B641">
            <v>11</v>
          </cell>
          <cell r="C641">
            <v>16.8</v>
          </cell>
          <cell r="D641">
            <v>15</v>
          </cell>
          <cell r="E641">
            <v>0.25</v>
          </cell>
          <cell r="F641">
            <v>189</v>
          </cell>
        </row>
        <row r="642">
          <cell r="A642">
            <v>10489</v>
          </cell>
          <cell r="B642">
            <v>16</v>
          </cell>
          <cell r="C642">
            <v>13.9</v>
          </cell>
          <cell r="D642">
            <v>18</v>
          </cell>
          <cell r="E642">
            <v>0</v>
          </cell>
          <cell r="F642">
            <v>250.20000000000002</v>
          </cell>
        </row>
        <row r="643">
          <cell r="A643">
            <v>10490</v>
          </cell>
          <cell r="B643">
            <v>59</v>
          </cell>
          <cell r="C643">
            <v>44</v>
          </cell>
          <cell r="D643">
            <v>60</v>
          </cell>
          <cell r="E643">
            <v>0</v>
          </cell>
          <cell r="F643">
            <v>2640</v>
          </cell>
        </row>
        <row r="644">
          <cell r="A644">
            <v>10490</v>
          </cell>
          <cell r="B644">
            <v>68</v>
          </cell>
          <cell r="C644">
            <v>10</v>
          </cell>
          <cell r="D644">
            <v>30</v>
          </cell>
          <cell r="E644">
            <v>0</v>
          </cell>
          <cell r="F644">
            <v>300</v>
          </cell>
        </row>
        <row r="645">
          <cell r="A645">
            <v>10490</v>
          </cell>
          <cell r="B645">
            <v>75</v>
          </cell>
          <cell r="C645">
            <v>6.2</v>
          </cell>
          <cell r="D645">
            <v>36</v>
          </cell>
          <cell r="E645">
            <v>0</v>
          </cell>
          <cell r="F645">
            <v>223.20000000000002</v>
          </cell>
        </row>
        <row r="646">
          <cell r="A646">
            <v>10491</v>
          </cell>
          <cell r="B646">
            <v>44</v>
          </cell>
          <cell r="C646">
            <v>15.5</v>
          </cell>
          <cell r="D646">
            <v>15</v>
          </cell>
          <cell r="E646">
            <v>0.15000000596046448</v>
          </cell>
          <cell r="F646">
            <v>197.62499861419201</v>
          </cell>
        </row>
        <row r="647">
          <cell r="A647">
            <v>10491</v>
          </cell>
          <cell r="B647">
            <v>77</v>
          </cell>
          <cell r="C647">
            <v>10.4</v>
          </cell>
          <cell r="D647">
            <v>7</v>
          </cell>
          <cell r="E647">
            <v>0.15000000596046448</v>
          </cell>
          <cell r="F647">
            <v>61.879999566078183</v>
          </cell>
        </row>
        <row r="648">
          <cell r="A648">
            <v>10492</v>
          </cell>
          <cell r="B648">
            <v>25</v>
          </cell>
          <cell r="C648">
            <v>11.2</v>
          </cell>
          <cell r="D648">
            <v>60</v>
          </cell>
          <cell r="E648">
            <v>5.000000074505806E-2</v>
          </cell>
          <cell r="F648">
            <v>638.39999949932098</v>
          </cell>
        </row>
        <row r="649">
          <cell r="A649">
            <v>10492</v>
          </cell>
          <cell r="B649">
            <v>42</v>
          </cell>
          <cell r="C649">
            <v>11.2</v>
          </cell>
          <cell r="D649">
            <v>20</v>
          </cell>
          <cell r="E649">
            <v>5.000000074505806E-2</v>
          </cell>
          <cell r="F649">
            <v>212.79999983310699</v>
          </cell>
        </row>
        <row r="650">
          <cell r="A650">
            <v>10493</v>
          </cell>
          <cell r="B650">
            <v>65</v>
          </cell>
          <cell r="C650">
            <v>16.8</v>
          </cell>
          <cell r="D650">
            <v>15</v>
          </cell>
          <cell r="E650">
            <v>0.10000000149011612</v>
          </cell>
          <cell r="F650">
            <v>226.79999962449074</v>
          </cell>
        </row>
        <row r="651">
          <cell r="A651">
            <v>10493</v>
          </cell>
          <cell r="B651">
            <v>66</v>
          </cell>
          <cell r="C651">
            <v>13.6</v>
          </cell>
          <cell r="D651">
            <v>10</v>
          </cell>
          <cell r="E651">
            <v>0.10000000149011612</v>
          </cell>
          <cell r="F651">
            <v>122.39999979734421</v>
          </cell>
        </row>
        <row r="652">
          <cell r="A652">
            <v>10493</v>
          </cell>
          <cell r="B652">
            <v>69</v>
          </cell>
          <cell r="C652">
            <v>28.8</v>
          </cell>
          <cell r="D652">
            <v>10</v>
          </cell>
          <cell r="E652">
            <v>0.10000000149011612</v>
          </cell>
          <cell r="F652">
            <v>259.19999957084656</v>
          </cell>
        </row>
        <row r="653">
          <cell r="A653">
            <v>10494</v>
          </cell>
          <cell r="B653">
            <v>56</v>
          </cell>
          <cell r="C653">
            <v>30.4</v>
          </cell>
          <cell r="D653">
            <v>30</v>
          </cell>
          <cell r="E653">
            <v>0</v>
          </cell>
          <cell r="F653">
            <v>912</v>
          </cell>
        </row>
        <row r="654">
          <cell r="A654">
            <v>10495</v>
          </cell>
          <cell r="B654">
            <v>23</v>
          </cell>
          <cell r="C654">
            <v>7.2</v>
          </cell>
          <cell r="D654">
            <v>10</v>
          </cell>
          <cell r="E654">
            <v>0</v>
          </cell>
          <cell r="F654">
            <v>72</v>
          </cell>
        </row>
        <row r="655">
          <cell r="A655">
            <v>10495</v>
          </cell>
          <cell r="B655">
            <v>41</v>
          </cell>
          <cell r="C655">
            <v>7.7</v>
          </cell>
          <cell r="D655">
            <v>20</v>
          </cell>
          <cell r="E655">
            <v>0</v>
          </cell>
          <cell r="F655">
            <v>154</v>
          </cell>
        </row>
        <row r="656">
          <cell r="A656">
            <v>10495</v>
          </cell>
          <cell r="B656">
            <v>77</v>
          </cell>
          <cell r="C656">
            <v>10.4</v>
          </cell>
          <cell r="D656">
            <v>5</v>
          </cell>
          <cell r="E656">
            <v>0</v>
          </cell>
          <cell r="F656">
            <v>52</v>
          </cell>
        </row>
        <row r="657">
          <cell r="A657">
            <v>10496</v>
          </cell>
          <cell r="B657">
            <v>31</v>
          </cell>
          <cell r="C657">
            <v>10</v>
          </cell>
          <cell r="D657">
            <v>20</v>
          </cell>
          <cell r="E657">
            <v>5.000000074505806E-2</v>
          </cell>
          <cell r="F657">
            <v>189.99999985098839</v>
          </cell>
        </row>
        <row r="658">
          <cell r="A658">
            <v>10497</v>
          </cell>
          <cell r="B658">
            <v>56</v>
          </cell>
          <cell r="C658">
            <v>30.4</v>
          </cell>
          <cell r="D658">
            <v>14</v>
          </cell>
          <cell r="E658">
            <v>0</v>
          </cell>
          <cell r="F658">
            <v>425.59999999999997</v>
          </cell>
        </row>
        <row r="659">
          <cell r="A659">
            <v>10497</v>
          </cell>
          <cell r="B659">
            <v>72</v>
          </cell>
          <cell r="C659">
            <v>27.8</v>
          </cell>
          <cell r="D659">
            <v>25</v>
          </cell>
          <cell r="E659">
            <v>0</v>
          </cell>
          <cell r="F659">
            <v>695</v>
          </cell>
        </row>
        <row r="660">
          <cell r="A660">
            <v>10497</v>
          </cell>
          <cell r="B660">
            <v>77</v>
          </cell>
          <cell r="C660">
            <v>10.4</v>
          </cell>
          <cell r="D660">
            <v>25</v>
          </cell>
          <cell r="E660">
            <v>0</v>
          </cell>
          <cell r="F660">
            <v>260</v>
          </cell>
        </row>
        <row r="661">
          <cell r="A661">
            <v>10498</v>
          </cell>
          <cell r="B661">
            <v>24</v>
          </cell>
          <cell r="C661">
            <v>4.5</v>
          </cell>
          <cell r="D661">
            <v>14</v>
          </cell>
          <cell r="E661">
            <v>0</v>
          </cell>
          <cell r="F661">
            <v>63</v>
          </cell>
        </row>
        <row r="662">
          <cell r="A662">
            <v>10498</v>
          </cell>
          <cell r="B662">
            <v>40</v>
          </cell>
          <cell r="C662">
            <v>18.399999999999999</v>
          </cell>
          <cell r="D662">
            <v>5</v>
          </cell>
          <cell r="E662">
            <v>0</v>
          </cell>
          <cell r="F662">
            <v>92</v>
          </cell>
        </row>
        <row r="663">
          <cell r="A663">
            <v>10498</v>
          </cell>
          <cell r="B663">
            <v>42</v>
          </cell>
          <cell r="C663">
            <v>14</v>
          </cell>
          <cell r="D663">
            <v>30</v>
          </cell>
          <cell r="E663">
            <v>0</v>
          </cell>
          <cell r="F663">
            <v>420</v>
          </cell>
        </row>
        <row r="664">
          <cell r="A664">
            <v>10499</v>
          </cell>
          <cell r="B664">
            <v>28</v>
          </cell>
          <cell r="C664">
            <v>45.6</v>
          </cell>
          <cell r="D664">
            <v>20</v>
          </cell>
          <cell r="E664">
            <v>0</v>
          </cell>
          <cell r="F664">
            <v>912</v>
          </cell>
        </row>
        <row r="665">
          <cell r="A665">
            <v>10499</v>
          </cell>
          <cell r="B665">
            <v>49</v>
          </cell>
          <cell r="C665">
            <v>20</v>
          </cell>
          <cell r="D665">
            <v>25</v>
          </cell>
          <cell r="E665">
            <v>0</v>
          </cell>
          <cell r="F665">
            <v>500</v>
          </cell>
        </row>
        <row r="666">
          <cell r="A666">
            <v>10500</v>
          </cell>
          <cell r="B666">
            <v>15</v>
          </cell>
          <cell r="C666">
            <v>15.5</v>
          </cell>
          <cell r="D666">
            <v>12</v>
          </cell>
          <cell r="E666">
            <v>5.000000074505806E-2</v>
          </cell>
          <cell r="F666">
            <v>176.6999998614192</v>
          </cell>
        </row>
        <row r="667">
          <cell r="A667">
            <v>10500</v>
          </cell>
          <cell r="B667">
            <v>28</v>
          </cell>
          <cell r="C667">
            <v>45.6</v>
          </cell>
          <cell r="D667">
            <v>8</v>
          </cell>
          <cell r="E667">
            <v>5.000000074505806E-2</v>
          </cell>
          <cell r="F667">
            <v>346.55999972820285</v>
          </cell>
        </row>
        <row r="668">
          <cell r="A668">
            <v>10501</v>
          </cell>
          <cell r="B668">
            <v>54</v>
          </cell>
          <cell r="C668">
            <v>7.45</v>
          </cell>
          <cell r="D668">
            <v>20</v>
          </cell>
          <cell r="E668">
            <v>0</v>
          </cell>
          <cell r="F668">
            <v>149</v>
          </cell>
        </row>
        <row r="669">
          <cell r="A669">
            <v>10502</v>
          </cell>
          <cell r="B669">
            <v>45</v>
          </cell>
          <cell r="C669">
            <v>9.5</v>
          </cell>
          <cell r="D669">
            <v>21</v>
          </cell>
          <cell r="E669">
            <v>0</v>
          </cell>
          <cell r="F669">
            <v>199.5</v>
          </cell>
        </row>
        <row r="670">
          <cell r="A670">
            <v>10502</v>
          </cell>
          <cell r="B670">
            <v>53</v>
          </cell>
          <cell r="C670">
            <v>32.799999999999997</v>
          </cell>
          <cell r="D670">
            <v>6</v>
          </cell>
          <cell r="E670">
            <v>0</v>
          </cell>
          <cell r="F670">
            <v>196.79999999999998</v>
          </cell>
        </row>
        <row r="671">
          <cell r="A671">
            <v>10502</v>
          </cell>
          <cell r="B671">
            <v>67</v>
          </cell>
          <cell r="C671">
            <v>14</v>
          </cell>
          <cell r="D671">
            <v>30</v>
          </cell>
          <cell r="E671">
            <v>0</v>
          </cell>
          <cell r="F671">
            <v>420</v>
          </cell>
        </row>
        <row r="672">
          <cell r="A672">
            <v>10503</v>
          </cell>
          <cell r="B672">
            <v>14</v>
          </cell>
          <cell r="C672">
            <v>23.25</v>
          </cell>
          <cell r="D672">
            <v>70</v>
          </cell>
          <cell r="E672">
            <v>0</v>
          </cell>
          <cell r="F672">
            <v>1627.5</v>
          </cell>
        </row>
        <row r="673">
          <cell r="A673">
            <v>10503</v>
          </cell>
          <cell r="B673">
            <v>65</v>
          </cell>
          <cell r="C673">
            <v>21.05</v>
          </cell>
          <cell r="D673">
            <v>20</v>
          </cell>
          <cell r="E673">
            <v>0</v>
          </cell>
          <cell r="F673">
            <v>421</v>
          </cell>
        </row>
        <row r="674">
          <cell r="A674">
            <v>10504</v>
          </cell>
          <cell r="B674">
            <v>2</v>
          </cell>
          <cell r="C674">
            <v>19</v>
          </cell>
          <cell r="D674">
            <v>12</v>
          </cell>
          <cell r="E674">
            <v>0</v>
          </cell>
          <cell r="F674">
            <v>228</v>
          </cell>
        </row>
        <row r="675">
          <cell r="A675">
            <v>10504</v>
          </cell>
          <cell r="B675">
            <v>21</v>
          </cell>
          <cell r="C675">
            <v>10</v>
          </cell>
          <cell r="D675">
            <v>12</v>
          </cell>
          <cell r="E675">
            <v>0</v>
          </cell>
          <cell r="F675">
            <v>120</v>
          </cell>
        </row>
        <row r="676">
          <cell r="A676">
            <v>10504</v>
          </cell>
          <cell r="B676">
            <v>53</v>
          </cell>
          <cell r="C676">
            <v>32.799999999999997</v>
          </cell>
          <cell r="D676">
            <v>10</v>
          </cell>
          <cell r="E676">
            <v>0</v>
          </cell>
          <cell r="F676">
            <v>328</v>
          </cell>
        </row>
        <row r="677">
          <cell r="A677">
            <v>10504</v>
          </cell>
          <cell r="B677">
            <v>61</v>
          </cell>
          <cell r="C677">
            <v>28.5</v>
          </cell>
          <cell r="D677">
            <v>25</v>
          </cell>
          <cell r="E677">
            <v>0</v>
          </cell>
          <cell r="F677">
            <v>712.5</v>
          </cell>
        </row>
        <row r="678">
          <cell r="A678">
            <v>10505</v>
          </cell>
          <cell r="B678">
            <v>62</v>
          </cell>
          <cell r="C678">
            <v>49.3</v>
          </cell>
          <cell r="D678">
            <v>3</v>
          </cell>
          <cell r="E678">
            <v>0</v>
          </cell>
          <cell r="F678">
            <v>147.89999999999998</v>
          </cell>
        </row>
        <row r="679">
          <cell r="A679">
            <v>10506</v>
          </cell>
          <cell r="B679">
            <v>25</v>
          </cell>
          <cell r="C679">
            <v>14</v>
          </cell>
          <cell r="D679">
            <v>18</v>
          </cell>
          <cell r="E679">
            <v>0.10000000149011612</v>
          </cell>
          <cell r="F679">
            <v>226.79999962449074</v>
          </cell>
        </row>
        <row r="680">
          <cell r="A680">
            <v>10506</v>
          </cell>
          <cell r="B680">
            <v>70</v>
          </cell>
          <cell r="C680">
            <v>15</v>
          </cell>
          <cell r="D680">
            <v>14</v>
          </cell>
          <cell r="E680">
            <v>0.10000000149011612</v>
          </cell>
          <cell r="F680">
            <v>188.99999968707561</v>
          </cell>
        </row>
        <row r="681">
          <cell r="A681">
            <v>10507</v>
          </cell>
          <cell r="B681">
            <v>43</v>
          </cell>
          <cell r="C681">
            <v>46</v>
          </cell>
          <cell r="D681">
            <v>15</v>
          </cell>
          <cell r="E681">
            <v>0.15000000596046448</v>
          </cell>
          <cell r="F681">
            <v>586.49999588727951</v>
          </cell>
        </row>
        <row r="682">
          <cell r="A682">
            <v>10507</v>
          </cell>
          <cell r="B682">
            <v>48</v>
          </cell>
          <cell r="C682">
            <v>12.75</v>
          </cell>
          <cell r="D682">
            <v>15</v>
          </cell>
          <cell r="E682">
            <v>0.15000000596046448</v>
          </cell>
          <cell r="F682">
            <v>162.56249886006117</v>
          </cell>
        </row>
        <row r="683">
          <cell r="A683">
            <v>10508</v>
          </cell>
          <cell r="B683">
            <v>13</v>
          </cell>
          <cell r="C683">
            <v>6</v>
          </cell>
          <cell r="D683">
            <v>10</v>
          </cell>
          <cell r="E683">
            <v>0</v>
          </cell>
          <cell r="F683">
            <v>60</v>
          </cell>
        </row>
        <row r="684">
          <cell r="A684">
            <v>10508</v>
          </cell>
          <cell r="B684">
            <v>39</v>
          </cell>
          <cell r="C684">
            <v>18</v>
          </cell>
          <cell r="D684">
            <v>10</v>
          </cell>
          <cell r="E684">
            <v>0</v>
          </cell>
          <cell r="F684">
            <v>180</v>
          </cell>
        </row>
        <row r="685">
          <cell r="A685">
            <v>10509</v>
          </cell>
          <cell r="B685">
            <v>28</v>
          </cell>
          <cell r="C685">
            <v>45.6</v>
          </cell>
          <cell r="D685">
            <v>3</v>
          </cell>
          <cell r="E685">
            <v>0</v>
          </cell>
          <cell r="F685">
            <v>136.80000000000001</v>
          </cell>
        </row>
        <row r="686">
          <cell r="A686">
            <v>10510</v>
          </cell>
          <cell r="B686">
            <v>29</v>
          </cell>
          <cell r="C686">
            <v>123.79</v>
          </cell>
          <cell r="D686">
            <v>36</v>
          </cell>
          <cell r="E686">
            <v>0</v>
          </cell>
          <cell r="F686">
            <v>4456.4400000000005</v>
          </cell>
        </row>
        <row r="687">
          <cell r="A687">
            <v>10510</v>
          </cell>
          <cell r="B687">
            <v>75</v>
          </cell>
          <cell r="C687">
            <v>7.75</v>
          </cell>
          <cell r="D687">
            <v>36</v>
          </cell>
          <cell r="E687">
            <v>0.10000000149011612</v>
          </cell>
          <cell r="F687">
            <v>251.0999995842576</v>
          </cell>
        </row>
        <row r="688">
          <cell r="A688">
            <v>10511</v>
          </cell>
          <cell r="B688">
            <v>4</v>
          </cell>
          <cell r="C688">
            <v>22</v>
          </cell>
          <cell r="D688">
            <v>50</v>
          </cell>
          <cell r="E688">
            <v>0.15000000596046448</v>
          </cell>
          <cell r="F688">
            <v>934.99999344348907</v>
          </cell>
        </row>
        <row r="689">
          <cell r="A689">
            <v>10511</v>
          </cell>
          <cell r="B689">
            <v>7</v>
          </cell>
          <cell r="C689">
            <v>30</v>
          </cell>
          <cell r="D689">
            <v>50</v>
          </cell>
          <cell r="E689">
            <v>0.15000000596046448</v>
          </cell>
          <cell r="F689">
            <v>1274.9999910593033</v>
          </cell>
        </row>
        <row r="690">
          <cell r="A690">
            <v>10511</v>
          </cell>
          <cell r="B690">
            <v>8</v>
          </cell>
          <cell r="C690">
            <v>40</v>
          </cell>
          <cell r="D690">
            <v>10</v>
          </cell>
          <cell r="E690">
            <v>0.15000000596046448</v>
          </cell>
          <cell r="F690">
            <v>339.99999761581421</v>
          </cell>
        </row>
        <row r="691">
          <cell r="A691">
            <v>10512</v>
          </cell>
          <cell r="B691">
            <v>24</v>
          </cell>
          <cell r="C691">
            <v>4.5</v>
          </cell>
          <cell r="D691">
            <v>10</v>
          </cell>
          <cell r="E691">
            <v>0.15000000596046448</v>
          </cell>
          <cell r="F691">
            <v>38.249999731779099</v>
          </cell>
        </row>
        <row r="692">
          <cell r="A692">
            <v>10512</v>
          </cell>
          <cell r="B692">
            <v>46</v>
          </cell>
          <cell r="C692">
            <v>12</v>
          </cell>
          <cell r="D692">
            <v>9</v>
          </cell>
          <cell r="E692">
            <v>0.15000000596046448</v>
          </cell>
          <cell r="F692">
            <v>91.799999356269836</v>
          </cell>
        </row>
        <row r="693">
          <cell r="A693">
            <v>10512</v>
          </cell>
          <cell r="B693">
            <v>47</v>
          </cell>
          <cell r="C693">
            <v>9.5</v>
          </cell>
          <cell r="D693">
            <v>6</v>
          </cell>
          <cell r="E693">
            <v>0.15000000596046448</v>
          </cell>
          <cell r="F693">
            <v>48.449999660253525</v>
          </cell>
        </row>
        <row r="694">
          <cell r="A694">
            <v>10512</v>
          </cell>
          <cell r="B694">
            <v>60</v>
          </cell>
          <cell r="C694">
            <v>34</v>
          </cell>
          <cell r="D694">
            <v>12</v>
          </cell>
          <cell r="E694">
            <v>0.15000000596046448</v>
          </cell>
          <cell r="F694">
            <v>346.79999756813049</v>
          </cell>
        </row>
        <row r="695">
          <cell r="A695">
            <v>10513</v>
          </cell>
          <cell r="B695">
            <v>21</v>
          </cell>
          <cell r="C695">
            <v>10</v>
          </cell>
          <cell r="D695">
            <v>40</v>
          </cell>
          <cell r="E695">
            <v>0.20000000298023224</v>
          </cell>
          <cell r="F695">
            <v>319.9999988079071</v>
          </cell>
        </row>
        <row r="696">
          <cell r="A696">
            <v>10513</v>
          </cell>
          <cell r="B696">
            <v>32</v>
          </cell>
          <cell r="C696">
            <v>32</v>
          </cell>
          <cell r="D696">
            <v>50</v>
          </cell>
          <cell r="E696">
            <v>0.20000000298023224</v>
          </cell>
          <cell r="F696">
            <v>1279.9999952316284</v>
          </cell>
        </row>
        <row r="697">
          <cell r="A697">
            <v>10513</v>
          </cell>
          <cell r="B697">
            <v>61</v>
          </cell>
          <cell r="C697">
            <v>28.5</v>
          </cell>
          <cell r="D697">
            <v>15</v>
          </cell>
          <cell r="E697">
            <v>0.20000000298023224</v>
          </cell>
          <cell r="F697">
            <v>341.99999872595072</v>
          </cell>
        </row>
        <row r="698">
          <cell r="A698">
            <v>10514</v>
          </cell>
          <cell r="B698">
            <v>20</v>
          </cell>
          <cell r="C698">
            <v>81</v>
          </cell>
          <cell r="D698">
            <v>39</v>
          </cell>
          <cell r="E698">
            <v>0</v>
          </cell>
          <cell r="F698">
            <v>3159</v>
          </cell>
        </row>
        <row r="699">
          <cell r="A699">
            <v>10514</v>
          </cell>
          <cell r="B699">
            <v>28</v>
          </cell>
          <cell r="C699">
            <v>45.6</v>
          </cell>
          <cell r="D699">
            <v>35</v>
          </cell>
          <cell r="E699">
            <v>0</v>
          </cell>
          <cell r="F699">
            <v>1596</v>
          </cell>
        </row>
        <row r="700">
          <cell r="A700">
            <v>10514</v>
          </cell>
          <cell r="B700">
            <v>56</v>
          </cell>
          <cell r="C700">
            <v>38</v>
          </cell>
          <cell r="D700">
            <v>70</v>
          </cell>
          <cell r="E700">
            <v>0</v>
          </cell>
          <cell r="F700">
            <v>2660</v>
          </cell>
        </row>
        <row r="701">
          <cell r="A701">
            <v>10514</v>
          </cell>
          <cell r="B701">
            <v>65</v>
          </cell>
          <cell r="C701">
            <v>21.05</v>
          </cell>
          <cell r="D701">
            <v>39</v>
          </cell>
          <cell r="E701">
            <v>0</v>
          </cell>
          <cell r="F701">
            <v>820.95</v>
          </cell>
        </row>
        <row r="702">
          <cell r="A702">
            <v>10514</v>
          </cell>
          <cell r="B702">
            <v>75</v>
          </cell>
          <cell r="C702">
            <v>7.75</v>
          </cell>
          <cell r="D702">
            <v>50</v>
          </cell>
          <cell r="E702">
            <v>0</v>
          </cell>
          <cell r="F702">
            <v>387.5</v>
          </cell>
        </row>
        <row r="703">
          <cell r="A703">
            <v>10515</v>
          </cell>
          <cell r="B703">
            <v>9</v>
          </cell>
          <cell r="C703">
            <v>97</v>
          </cell>
          <cell r="D703">
            <v>16</v>
          </cell>
          <cell r="E703">
            <v>0.15000000596046448</v>
          </cell>
          <cell r="F703">
            <v>1319.1999907493591</v>
          </cell>
        </row>
        <row r="704">
          <cell r="A704">
            <v>10515</v>
          </cell>
          <cell r="B704">
            <v>16</v>
          </cell>
          <cell r="C704">
            <v>17.45</v>
          </cell>
          <cell r="D704">
            <v>50</v>
          </cell>
          <cell r="E704">
            <v>0</v>
          </cell>
          <cell r="F704">
            <v>872.5</v>
          </cell>
        </row>
        <row r="705">
          <cell r="A705">
            <v>10515</v>
          </cell>
          <cell r="B705">
            <v>27</v>
          </cell>
          <cell r="C705">
            <v>43.9</v>
          </cell>
          <cell r="D705">
            <v>120</v>
          </cell>
          <cell r="E705">
            <v>0</v>
          </cell>
          <cell r="F705">
            <v>5268</v>
          </cell>
        </row>
        <row r="706">
          <cell r="A706">
            <v>10515</v>
          </cell>
          <cell r="B706">
            <v>33</v>
          </cell>
          <cell r="C706">
            <v>2.5</v>
          </cell>
          <cell r="D706">
            <v>16</v>
          </cell>
          <cell r="E706">
            <v>0.15000000596046448</v>
          </cell>
          <cell r="F706">
            <v>33.999999761581421</v>
          </cell>
        </row>
        <row r="707">
          <cell r="A707">
            <v>10515</v>
          </cell>
          <cell r="B707">
            <v>60</v>
          </cell>
          <cell r="C707">
            <v>34</v>
          </cell>
          <cell r="D707">
            <v>84</v>
          </cell>
          <cell r="E707">
            <v>0.15000000596046448</v>
          </cell>
          <cell r="F707">
            <v>2427.5999829769135</v>
          </cell>
        </row>
        <row r="708">
          <cell r="A708">
            <v>10516</v>
          </cell>
          <cell r="B708">
            <v>18</v>
          </cell>
          <cell r="C708">
            <v>62.5</v>
          </cell>
          <cell r="D708">
            <v>25</v>
          </cell>
          <cell r="E708">
            <v>0.10000000149011612</v>
          </cell>
          <cell r="F708">
            <v>1406.2499976716936</v>
          </cell>
        </row>
        <row r="709">
          <cell r="A709">
            <v>10516</v>
          </cell>
          <cell r="B709">
            <v>41</v>
          </cell>
          <cell r="C709">
            <v>9.65</v>
          </cell>
          <cell r="D709">
            <v>80</v>
          </cell>
          <cell r="E709">
            <v>0.10000000149011612</v>
          </cell>
          <cell r="F709">
            <v>694.79999884963036</v>
          </cell>
        </row>
        <row r="710">
          <cell r="A710">
            <v>10516</v>
          </cell>
          <cell r="B710">
            <v>42</v>
          </cell>
          <cell r="C710">
            <v>14</v>
          </cell>
          <cell r="D710">
            <v>20</v>
          </cell>
          <cell r="E710">
            <v>0</v>
          </cell>
          <cell r="F710">
            <v>280</v>
          </cell>
        </row>
        <row r="711">
          <cell r="A711">
            <v>10517</v>
          </cell>
          <cell r="B711">
            <v>52</v>
          </cell>
          <cell r="C711">
            <v>7</v>
          </cell>
          <cell r="D711">
            <v>6</v>
          </cell>
          <cell r="E711">
            <v>0</v>
          </cell>
          <cell r="F711">
            <v>42</v>
          </cell>
        </row>
        <row r="712">
          <cell r="A712">
            <v>10517</v>
          </cell>
          <cell r="B712">
            <v>59</v>
          </cell>
          <cell r="C712">
            <v>55</v>
          </cell>
          <cell r="D712">
            <v>4</v>
          </cell>
          <cell r="E712">
            <v>0</v>
          </cell>
          <cell r="F712">
            <v>220</v>
          </cell>
        </row>
        <row r="713">
          <cell r="A713">
            <v>10517</v>
          </cell>
          <cell r="B713">
            <v>70</v>
          </cell>
          <cell r="C713">
            <v>15</v>
          </cell>
          <cell r="D713">
            <v>6</v>
          </cell>
          <cell r="E713">
            <v>0</v>
          </cell>
          <cell r="F713">
            <v>90</v>
          </cell>
        </row>
        <row r="714">
          <cell r="A714">
            <v>10518</v>
          </cell>
          <cell r="B714">
            <v>24</v>
          </cell>
          <cell r="C714">
            <v>4.5</v>
          </cell>
          <cell r="D714">
            <v>5</v>
          </cell>
          <cell r="E714">
            <v>0</v>
          </cell>
          <cell r="F714">
            <v>22.5</v>
          </cell>
        </row>
        <row r="715">
          <cell r="A715">
            <v>10518</v>
          </cell>
          <cell r="B715">
            <v>38</v>
          </cell>
          <cell r="C715">
            <v>263.5</v>
          </cell>
          <cell r="D715">
            <v>15</v>
          </cell>
          <cell r="E715">
            <v>0</v>
          </cell>
          <cell r="F715">
            <v>3952.5</v>
          </cell>
        </row>
        <row r="716">
          <cell r="A716">
            <v>10518</v>
          </cell>
          <cell r="B716">
            <v>44</v>
          </cell>
          <cell r="C716">
            <v>19.45</v>
          </cell>
          <cell r="D716">
            <v>9</v>
          </cell>
          <cell r="E716">
            <v>0</v>
          </cell>
          <cell r="F716">
            <v>175.04999999999998</v>
          </cell>
        </row>
        <row r="717">
          <cell r="A717">
            <v>10519</v>
          </cell>
          <cell r="B717">
            <v>10</v>
          </cell>
          <cell r="C717">
            <v>31</v>
          </cell>
          <cell r="D717">
            <v>16</v>
          </cell>
          <cell r="E717">
            <v>5.000000074505806E-2</v>
          </cell>
          <cell r="F717">
            <v>471.1999996304512</v>
          </cell>
        </row>
        <row r="718">
          <cell r="A718">
            <v>10519</v>
          </cell>
          <cell r="B718">
            <v>56</v>
          </cell>
          <cell r="C718">
            <v>38</v>
          </cell>
          <cell r="D718">
            <v>40</v>
          </cell>
          <cell r="E718">
            <v>0</v>
          </cell>
          <cell r="F718">
            <v>1520</v>
          </cell>
        </row>
        <row r="719">
          <cell r="A719">
            <v>10519</v>
          </cell>
          <cell r="B719">
            <v>60</v>
          </cell>
          <cell r="C719">
            <v>34</v>
          </cell>
          <cell r="D719">
            <v>10</v>
          </cell>
          <cell r="E719">
            <v>5.000000074505806E-2</v>
          </cell>
          <cell r="F719">
            <v>322.99999974668026</v>
          </cell>
        </row>
        <row r="720">
          <cell r="A720">
            <v>10520</v>
          </cell>
          <cell r="B720">
            <v>24</v>
          </cell>
          <cell r="C720">
            <v>4.5</v>
          </cell>
          <cell r="D720">
            <v>8</v>
          </cell>
          <cell r="E720">
            <v>0</v>
          </cell>
          <cell r="F720">
            <v>36</v>
          </cell>
        </row>
        <row r="721">
          <cell r="A721">
            <v>10520</v>
          </cell>
          <cell r="B721">
            <v>53</v>
          </cell>
          <cell r="C721">
            <v>32.799999999999997</v>
          </cell>
          <cell r="D721">
            <v>5</v>
          </cell>
          <cell r="E721">
            <v>0</v>
          </cell>
          <cell r="F721">
            <v>164</v>
          </cell>
        </row>
        <row r="722">
          <cell r="A722">
            <v>10521</v>
          </cell>
          <cell r="B722">
            <v>35</v>
          </cell>
          <cell r="C722">
            <v>18</v>
          </cell>
          <cell r="D722">
            <v>3</v>
          </cell>
          <cell r="E722">
            <v>0</v>
          </cell>
          <cell r="F722">
            <v>54</v>
          </cell>
        </row>
        <row r="723">
          <cell r="A723">
            <v>10521</v>
          </cell>
          <cell r="B723">
            <v>41</v>
          </cell>
          <cell r="C723">
            <v>9.65</v>
          </cell>
          <cell r="D723">
            <v>10</v>
          </cell>
          <cell r="E723">
            <v>0</v>
          </cell>
          <cell r="F723">
            <v>96.5</v>
          </cell>
        </row>
        <row r="724">
          <cell r="A724">
            <v>10521</v>
          </cell>
          <cell r="B724">
            <v>68</v>
          </cell>
          <cell r="C724">
            <v>12.5</v>
          </cell>
          <cell r="D724">
            <v>6</v>
          </cell>
          <cell r="E724">
            <v>0</v>
          </cell>
          <cell r="F724">
            <v>75</v>
          </cell>
        </row>
        <row r="725">
          <cell r="A725">
            <v>10522</v>
          </cell>
          <cell r="B725">
            <v>1</v>
          </cell>
          <cell r="C725">
            <v>18</v>
          </cell>
          <cell r="D725">
            <v>40</v>
          </cell>
          <cell r="E725">
            <v>0.20000000298023224</v>
          </cell>
          <cell r="F725">
            <v>575.99999785423279</v>
          </cell>
        </row>
        <row r="726">
          <cell r="A726">
            <v>10522</v>
          </cell>
          <cell r="B726">
            <v>8</v>
          </cell>
          <cell r="C726">
            <v>40</v>
          </cell>
          <cell r="D726">
            <v>24</v>
          </cell>
          <cell r="E726">
            <v>0</v>
          </cell>
          <cell r="F726">
            <v>960</v>
          </cell>
        </row>
        <row r="727">
          <cell r="A727">
            <v>10522</v>
          </cell>
          <cell r="B727">
            <v>30</v>
          </cell>
          <cell r="C727">
            <v>25.89</v>
          </cell>
          <cell r="D727">
            <v>20</v>
          </cell>
          <cell r="E727">
            <v>0.20000000298023224</v>
          </cell>
          <cell r="F727">
            <v>414.23999845683574</v>
          </cell>
        </row>
        <row r="728">
          <cell r="A728">
            <v>10522</v>
          </cell>
          <cell r="B728">
            <v>40</v>
          </cell>
          <cell r="C728">
            <v>18.399999999999999</v>
          </cell>
          <cell r="D728">
            <v>25</v>
          </cell>
          <cell r="E728">
            <v>0.20000000298023224</v>
          </cell>
          <cell r="F728">
            <v>367.99999862909311</v>
          </cell>
        </row>
        <row r="729">
          <cell r="A729">
            <v>10523</v>
          </cell>
          <cell r="B729">
            <v>17</v>
          </cell>
          <cell r="C729">
            <v>39</v>
          </cell>
          <cell r="D729">
            <v>25</v>
          </cell>
          <cell r="E729">
            <v>0.10000000149011612</v>
          </cell>
          <cell r="F729">
            <v>877.49999854713678</v>
          </cell>
        </row>
        <row r="730">
          <cell r="A730">
            <v>10523</v>
          </cell>
          <cell r="B730">
            <v>20</v>
          </cell>
          <cell r="C730">
            <v>81</v>
          </cell>
          <cell r="D730">
            <v>15</v>
          </cell>
          <cell r="E730">
            <v>0.10000000149011612</v>
          </cell>
          <cell r="F730">
            <v>1093.4999981895089</v>
          </cell>
        </row>
        <row r="731">
          <cell r="A731">
            <v>10523</v>
          </cell>
          <cell r="B731">
            <v>37</v>
          </cell>
          <cell r="C731">
            <v>26</v>
          </cell>
          <cell r="D731">
            <v>18</v>
          </cell>
          <cell r="E731">
            <v>0.10000000149011612</v>
          </cell>
          <cell r="F731">
            <v>421.19999930262566</v>
          </cell>
        </row>
        <row r="732">
          <cell r="A732">
            <v>10523</v>
          </cell>
          <cell r="B732">
            <v>41</v>
          </cell>
          <cell r="C732">
            <v>9.65</v>
          </cell>
          <cell r="D732">
            <v>6</v>
          </cell>
          <cell r="E732">
            <v>0.10000000149011612</v>
          </cell>
          <cell r="F732">
            <v>52.109999913722284</v>
          </cell>
        </row>
        <row r="733">
          <cell r="A733">
            <v>10524</v>
          </cell>
          <cell r="B733">
            <v>10</v>
          </cell>
          <cell r="C733">
            <v>31</v>
          </cell>
          <cell r="D733">
            <v>2</v>
          </cell>
          <cell r="E733">
            <v>0</v>
          </cell>
          <cell r="F733">
            <v>62</v>
          </cell>
        </row>
        <row r="734">
          <cell r="A734">
            <v>10524</v>
          </cell>
          <cell r="B734">
            <v>30</v>
          </cell>
          <cell r="C734">
            <v>25.89</v>
          </cell>
          <cell r="D734">
            <v>10</v>
          </cell>
          <cell r="E734">
            <v>0</v>
          </cell>
          <cell r="F734">
            <v>258.89999999999998</v>
          </cell>
        </row>
        <row r="735">
          <cell r="A735">
            <v>10524</v>
          </cell>
          <cell r="B735">
            <v>43</v>
          </cell>
          <cell r="C735">
            <v>46</v>
          </cell>
          <cell r="D735">
            <v>60</v>
          </cell>
          <cell r="E735">
            <v>0</v>
          </cell>
          <cell r="F735">
            <v>2760</v>
          </cell>
        </row>
        <row r="736">
          <cell r="A736">
            <v>10524</v>
          </cell>
          <cell r="B736">
            <v>54</v>
          </cell>
          <cell r="C736">
            <v>7.45</v>
          </cell>
          <cell r="D736">
            <v>15</v>
          </cell>
          <cell r="E736">
            <v>0</v>
          </cell>
          <cell r="F736">
            <v>111.75</v>
          </cell>
        </row>
        <row r="737">
          <cell r="A737">
            <v>10525</v>
          </cell>
          <cell r="B737">
            <v>36</v>
          </cell>
          <cell r="C737">
            <v>19</v>
          </cell>
          <cell r="D737">
            <v>30</v>
          </cell>
          <cell r="E737">
            <v>0</v>
          </cell>
          <cell r="F737">
            <v>570</v>
          </cell>
        </row>
        <row r="738">
          <cell r="A738">
            <v>10525</v>
          </cell>
          <cell r="B738">
            <v>40</v>
          </cell>
          <cell r="C738">
            <v>18.399999999999999</v>
          </cell>
          <cell r="D738">
            <v>15</v>
          </cell>
          <cell r="E738">
            <v>0.10000000149011612</v>
          </cell>
          <cell r="F738">
            <v>248.39999958872795</v>
          </cell>
        </row>
        <row r="739">
          <cell r="A739">
            <v>10526</v>
          </cell>
          <cell r="B739">
            <v>1</v>
          </cell>
          <cell r="C739">
            <v>18</v>
          </cell>
          <cell r="D739">
            <v>8</v>
          </cell>
          <cell r="E739">
            <v>0.15000000596046448</v>
          </cell>
          <cell r="F739">
            <v>122.39999914169312</v>
          </cell>
        </row>
        <row r="740">
          <cell r="A740">
            <v>10526</v>
          </cell>
          <cell r="B740">
            <v>13</v>
          </cell>
          <cell r="C740">
            <v>6</v>
          </cell>
          <cell r="D740">
            <v>10</v>
          </cell>
          <cell r="E740">
            <v>0</v>
          </cell>
          <cell r="F740">
            <v>60</v>
          </cell>
        </row>
        <row r="741">
          <cell r="A741">
            <v>10526</v>
          </cell>
          <cell r="B741">
            <v>56</v>
          </cell>
          <cell r="C741">
            <v>38</v>
          </cell>
          <cell r="D741">
            <v>30</v>
          </cell>
          <cell r="E741">
            <v>0.15000000596046448</v>
          </cell>
          <cell r="F741">
            <v>968.9999932050705</v>
          </cell>
        </row>
        <row r="742">
          <cell r="A742">
            <v>10527</v>
          </cell>
          <cell r="B742">
            <v>4</v>
          </cell>
          <cell r="C742">
            <v>22</v>
          </cell>
          <cell r="D742">
            <v>50</v>
          </cell>
          <cell r="E742">
            <v>0.10000000149011612</v>
          </cell>
          <cell r="F742">
            <v>989.99999836087227</v>
          </cell>
        </row>
        <row r="743">
          <cell r="A743">
            <v>10527</v>
          </cell>
          <cell r="B743">
            <v>36</v>
          </cell>
          <cell r="C743">
            <v>19</v>
          </cell>
          <cell r="D743">
            <v>30</v>
          </cell>
          <cell r="E743">
            <v>0.10000000149011612</v>
          </cell>
          <cell r="F743">
            <v>512.99999915063381</v>
          </cell>
        </row>
        <row r="744">
          <cell r="A744">
            <v>10528</v>
          </cell>
          <cell r="B744">
            <v>11</v>
          </cell>
          <cell r="C744">
            <v>21</v>
          </cell>
          <cell r="D744">
            <v>3</v>
          </cell>
          <cell r="E744">
            <v>0</v>
          </cell>
          <cell r="F744">
            <v>63</v>
          </cell>
        </row>
        <row r="745">
          <cell r="A745">
            <v>10528</v>
          </cell>
          <cell r="B745">
            <v>33</v>
          </cell>
          <cell r="C745">
            <v>2.5</v>
          </cell>
          <cell r="D745">
            <v>8</v>
          </cell>
          <cell r="E745">
            <v>0.20000000298023224</v>
          </cell>
          <cell r="F745">
            <v>15.999999940395355</v>
          </cell>
        </row>
        <row r="746">
          <cell r="A746">
            <v>10528</v>
          </cell>
          <cell r="B746">
            <v>72</v>
          </cell>
          <cell r="C746">
            <v>34.799999999999997</v>
          </cell>
          <cell r="D746">
            <v>9</v>
          </cell>
          <cell r="E746">
            <v>0</v>
          </cell>
          <cell r="F746">
            <v>313.2</v>
          </cell>
        </row>
        <row r="747">
          <cell r="A747">
            <v>10529</v>
          </cell>
          <cell r="B747">
            <v>55</v>
          </cell>
          <cell r="C747">
            <v>24</v>
          </cell>
          <cell r="D747">
            <v>14</v>
          </cell>
          <cell r="E747">
            <v>0</v>
          </cell>
          <cell r="F747">
            <v>336</v>
          </cell>
        </row>
        <row r="748">
          <cell r="A748">
            <v>10529</v>
          </cell>
          <cell r="B748">
            <v>68</v>
          </cell>
          <cell r="C748">
            <v>12.5</v>
          </cell>
          <cell r="D748">
            <v>20</v>
          </cell>
          <cell r="E748">
            <v>0</v>
          </cell>
          <cell r="F748">
            <v>250</v>
          </cell>
        </row>
        <row r="749">
          <cell r="A749">
            <v>10529</v>
          </cell>
          <cell r="B749">
            <v>69</v>
          </cell>
          <cell r="C749">
            <v>36</v>
          </cell>
          <cell r="D749">
            <v>10</v>
          </cell>
          <cell r="E749">
            <v>0</v>
          </cell>
          <cell r="F749">
            <v>360</v>
          </cell>
        </row>
        <row r="750">
          <cell r="A750">
            <v>10530</v>
          </cell>
          <cell r="B750">
            <v>17</v>
          </cell>
          <cell r="C750">
            <v>39</v>
          </cell>
          <cell r="D750">
            <v>40</v>
          </cell>
          <cell r="E750">
            <v>0</v>
          </cell>
          <cell r="F750">
            <v>1560</v>
          </cell>
        </row>
        <row r="751">
          <cell r="A751">
            <v>10530</v>
          </cell>
          <cell r="B751">
            <v>43</v>
          </cell>
          <cell r="C751">
            <v>46</v>
          </cell>
          <cell r="D751">
            <v>25</v>
          </cell>
          <cell r="E751">
            <v>0</v>
          </cell>
          <cell r="F751">
            <v>1150</v>
          </cell>
        </row>
        <row r="752">
          <cell r="A752">
            <v>10530</v>
          </cell>
          <cell r="B752">
            <v>61</v>
          </cell>
          <cell r="C752">
            <v>28.5</v>
          </cell>
          <cell r="D752">
            <v>20</v>
          </cell>
          <cell r="E752">
            <v>0</v>
          </cell>
          <cell r="F752">
            <v>570</v>
          </cell>
        </row>
        <row r="753">
          <cell r="A753">
            <v>10530</v>
          </cell>
          <cell r="B753">
            <v>76</v>
          </cell>
          <cell r="C753">
            <v>18</v>
          </cell>
          <cell r="D753">
            <v>50</v>
          </cell>
          <cell r="E753">
            <v>0</v>
          </cell>
          <cell r="F753">
            <v>900</v>
          </cell>
        </row>
        <row r="754">
          <cell r="A754">
            <v>10531</v>
          </cell>
          <cell r="B754">
            <v>59</v>
          </cell>
          <cell r="C754">
            <v>55</v>
          </cell>
          <cell r="D754">
            <v>2</v>
          </cell>
          <cell r="E754">
            <v>0</v>
          </cell>
          <cell r="F754">
            <v>110</v>
          </cell>
        </row>
        <row r="755">
          <cell r="A755">
            <v>10532</v>
          </cell>
          <cell r="B755">
            <v>30</v>
          </cell>
          <cell r="C755">
            <v>25.89</v>
          </cell>
          <cell r="D755">
            <v>15</v>
          </cell>
          <cell r="E755">
            <v>0</v>
          </cell>
          <cell r="F755">
            <v>388.35</v>
          </cell>
        </row>
        <row r="756">
          <cell r="A756">
            <v>10532</v>
          </cell>
          <cell r="B756">
            <v>66</v>
          </cell>
          <cell r="C756">
            <v>17</v>
          </cell>
          <cell r="D756">
            <v>24</v>
          </cell>
          <cell r="E756">
            <v>0</v>
          </cell>
          <cell r="F756">
            <v>408</v>
          </cell>
        </row>
        <row r="757">
          <cell r="A757">
            <v>10533</v>
          </cell>
          <cell r="B757">
            <v>4</v>
          </cell>
          <cell r="C757">
            <v>22</v>
          </cell>
          <cell r="D757">
            <v>50</v>
          </cell>
          <cell r="E757">
            <v>5.000000074505806E-2</v>
          </cell>
          <cell r="F757">
            <v>1044.9999991804361</v>
          </cell>
        </row>
        <row r="758">
          <cell r="A758">
            <v>10533</v>
          </cell>
          <cell r="B758">
            <v>72</v>
          </cell>
          <cell r="C758">
            <v>34.799999999999997</v>
          </cell>
          <cell r="D758">
            <v>24</v>
          </cell>
          <cell r="E758">
            <v>0</v>
          </cell>
          <cell r="F758">
            <v>835.19999999999993</v>
          </cell>
        </row>
        <row r="759">
          <cell r="A759">
            <v>10533</v>
          </cell>
          <cell r="B759">
            <v>73</v>
          </cell>
          <cell r="C759">
            <v>15</v>
          </cell>
          <cell r="D759">
            <v>24</v>
          </cell>
          <cell r="E759">
            <v>5.000000074505806E-2</v>
          </cell>
          <cell r="F759">
            <v>341.9999997317791</v>
          </cell>
        </row>
        <row r="760">
          <cell r="A760">
            <v>10534</v>
          </cell>
          <cell r="B760">
            <v>30</v>
          </cell>
          <cell r="C760">
            <v>25.89</v>
          </cell>
          <cell r="D760">
            <v>10</v>
          </cell>
          <cell r="E760">
            <v>0</v>
          </cell>
          <cell r="F760">
            <v>258.89999999999998</v>
          </cell>
        </row>
        <row r="761">
          <cell r="A761">
            <v>10534</v>
          </cell>
          <cell r="B761">
            <v>40</v>
          </cell>
          <cell r="C761">
            <v>18.399999999999999</v>
          </cell>
          <cell r="D761">
            <v>10</v>
          </cell>
          <cell r="E761">
            <v>0.20000000298023224</v>
          </cell>
          <cell r="F761">
            <v>147.19999945163727</v>
          </cell>
        </row>
        <row r="762">
          <cell r="A762">
            <v>10534</v>
          </cell>
          <cell r="B762">
            <v>54</v>
          </cell>
          <cell r="C762">
            <v>7.45</v>
          </cell>
          <cell r="D762">
            <v>10</v>
          </cell>
          <cell r="E762">
            <v>0.20000000298023224</v>
          </cell>
          <cell r="F762">
            <v>59.599999777972698</v>
          </cell>
        </row>
        <row r="763">
          <cell r="A763">
            <v>10535</v>
          </cell>
          <cell r="B763">
            <v>11</v>
          </cell>
          <cell r="C763">
            <v>21</v>
          </cell>
          <cell r="D763">
            <v>50</v>
          </cell>
          <cell r="E763">
            <v>0.10000000149011612</v>
          </cell>
          <cell r="F763">
            <v>944.99999843537807</v>
          </cell>
        </row>
        <row r="764">
          <cell r="A764">
            <v>10535</v>
          </cell>
          <cell r="B764">
            <v>40</v>
          </cell>
          <cell r="C764">
            <v>18.399999999999999</v>
          </cell>
          <cell r="D764">
            <v>10</v>
          </cell>
          <cell r="E764">
            <v>0.10000000149011612</v>
          </cell>
          <cell r="F764">
            <v>165.59999972581863</v>
          </cell>
        </row>
        <row r="765">
          <cell r="A765">
            <v>10535</v>
          </cell>
          <cell r="B765">
            <v>57</v>
          </cell>
          <cell r="C765">
            <v>19.5</v>
          </cell>
          <cell r="D765">
            <v>5</v>
          </cell>
          <cell r="E765">
            <v>0.10000000149011612</v>
          </cell>
          <cell r="F765">
            <v>87.749999854713678</v>
          </cell>
        </row>
        <row r="766">
          <cell r="A766">
            <v>10535</v>
          </cell>
          <cell r="B766">
            <v>59</v>
          </cell>
          <cell r="C766">
            <v>55</v>
          </cell>
          <cell r="D766">
            <v>15</v>
          </cell>
          <cell r="E766">
            <v>0.10000000149011612</v>
          </cell>
          <cell r="F766">
            <v>742.4999987706542</v>
          </cell>
        </row>
        <row r="767">
          <cell r="A767">
            <v>10536</v>
          </cell>
          <cell r="B767">
            <v>12</v>
          </cell>
          <cell r="C767">
            <v>38</v>
          </cell>
          <cell r="D767">
            <v>15</v>
          </cell>
          <cell r="E767">
            <v>0.25</v>
          </cell>
          <cell r="F767">
            <v>427.5</v>
          </cell>
        </row>
        <row r="768">
          <cell r="A768">
            <v>10536</v>
          </cell>
          <cell r="B768">
            <v>31</v>
          </cell>
          <cell r="C768">
            <v>12.5</v>
          </cell>
          <cell r="D768">
            <v>20</v>
          </cell>
          <cell r="E768">
            <v>0</v>
          </cell>
          <cell r="F768">
            <v>250</v>
          </cell>
        </row>
        <row r="769">
          <cell r="A769">
            <v>10536</v>
          </cell>
          <cell r="B769">
            <v>33</v>
          </cell>
          <cell r="C769">
            <v>2.5</v>
          </cell>
          <cell r="D769">
            <v>30</v>
          </cell>
          <cell r="E769">
            <v>0</v>
          </cell>
          <cell r="F769">
            <v>75</v>
          </cell>
        </row>
        <row r="770">
          <cell r="A770">
            <v>10536</v>
          </cell>
          <cell r="B770">
            <v>60</v>
          </cell>
          <cell r="C770">
            <v>34</v>
          </cell>
          <cell r="D770">
            <v>35</v>
          </cell>
          <cell r="E770">
            <v>0.25</v>
          </cell>
          <cell r="F770">
            <v>892.5</v>
          </cell>
        </row>
        <row r="771">
          <cell r="A771">
            <v>10537</v>
          </cell>
          <cell r="B771">
            <v>31</v>
          </cell>
          <cell r="C771">
            <v>12.5</v>
          </cell>
          <cell r="D771">
            <v>30</v>
          </cell>
          <cell r="E771">
            <v>0</v>
          </cell>
          <cell r="F771">
            <v>375</v>
          </cell>
        </row>
        <row r="772">
          <cell r="A772">
            <v>10537</v>
          </cell>
          <cell r="B772">
            <v>51</v>
          </cell>
          <cell r="C772">
            <v>53</v>
          </cell>
          <cell r="D772">
            <v>6</v>
          </cell>
          <cell r="E772">
            <v>0</v>
          </cell>
          <cell r="F772">
            <v>318</v>
          </cell>
        </row>
        <row r="773">
          <cell r="A773">
            <v>10537</v>
          </cell>
          <cell r="B773">
            <v>58</v>
          </cell>
          <cell r="C773">
            <v>13.25</v>
          </cell>
          <cell r="D773">
            <v>20</v>
          </cell>
          <cell r="E773">
            <v>0</v>
          </cell>
          <cell r="F773">
            <v>265</v>
          </cell>
        </row>
        <row r="774">
          <cell r="A774">
            <v>10537</v>
          </cell>
          <cell r="B774">
            <v>72</v>
          </cell>
          <cell r="C774">
            <v>34.799999999999997</v>
          </cell>
          <cell r="D774">
            <v>21</v>
          </cell>
          <cell r="E774">
            <v>0</v>
          </cell>
          <cell r="F774">
            <v>730.8</v>
          </cell>
        </row>
        <row r="775">
          <cell r="A775">
            <v>10537</v>
          </cell>
          <cell r="B775">
            <v>73</v>
          </cell>
          <cell r="C775">
            <v>15</v>
          </cell>
          <cell r="D775">
            <v>9</v>
          </cell>
          <cell r="E775">
            <v>0</v>
          </cell>
          <cell r="F775">
            <v>135</v>
          </cell>
        </row>
        <row r="776">
          <cell r="A776">
            <v>10538</v>
          </cell>
          <cell r="B776">
            <v>70</v>
          </cell>
          <cell r="C776">
            <v>15</v>
          </cell>
          <cell r="D776">
            <v>7</v>
          </cell>
          <cell r="E776">
            <v>0</v>
          </cell>
          <cell r="F776">
            <v>105</v>
          </cell>
        </row>
        <row r="777">
          <cell r="A777">
            <v>10538</v>
          </cell>
          <cell r="B777">
            <v>72</v>
          </cell>
          <cell r="C777">
            <v>34.799999999999997</v>
          </cell>
          <cell r="D777">
            <v>1</v>
          </cell>
          <cell r="E777">
            <v>0</v>
          </cell>
          <cell r="F777">
            <v>34.799999999999997</v>
          </cell>
        </row>
        <row r="778">
          <cell r="A778">
            <v>10539</v>
          </cell>
          <cell r="B778">
            <v>13</v>
          </cell>
          <cell r="C778">
            <v>6</v>
          </cell>
          <cell r="D778">
            <v>8</v>
          </cell>
          <cell r="E778">
            <v>0</v>
          </cell>
          <cell r="F778">
            <v>48</v>
          </cell>
        </row>
        <row r="779">
          <cell r="A779">
            <v>10539</v>
          </cell>
          <cell r="B779">
            <v>21</v>
          </cell>
          <cell r="C779">
            <v>10</v>
          </cell>
          <cell r="D779">
            <v>15</v>
          </cell>
          <cell r="E779">
            <v>0</v>
          </cell>
          <cell r="F779">
            <v>150</v>
          </cell>
        </row>
        <row r="780">
          <cell r="A780">
            <v>10539</v>
          </cell>
          <cell r="B780">
            <v>33</v>
          </cell>
          <cell r="C780">
            <v>2.5</v>
          </cell>
          <cell r="D780">
            <v>15</v>
          </cell>
          <cell r="E780">
            <v>0</v>
          </cell>
          <cell r="F780">
            <v>37.5</v>
          </cell>
        </row>
        <row r="781">
          <cell r="A781">
            <v>10539</v>
          </cell>
          <cell r="B781">
            <v>49</v>
          </cell>
          <cell r="C781">
            <v>20</v>
          </cell>
          <cell r="D781">
            <v>6</v>
          </cell>
          <cell r="E781">
            <v>0</v>
          </cell>
          <cell r="F781">
            <v>120</v>
          </cell>
        </row>
        <row r="782">
          <cell r="A782">
            <v>10540</v>
          </cell>
          <cell r="B782">
            <v>3</v>
          </cell>
          <cell r="C782">
            <v>10</v>
          </cell>
          <cell r="D782">
            <v>60</v>
          </cell>
          <cell r="E782">
            <v>0</v>
          </cell>
          <cell r="F782">
            <v>600</v>
          </cell>
        </row>
        <row r="783">
          <cell r="A783">
            <v>10540</v>
          </cell>
          <cell r="B783">
            <v>26</v>
          </cell>
          <cell r="C783">
            <v>31.23</v>
          </cell>
          <cell r="D783">
            <v>40</v>
          </cell>
          <cell r="E783">
            <v>0</v>
          </cell>
          <cell r="F783">
            <v>1249.2</v>
          </cell>
        </row>
        <row r="784">
          <cell r="A784">
            <v>10540</v>
          </cell>
          <cell r="B784">
            <v>38</v>
          </cell>
          <cell r="C784">
            <v>263.5</v>
          </cell>
          <cell r="D784">
            <v>30</v>
          </cell>
          <cell r="E784">
            <v>0</v>
          </cell>
          <cell r="F784">
            <v>7905</v>
          </cell>
        </row>
        <row r="785">
          <cell r="A785">
            <v>10540</v>
          </cell>
          <cell r="B785">
            <v>68</v>
          </cell>
          <cell r="C785">
            <v>12.5</v>
          </cell>
          <cell r="D785">
            <v>35</v>
          </cell>
          <cell r="E785">
            <v>0</v>
          </cell>
          <cell r="F785">
            <v>437.5</v>
          </cell>
        </row>
        <row r="786">
          <cell r="A786">
            <v>10541</v>
          </cell>
          <cell r="B786">
            <v>24</v>
          </cell>
          <cell r="C786">
            <v>4.5</v>
          </cell>
          <cell r="D786">
            <v>35</v>
          </cell>
          <cell r="E786">
            <v>0.10000000149011612</v>
          </cell>
          <cell r="F786">
            <v>141.74999976530671</v>
          </cell>
        </row>
        <row r="787">
          <cell r="A787">
            <v>10541</v>
          </cell>
          <cell r="B787">
            <v>38</v>
          </cell>
          <cell r="C787">
            <v>263.5</v>
          </cell>
          <cell r="D787">
            <v>4</v>
          </cell>
          <cell r="E787">
            <v>0.10000000149011612</v>
          </cell>
          <cell r="F787">
            <v>948.59999842941761</v>
          </cell>
        </row>
        <row r="788">
          <cell r="A788">
            <v>10541</v>
          </cell>
          <cell r="B788">
            <v>65</v>
          </cell>
          <cell r="C788">
            <v>21.05</v>
          </cell>
          <cell r="D788">
            <v>36</v>
          </cell>
          <cell r="E788">
            <v>0.10000000149011612</v>
          </cell>
          <cell r="F788">
            <v>682.01999887079012</v>
          </cell>
        </row>
        <row r="789">
          <cell r="A789">
            <v>10541</v>
          </cell>
          <cell r="B789">
            <v>71</v>
          </cell>
          <cell r="C789">
            <v>21.5</v>
          </cell>
          <cell r="D789">
            <v>9</v>
          </cell>
          <cell r="E789">
            <v>0.10000000149011612</v>
          </cell>
          <cell r="F789">
            <v>174.14999971166253</v>
          </cell>
        </row>
        <row r="790">
          <cell r="A790">
            <v>10542</v>
          </cell>
          <cell r="B790">
            <v>11</v>
          </cell>
          <cell r="C790">
            <v>21</v>
          </cell>
          <cell r="D790">
            <v>15</v>
          </cell>
          <cell r="E790">
            <v>5.000000074505806E-2</v>
          </cell>
          <cell r="F790">
            <v>299.24999976530671</v>
          </cell>
        </row>
        <row r="791">
          <cell r="A791">
            <v>10542</v>
          </cell>
          <cell r="B791">
            <v>54</v>
          </cell>
          <cell r="C791">
            <v>7.45</v>
          </cell>
          <cell r="D791">
            <v>24</v>
          </cell>
          <cell r="E791">
            <v>5.000000074505806E-2</v>
          </cell>
          <cell r="F791">
            <v>169.85999986678362</v>
          </cell>
        </row>
        <row r="792">
          <cell r="A792">
            <v>10543</v>
          </cell>
          <cell r="B792">
            <v>12</v>
          </cell>
          <cell r="C792">
            <v>38</v>
          </cell>
          <cell r="D792">
            <v>30</v>
          </cell>
          <cell r="E792">
            <v>0.15000000596046448</v>
          </cell>
          <cell r="F792">
            <v>968.9999932050705</v>
          </cell>
        </row>
        <row r="793">
          <cell r="A793">
            <v>10543</v>
          </cell>
          <cell r="B793">
            <v>23</v>
          </cell>
          <cell r="C793">
            <v>9</v>
          </cell>
          <cell r="D793">
            <v>70</v>
          </cell>
          <cell r="E793">
            <v>0.15000000596046448</v>
          </cell>
          <cell r="F793">
            <v>535.49999624490738</v>
          </cell>
        </row>
        <row r="794">
          <cell r="A794">
            <v>10544</v>
          </cell>
          <cell r="B794">
            <v>28</v>
          </cell>
          <cell r="C794">
            <v>45.6</v>
          </cell>
          <cell r="D794">
            <v>7</v>
          </cell>
          <cell r="E794">
            <v>0</v>
          </cell>
          <cell r="F794">
            <v>319.2</v>
          </cell>
        </row>
        <row r="795">
          <cell r="A795">
            <v>10544</v>
          </cell>
          <cell r="B795">
            <v>67</v>
          </cell>
          <cell r="C795">
            <v>14</v>
          </cell>
          <cell r="D795">
            <v>7</v>
          </cell>
          <cell r="E795">
            <v>0</v>
          </cell>
          <cell r="F795">
            <v>98</v>
          </cell>
        </row>
        <row r="796">
          <cell r="A796">
            <v>10545</v>
          </cell>
          <cell r="B796">
            <v>11</v>
          </cell>
          <cell r="C796">
            <v>21</v>
          </cell>
          <cell r="D796">
            <v>10</v>
          </cell>
          <cell r="E796">
            <v>0</v>
          </cell>
          <cell r="F796">
            <v>210</v>
          </cell>
        </row>
        <row r="797">
          <cell r="A797">
            <v>10546</v>
          </cell>
          <cell r="B797">
            <v>7</v>
          </cell>
          <cell r="C797">
            <v>30</v>
          </cell>
          <cell r="D797">
            <v>10</v>
          </cell>
          <cell r="E797">
            <v>0</v>
          </cell>
          <cell r="F797">
            <v>300</v>
          </cell>
        </row>
        <row r="798">
          <cell r="A798">
            <v>10546</v>
          </cell>
          <cell r="B798">
            <v>35</v>
          </cell>
          <cell r="C798">
            <v>18</v>
          </cell>
          <cell r="D798">
            <v>30</v>
          </cell>
          <cell r="E798">
            <v>0</v>
          </cell>
          <cell r="F798">
            <v>540</v>
          </cell>
        </row>
        <row r="799">
          <cell r="A799">
            <v>10546</v>
          </cell>
          <cell r="B799">
            <v>62</v>
          </cell>
          <cell r="C799">
            <v>49.3</v>
          </cell>
          <cell r="D799">
            <v>40</v>
          </cell>
          <cell r="E799">
            <v>0</v>
          </cell>
          <cell r="F799">
            <v>1972</v>
          </cell>
        </row>
        <row r="800">
          <cell r="A800">
            <v>10547</v>
          </cell>
          <cell r="B800">
            <v>32</v>
          </cell>
          <cell r="C800">
            <v>32</v>
          </cell>
          <cell r="D800">
            <v>24</v>
          </cell>
          <cell r="E800">
            <v>0.15000000596046448</v>
          </cell>
          <cell r="F800">
            <v>652.79999542236328</v>
          </cell>
        </row>
        <row r="801">
          <cell r="A801">
            <v>10547</v>
          </cell>
          <cell r="B801">
            <v>36</v>
          </cell>
          <cell r="C801">
            <v>19</v>
          </cell>
          <cell r="D801">
            <v>60</v>
          </cell>
          <cell r="E801">
            <v>0</v>
          </cell>
          <cell r="F801">
            <v>1140</v>
          </cell>
        </row>
        <row r="802">
          <cell r="A802">
            <v>10548</v>
          </cell>
          <cell r="B802">
            <v>34</v>
          </cell>
          <cell r="C802">
            <v>14</v>
          </cell>
          <cell r="D802">
            <v>10</v>
          </cell>
          <cell r="E802">
            <v>0.25</v>
          </cell>
          <cell r="F802">
            <v>105</v>
          </cell>
        </row>
        <row r="803">
          <cell r="A803">
            <v>10548</v>
          </cell>
          <cell r="B803">
            <v>41</v>
          </cell>
          <cell r="C803">
            <v>9.65</v>
          </cell>
          <cell r="D803">
            <v>14</v>
          </cell>
          <cell r="E803">
            <v>0</v>
          </cell>
          <cell r="F803">
            <v>135.1</v>
          </cell>
        </row>
        <row r="804">
          <cell r="A804">
            <v>10549</v>
          </cell>
          <cell r="B804">
            <v>31</v>
          </cell>
          <cell r="C804">
            <v>12.5</v>
          </cell>
          <cell r="D804">
            <v>55</v>
          </cell>
          <cell r="E804">
            <v>0.15000000596046448</v>
          </cell>
          <cell r="F804">
            <v>584.37499590218067</v>
          </cell>
        </row>
        <row r="805">
          <cell r="A805">
            <v>10549</v>
          </cell>
          <cell r="B805">
            <v>45</v>
          </cell>
          <cell r="C805">
            <v>9.5</v>
          </cell>
          <cell r="D805">
            <v>100</v>
          </cell>
          <cell r="E805">
            <v>0.15000000596046448</v>
          </cell>
          <cell r="F805">
            <v>807.49999433755875</v>
          </cell>
        </row>
        <row r="806">
          <cell r="A806">
            <v>10549</v>
          </cell>
          <cell r="B806">
            <v>51</v>
          </cell>
          <cell r="C806">
            <v>53</v>
          </cell>
          <cell r="D806">
            <v>48</v>
          </cell>
          <cell r="E806">
            <v>0.15000000596046448</v>
          </cell>
          <cell r="F806">
            <v>2162.3999848365784</v>
          </cell>
        </row>
        <row r="807">
          <cell r="A807">
            <v>10550</v>
          </cell>
          <cell r="B807">
            <v>17</v>
          </cell>
          <cell r="C807">
            <v>39</v>
          </cell>
          <cell r="D807">
            <v>8</v>
          </cell>
          <cell r="E807">
            <v>0.10000000149011612</v>
          </cell>
          <cell r="F807">
            <v>280.79999953508377</v>
          </cell>
        </row>
        <row r="808">
          <cell r="A808">
            <v>10550</v>
          </cell>
          <cell r="B808">
            <v>19</v>
          </cell>
          <cell r="C808">
            <v>9.1999999999999993</v>
          </cell>
          <cell r="D808">
            <v>10</v>
          </cell>
          <cell r="E808">
            <v>0</v>
          </cell>
          <cell r="F808">
            <v>92</v>
          </cell>
        </row>
        <row r="809">
          <cell r="A809">
            <v>10550</v>
          </cell>
          <cell r="B809">
            <v>21</v>
          </cell>
          <cell r="C809">
            <v>10</v>
          </cell>
          <cell r="D809">
            <v>6</v>
          </cell>
          <cell r="E809">
            <v>0.10000000149011612</v>
          </cell>
          <cell r="F809">
            <v>53.999999910593033</v>
          </cell>
        </row>
        <row r="810">
          <cell r="A810">
            <v>10550</v>
          </cell>
          <cell r="B810">
            <v>61</v>
          </cell>
          <cell r="C810">
            <v>28.5</v>
          </cell>
          <cell r="D810">
            <v>10</v>
          </cell>
          <cell r="E810">
            <v>0.10000000149011612</v>
          </cell>
          <cell r="F810">
            <v>256.49999957531691</v>
          </cell>
        </row>
        <row r="811">
          <cell r="A811">
            <v>10551</v>
          </cell>
          <cell r="B811">
            <v>16</v>
          </cell>
          <cell r="C811">
            <v>17.45</v>
          </cell>
          <cell r="D811">
            <v>40</v>
          </cell>
          <cell r="E811">
            <v>0.15000000596046448</v>
          </cell>
          <cell r="F811">
            <v>593.29999583959579</v>
          </cell>
        </row>
        <row r="812">
          <cell r="A812">
            <v>10551</v>
          </cell>
          <cell r="B812">
            <v>35</v>
          </cell>
          <cell r="C812">
            <v>18</v>
          </cell>
          <cell r="D812">
            <v>20</v>
          </cell>
          <cell r="E812">
            <v>0.15000000596046448</v>
          </cell>
          <cell r="F812">
            <v>305.99999785423279</v>
          </cell>
        </row>
        <row r="813">
          <cell r="A813">
            <v>10551</v>
          </cell>
          <cell r="B813">
            <v>44</v>
          </cell>
          <cell r="C813">
            <v>19.45</v>
          </cell>
          <cell r="D813">
            <v>40</v>
          </cell>
          <cell r="E813">
            <v>0</v>
          </cell>
          <cell r="F813">
            <v>778</v>
          </cell>
        </row>
        <row r="814">
          <cell r="A814">
            <v>10552</v>
          </cell>
          <cell r="B814">
            <v>69</v>
          </cell>
          <cell r="C814">
            <v>36</v>
          </cell>
          <cell r="D814">
            <v>18</v>
          </cell>
          <cell r="E814">
            <v>0</v>
          </cell>
          <cell r="F814">
            <v>648</v>
          </cell>
        </row>
        <row r="815">
          <cell r="A815">
            <v>10552</v>
          </cell>
          <cell r="B815">
            <v>75</v>
          </cell>
          <cell r="C815">
            <v>7.75</v>
          </cell>
          <cell r="D815">
            <v>30</v>
          </cell>
          <cell r="E815">
            <v>0</v>
          </cell>
          <cell r="F815">
            <v>232.5</v>
          </cell>
        </row>
        <row r="816">
          <cell r="A816">
            <v>10553</v>
          </cell>
          <cell r="B816">
            <v>11</v>
          </cell>
          <cell r="C816">
            <v>21</v>
          </cell>
          <cell r="D816">
            <v>15</v>
          </cell>
          <cell r="E816">
            <v>0</v>
          </cell>
          <cell r="F816">
            <v>315</v>
          </cell>
        </row>
        <row r="817">
          <cell r="A817">
            <v>10553</v>
          </cell>
          <cell r="B817">
            <v>16</v>
          </cell>
          <cell r="C817">
            <v>17.45</v>
          </cell>
          <cell r="D817">
            <v>14</v>
          </cell>
          <cell r="E817">
            <v>0</v>
          </cell>
          <cell r="F817">
            <v>244.29999999999998</v>
          </cell>
        </row>
        <row r="818">
          <cell r="A818">
            <v>10553</v>
          </cell>
          <cell r="B818">
            <v>22</v>
          </cell>
          <cell r="C818">
            <v>21</v>
          </cell>
          <cell r="D818">
            <v>24</v>
          </cell>
          <cell r="E818">
            <v>0</v>
          </cell>
          <cell r="F818">
            <v>504</v>
          </cell>
        </row>
        <row r="819">
          <cell r="A819">
            <v>10553</v>
          </cell>
          <cell r="B819">
            <v>31</v>
          </cell>
          <cell r="C819">
            <v>12.5</v>
          </cell>
          <cell r="D819">
            <v>30</v>
          </cell>
          <cell r="E819">
            <v>0</v>
          </cell>
          <cell r="F819">
            <v>375</v>
          </cell>
        </row>
        <row r="820">
          <cell r="A820">
            <v>10553</v>
          </cell>
          <cell r="B820">
            <v>35</v>
          </cell>
          <cell r="C820">
            <v>18</v>
          </cell>
          <cell r="D820">
            <v>6</v>
          </cell>
          <cell r="E820">
            <v>0</v>
          </cell>
          <cell r="F820">
            <v>108</v>
          </cell>
        </row>
        <row r="821">
          <cell r="A821">
            <v>10554</v>
          </cell>
          <cell r="B821">
            <v>16</v>
          </cell>
          <cell r="C821">
            <v>17.45</v>
          </cell>
          <cell r="D821">
            <v>30</v>
          </cell>
          <cell r="E821">
            <v>5.000000074505806E-2</v>
          </cell>
          <cell r="F821">
            <v>497.32499960996211</v>
          </cell>
        </row>
        <row r="822">
          <cell r="A822">
            <v>10554</v>
          </cell>
          <cell r="B822">
            <v>23</v>
          </cell>
          <cell r="C822">
            <v>9</v>
          </cell>
          <cell r="D822">
            <v>20</v>
          </cell>
          <cell r="E822">
            <v>5.000000074505806E-2</v>
          </cell>
          <cell r="F822">
            <v>170.99999986588955</v>
          </cell>
        </row>
        <row r="823">
          <cell r="A823">
            <v>10554</v>
          </cell>
          <cell r="B823">
            <v>62</v>
          </cell>
          <cell r="C823">
            <v>49.3</v>
          </cell>
          <cell r="D823">
            <v>20</v>
          </cell>
          <cell r="E823">
            <v>5.000000074505806E-2</v>
          </cell>
          <cell r="F823">
            <v>936.69999926537275</v>
          </cell>
        </row>
        <row r="824">
          <cell r="A824">
            <v>10554</v>
          </cell>
          <cell r="B824">
            <v>77</v>
          </cell>
          <cell r="C824">
            <v>13</v>
          </cell>
          <cell r="D824">
            <v>10</v>
          </cell>
          <cell r="E824">
            <v>5.000000074505806E-2</v>
          </cell>
          <cell r="F824">
            <v>123.49999990314245</v>
          </cell>
        </row>
        <row r="825">
          <cell r="A825">
            <v>10555</v>
          </cell>
          <cell r="B825">
            <v>14</v>
          </cell>
          <cell r="C825">
            <v>23.25</v>
          </cell>
          <cell r="D825">
            <v>30</v>
          </cell>
          <cell r="E825">
            <v>0.20000000298023224</v>
          </cell>
          <cell r="F825">
            <v>557.99999792128801</v>
          </cell>
        </row>
        <row r="826">
          <cell r="A826">
            <v>10555</v>
          </cell>
          <cell r="B826">
            <v>19</v>
          </cell>
          <cell r="C826">
            <v>9.1999999999999993</v>
          </cell>
          <cell r="D826">
            <v>35</v>
          </cell>
          <cell r="E826">
            <v>0.20000000298023224</v>
          </cell>
          <cell r="F826">
            <v>257.59999904036522</v>
          </cell>
        </row>
        <row r="827">
          <cell r="A827">
            <v>10555</v>
          </cell>
          <cell r="B827">
            <v>24</v>
          </cell>
          <cell r="C827">
            <v>4.5</v>
          </cell>
          <cell r="D827">
            <v>18</v>
          </cell>
          <cell r="E827">
            <v>0.20000000298023224</v>
          </cell>
          <cell r="F827">
            <v>64.799999758601189</v>
          </cell>
        </row>
        <row r="828">
          <cell r="A828">
            <v>10555</v>
          </cell>
          <cell r="B828">
            <v>51</v>
          </cell>
          <cell r="C828">
            <v>53</v>
          </cell>
          <cell r="D828">
            <v>20</v>
          </cell>
          <cell r="E828">
            <v>0.20000000298023224</v>
          </cell>
          <cell r="F828">
            <v>847.99999684095383</v>
          </cell>
        </row>
        <row r="829">
          <cell r="A829">
            <v>10555</v>
          </cell>
          <cell r="B829">
            <v>56</v>
          </cell>
          <cell r="C829">
            <v>38</v>
          </cell>
          <cell r="D829">
            <v>40</v>
          </cell>
          <cell r="E829">
            <v>0.20000000298023224</v>
          </cell>
          <cell r="F829">
            <v>1215.999995470047</v>
          </cell>
        </row>
        <row r="830">
          <cell r="A830">
            <v>10556</v>
          </cell>
          <cell r="B830">
            <v>72</v>
          </cell>
          <cell r="C830">
            <v>34.799999999999997</v>
          </cell>
          <cell r="D830">
            <v>24</v>
          </cell>
          <cell r="E830">
            <v>0</v>
          </cell>
          <cell r="F830">
            <v>835.19999999999993</v>
          </cell>
        </row>
        <row r="831">
          <cell r="A831">
            <v>10557</v>
          </cell>
          <cell r="B831">
            <v>64</v>
          </cell>
          <cell r="C831">
            <v>33.25</v>
          </cell>
          <cell r="D831">
            <v>30</v>
          </cell>
          <cell r="E831">
            <v>0</v>
          </cell>
          <cell r="F831">
            <v>997.5</v>
          </cell>
        </row>
        <row r="832">
          <cell r="A832">
            <v>10557</v>
          </cell>
          <cell r="B832">
            <v>75</v>
          </cell>
          <cell r="C832">
            <v>7.75</v>
          </cell>
          <cell r="D832">
            <v>20</v>
          </cell>
          <cell r="E832">
            <v>0</v>
          </cell>
          <cell r="F832">
            <v>155</v>
          </cell>
        </row>
        <row r="833">
          <cell r="A833">
            <v>10558</v>
          </cell>
          <cell r="B833">
            <v>47</v>
          </cell>
          <cell r="C833">
            <v>9.5</v>
          </cell>
          <cell r="D833">
            <v>25</v>
          </cell>
          <cell r="E833">
            <v>0</v>
          </cell>
          <cell r="F833">
            <v>237.5</v>
          </cell>
        </row>
        <row r="834">
          <cell r="A834">
            <v>10558</v>
          </cell>
          <cell r="B834">
            <v>51</v>
          </cell>
          <cell r="C834">
            <v>53</v>
          </cell>
          <cell r="D834">
            <v>20</v>
          </cell>
          <cell r="E834">
            <v>0</v>
          </cell>
          <cell r="F834">
            <v>1060</v>
          </cell>
        </row>
        <row r="835">
          <cell r="A835">
            <v>10558</v>
          </cell>
          <cell r="B835">
            <v>52</v>
          </cell>
          <cell r="C835">
            <v>7</v>
          </cell>
          <cell r="D835">
            <v>30</v>
          </cell>
          <cell r="E835">
            <v>0</v>
          </cell>
          <cell r="F835">
            <v>210</v>
          </cell>
        </row>
        <row r="836">
          <cell r="A836">
            <v>10558</v>
          </cell>
          <cell r="B836">
            <v>53</v>
          </cell>
          <cell r="C836">
            <v>32.799999999999997</v>
          </cell>
          <cell r="D836">
            <v>18</v>
          </cell>
          <cell r="E836">
            <v>0</v>
          </cell>
          <cell r="F836">
            <v>590.4</v>
          </cell>
        </row>
        <row r="837">
          <cell r="A837">
            <v>10558</v>
          </cell>
          <cell r="B837">
            <v>73</v>
          </cell>
          <cell r="C837">
            <v>15</v>
          </cell>
          <cell r="D837">
            <v>3</v>
          </cell>
          <cell r="E837">
            <v>0</v>
          </cell>
          <cell r="F837">
            <v>45</v>
          </cell>
        </row>
        <row r="838">
          <cell r="A838">
            <v>10559</v>
          </cell>
          <cell r="B838">
            <v>41</v>
          </cell>
          <cell r="C838">
            <v>9.65</v>
          </cell>
          <cell r="D838">
            <v>12</v>
          </cell>
          <cell r="E838">
            <v>5.000000074505806E-2</v>
          </cell>
          <cell r="F838">
            <v>110.00999991372228</v>
          </cell>
        </row>
        <row r="839">
          <cell r="A839">
            <v>10559</v>
          </cell>
          <cell r="B839">
            <v>55</v>
          </cell>
          <cell r="C839">
            <v>24</v>
          </cell>
          <cell r="D839">
            <v>18</v>
          </cell>
          <cell r="E839">
            <v>5.000000074505806E-2</v>
          </cell>
          <cell r="F839">
            <v>410.39999967813492</v>
          </cell>
        </row>
        <row r="840">
          <cell r="A840">
            <v>10560</v>
          </cell>
          <cell r="B840">
            <v>30</v>
          </cell>
          <cell r="C840">
            <v>25.89</v>
          </cell>
          <cell r="D840">
            <v>20</v>
          </cell>
          <cell r="E840">
            <v>0</v>
          </cell>
          <cell r="F840">
            <v>517.79999999999995</v>
          </cell>
        </row>
        <row r="841">
          <cell r="A841">
            <v>10560</v>
          </cell>
          <cell r="B841">
            <v>62</v>
          </cell>
          <cell r="C841">
            <v>49.3</v>
          </cell>
          <cell r="D841">
            <v>15</v>
          </cell>
          <cell r="E841">
            <v>0.25</v>
          </cell>
          <cell r="F841">
            <v>554.625</v>
          </cell>
        </row>
        <row r="842">
          <cell r="A842">
            <v>10561</v>
          </cell>
          <cell r="B842">
            <v>44</v>
          </cell>
          <cell r="C842">
            <v>19.45</v>
          </cell>
          <cell r="D842">
            <v>10</v>
          </cell>
          <cell r="E842">
            <v>0</v>
          </cell>
          <cell r="F842">
            <v>194.5</v>
          </cell>
        </row>
        <row r="843">
          <cell r="A843">
            <v>10561</v>
          </cell>
          <cell r="B843">
            <v>51</v>
          </cell>
          <cell r="C843">
            <v>53</v>
          </cell>
          <cell r="D843">
            <v>50</v>
          </cell>
          <cell r="E843">
            <v>0</v>
          </cell>
          <cell r="F843">
            <v>2650</v>
          </cell>
        </row>
        <row r="844">
          <cell r="A844">
            <v>10562</v>
          </cell>
          <cell r="B844">
            <v>33</v>
          </cell>
          <cell r="C844">
            <v>2.5</v>
          </cell>
          <cell r="D844">
            <v>20</v>
          </cell>
          <cell r="E844">
            <v>0.10000000149011612</v>
          </cell>
          <cell r="F844">
            <v>44.999999925494194</v>
          </cell>
        </row>
        <row r="845">
          <cell r="A845">
            <v>10562</v>
          </cell>
          <cell r="B845">
            <v>62</v>
          </cell>
          <cell r="C845">
            <v>49.3</v>
          </cell>
          <cell r="D845">
            <v>10</v>
          </cell>
          <cell r="E845">
            <v>0.10000000149011612</v>
          </cell>
          <cell r="F845">
            <v>443.69999926537275</v>
          </cell>
        </row>
        <row r="846">
          <cell r="A846">
            <v>10563</v>
          </cell>
          <cell r="B846">
            <v>36</v>
          </cell>
          <cell r="C846">
            <v>19</v>
          </cell>
          <cell r="D846">
            <v>25</v>
          </cell>
          <cell r="E846">
            <v>0</v>
          </cell>
          <cell r="F846">
            <v>475</v>
          </cell>
        </row>
        <row r="847">
          <cell r="A847">
            <v>10563</v>
          </cell>
          <cell r="B847">
            <v>52</v>
          </cell>
          <cell r="C847">
            <v>7</v>
          </cell>
          <cell r="D847">
            <v>70</v>
          </cell>
          <cell r="E847">
            <v>0</v>
          </cell>
          <cell r="F847">
            <v>490</v>
          </cell>
        </row>
        <row r="848">
          <cell r="A848">
            <v>10564</v>
          </cell>
          <cell r="B848">
            <v>17</v>
          </cell>
          <cell r="C848">
            <v>39</v>
          </cell>
          <cell r="D848">
            <v>16</v>
          </cell>
          <cell r="E848">
            <v>5.000000074505806E-2</v>
          </cell>
          <cell r="F848">
            <v>592.79999953508377</v>
          </cell>
        </row>
        <row r="849">
          <cell r="A849">
            <v>10564</v>
          </cell>
          <cell r="B849">
            <v>31</v>
          </cell>
          <cell r="C849">
            <v>12.5</v>
          </cell>
          <cell r="D849">
            <v>6</v>
          </cell>
          <cell r="E849">
            <v>5.000000074505806E-2</v>
          </cell>
          <cell r="F849">
            <v>71.249999944120646</v>
          </cell>
        </row>
        <row r="850">
          <cell r="A850">
            <v>10564</v>
          </cell>
          <cell r="B850">
            <v>55</v>
          </cell>
          <cell r="C850">
            <v>24</v>
          </cell>
          <cell r="D850">
            <v>25</v>
          </cell>
          <cell r="E850">
            <v>5.000000074505806E-2</v>
          </cell>
          <cell r="F850">
            <v>569.99999955296516</v>
          </cell>
        </row>
        <row r="851">
          <cell r="A851">
            <v>10565</v>
          </cell>
          <cell r="B851">
            <v>24</v>
          </cell>
          <cell r="C851">
            <v>4.5</v>
          </cell>
          <cell r="D851">
            <v>25</v>
          </cell>
          <cell r="E851">
            <v>0.10000000149011612</v>
          </cell>
          <cell r="F851">
            <v>101.24999983236194</v>
          </cell>
        </row>
        <row r="852">
          <cell r="A852">
            <v>10565</v>
          </cell>
          <cell r="B852">
            <v>64</v>
          </cell>
          <cell r="C852">
            <v>33.25</v>
          </cell>
          <cell r="D852">
            <v>18</v>
          </cell>
          <cell r="E852">
            <v>0.10000000149011612</v>
          </cell>
          <cell r="F852">
            <v>538.6499991081655</v>
          </cell>
        </row>
        <row r="853">
          <cell r="A853">
            <v>10566</v>
          </cell>
          <cell r="B853">
            <v>11</v>
          </cell>
          <cell r="C853">
            <v>21</v>
          </cell>
          <cell r="D853">
            <v>35</v>
          </cell>
          <cell r="E853">
            <v>0.15000000596046448</v>
          </cell>
          <cell r="F853">
            <v>624.74999561905861</v>
          </cell>
        </row>
        <row r="854">
          <cell r="A854">
            <v>10566</v>
          </cell>
          <cell r="B854">
            <v>18</v>
          </cell>
          <cell r="C854">
            <v>62.5</v>
          </cell>
          <cell r="D854">
            <v>18</v>
          </cell>
          <cell r="E854">
            <v>0.15000000596046448</v>
          </cell>
          <cell r="F854">
            <v>956.24999329447746</v>
          </cell>
        </row>
        <row r="855">
          <cell r="A855">
            <v>10566</v>
          </cell>
          <cell r="B855">
            <v>76</v>
          </cell>
          <cell r="C855">
            <v>18</v>
          </cell>
          <cell r="D855">
            <v>10</v>
          </cell>
          <cell r="E855">
            <v>0</v>
          </cell>
          <cell r="F855">
            <v>180</v>
          </cell>
        </row>
        <row r="856">
          <cell r="A856">
            <v>10567</v>
          </cell>
          <cell r="B856">
            <v>31</v>
          </cell>
          <cell r="C856">
            <v>12.5</v>
          </cell>
          <cell r="D856">
            <v>60</v>
          </cell>
          <cell r="E856">
            <v>0.20000000298023224</v>
          </cell>
          <cell r="F856">
            <v>599.99999776482582</v>
          </cell>
        </row>
        <row r="857">
          <cell r="A857">
            <v>10567</v>
          </cell>
          <cell r="B857">
            <v>51</v>
          </cell>
          <cell r="C857">
            <v>53</v>
          </cell>
          <cell r="D857">
            <v>3</v>
          </cell>
          <cell r="E857">
            <v>0</v>
          </cell>
          <cell r="F857">
            <v>159</v>
          </cell>
        </row>
        <row r="858">
          <cell r="A858">
            <v>10567</v>
          </cell>
          <cell r="B858">
            <v>59</v>
          </cell>
          <cell r="C858">
            <v>55</v>
          </cell>
          <cell r="D858">
            <v>40</v>
          </cell>
          <cell r="E858">
            <v>0.20000000298023224</v>
          </cell>
          <cell r="F858">
            <v>1759.9999934434891</v>
          </cell>
        </row>
        <row r="859">
          <cell r="A859">
            <v>10568</v>
          </cell>
          <cell r="B859">
            <v>10</v>
          </cell>
          <cell r="C859">
            <v>31</v>
          </cell>
          <cell r="D859">
            <v>5</v>
          </cell>
          <cell r="E859">
            <v>0</v>
          </cell>
          <cell r="F859">
            <v>155</v>
          </cell>
        </row>
        <row r="860">
          <cell r="A860">
            <v>10569</v>
          </cell>
          <cell r="B860">
            <v>31</v>
          </cell>
          <cell r="C860">
            <v>12.5</v>
          </cell>
          <cell r="D860">
            <v>35</v>
          </cell>
          <cell r="E860">
            <v>0.20000000298023224</v>
          </cell>
          <cell r="F860">
            <v>349.9999986961484</v>
          </cell>
        </row>
        <row r="861">
          <cell r="A861">
            <v>10569</v>
          </cell>
          <cell r="B861">
            <v>76</v>
          </cell>
          <cell r="C861">
            <v>18</v>
          </cell>
          <cell r="D861">
            <v>30</v>
          </cell>
          <cell r="E861">
            <v>0</v>
          </cell>
          <cell r="F861">
            <v>540</v>
          </cell>
        </row>
        <row r="862">
          <cell r="A862">
            <v>10570</v>
          </cell>
          <cell r="B862">
            <v>11</v>
          </cell>
          <cell r="C862">
            <v>21</v>
          </cell>
          <cell r="D862">
            <v>15</v>
          </cell>
          <cell r="E862">
            <v>5.000000074505806E-2</v>
          </cell>
          <cell r="F862">
            <v>299.24999976530671</v>
          </cell>
        </row>
        <row r="863">
          <cell r="A863">
            <v>10570</v>
          </cell>
          <cell r="B863">
            <v>56</v>
          </cell>
          <cell r="C863">
            <v>38</v>
          </cell>
          <cell r="D863">
            <v>60</v>
          </cell>
          <cell r="E863">
            <v>5.000000074505806E-2</v>
          </cell>
          <cell r="F863">
            <v>2165.9999983012676</v>
          </cell>
        </row>
        <row r="864">
          <cell r="A864">
            <v>10571</v>
          </cell>
          <cell r="B864">
            <v>14</v>
          </cell>
          <cell r="C864">
            <v>23.25</v>
          </cell>
          <cell r="D864">
            <v>11</v>
          </cell>
          <cell r="E864">
            <v>0.15000000596046448</v>
          </cell>
          <cell r="F864">
            <v>217.38749847561121</v>
          </cell>
        </row>
        <row r="865">
          <cell r="A865">
            <v>10571</v>
          </cell>
          <cell r="B865">
            <v>42</v>
          </cell>
          <cell r="C865">
            <v>14</v>
          </cell>
          <cell r="D865">
            <v>28</v>
          </cell>
          <cell r="E865">
            <v>0.15000000596046448</v>
          </cell>
          <cell r="F865">
            <v>333.19999766349792</v>
          </cell>
        </row>
        <row r="866">
          <cell r="A866">
            <v>10572</v>
          </cell>
          <cell r="B866">
            <v>16</v>
          </cell>
          <cell r="C866">
            <v>17.45</v>
          </cell>
          <cell r="D866">
            <v>12</v>
          </cell>
          <cell r="E866">
            <v>0.10000000149011612</v>
          </cell>
          <cell r="F866">
            <v>188.45999968796966</v>
          </cell>
        </row>
        <row r="867">
          <cell r="A867">
            <v>10572</v>
          </cell>
          <cell r="B867">
            <v>32</v>
          </cell>
          <cell r="C867">
            <v>32</v>
          </cell>
          <cell r="D867">
            <v>10</v>
          </cell>
          <cell r="E867">
            <v>0.10000000149011612</v>
          </cell>
          <cell r="F867">
            <v>287.99999952316284</v>
          </cell>
        </row>
        <row r="868">
          <cell r="A868">
            <v>10572</v>
          </cell>
          <cell r="B868">
            <v>40</v>
          </cell>
          <cell r="C868">
            <v>18.399999999999999</v>
          </cell>
          <cell r="D868">
            <v>50</v>
          </cell>
          <cell r="E868">
            <v>0</v>
          </cell>
          <cell r="F868">
            <v>919.99999999999989</v>
          </cell>
        </row>
        <row r="869">
          <cell r="A869">
            <v>10572</v>
          </cell>
          <cell r="B869">
            <v>75</v>
          </cell>
          <cell r="C869">
            <v>7.75</v>
          </cell>
          <cell r="D869">
            <v>15</v>
          </cell>
          <cell r="E869">
            <v>0.10000000149011612</v>
          </cell>
          <cell r="F869">
            <v>104.624999826774</v>
          </cell>
        </row>
        <row r="870">
          <cell r="A870">
            <v>10573</v>
          </cell>
          <cell r="B870">
            <v>17</v>
          </cell>
          <cell r="C870">
            <v>39</v>
          </cell>
          <cell r="D870">
            <v>18</v>
          </cell>
          <cell r="E870">
            <v>0</v>
          </cell>
          <cell r="F870">
            <v>702</v>
          </cell>
        </row>
        <row r="871">
          <cell r="A871">
            <v>10573</v>
          </cell>
          <cell r="B871">
            <v>34</v>
          </cell>
          <cell r="C871">
            <v>14</v>
          </cell>
          <cell r="D871">
            <v>40</v>
          </cell>
          <cell r="E871">
            <v>0</v>
          </cell>
          <cell r="F871">
            <v>560</v>
          </cell>
        </row>
        <row r="872">
          <cell r="A872">
            <v>10573</v>
          </cell>
          <cell r="B872">
            <v>53</v>
          </cell>
          <cell r="C872">
            <v>32.799999999999997</v>
          </cell>
          <cell r="D872">
            <v>25</v>
          </cell>
          <cell r="E872">
            <v>0</v>
          </cell>
          <cell r="F872">
            <v>819.99999999999989</v>
          </cell>
        </row>
        <row r="873">
          <cell r="A873">
            <v>10574</v>
          </cell>
          <cell r="B873">
            <v>33</v>
          </cell>
          <cell r="C873">
            <v>2.5</v>
          </cell>
          <cell r="D873">
            <v>14</v>
          </cell>
          <cell r="E873">
            <v>0</v>
          </cell>
          <cell r="F873">
            <v>35</v>
          </cell>
        </row>
        <row r="874">
          <cell r="A874">
            <v>10574</v>
          </cell>
          <cell r="B874">
            <v>40</v>
          </cell>
          <cell r="C874">
            <v>18.399999999999999</v>
          </cell>
          <cell r="D874">
            <v>2</v>
          </cell>
          <cell r="E874">
            <v>0</v>
          </cell>
          <cell r="F874">
            <v>36.799999999999997</v>
          </cell>
        </row>
        <row r="875">
          <cell r="A875">
            <v>10574</v>
          </cell>
          <cell r="B875">
            <v>62</v>
          </cell>
          <cell r="C875">
            <v>49.3</v>
          </cell>
          <cell r="D875">
            <v>10</v>
          </cell>
          <cell r="E875">
            <v>0</v>
          </cell>
          <cell r="F875">
            <v>493</v>
          </cell>
        </row>
        <row r="876">
          <cell r="A876">
            <v>10574</v>
          </cell>
          <cell r="B876">
            <v>64</v>
          </cell>
          <cell r="C876">
            <v>33.25</v>
          </cell>
          <cell r="D876">
            <v>6</v>
          </cell>
          <cell r="E876">
            <v>0</v>
          </cell>
          <cell r="F876">
            <v>199.5</v>
          </cell>
        </row>
        <row r="877">
          <cell r="A877">
            <v>10575</v>
          </cell>
          <cell r="B877">
            <v>59</v>
          </cell>
          <cell r="C877">
            <v>55</v>
          </cell>
          <cell r="D877">
            <v>12</v>
          </cell>
          <cell r="E877">
            <v>0</v>
          </cell>
          <cell r="F877">
            <v>660</v>
          </cell>
        </row>
        <row r="878">
          <cell r="A878">
            <v>10575</v>
          </cell>
          <cell r="B878">
            <v>63</v>
          </cell>
          <cell r="C878">
            <v>43.9</v>
          </cell>
          <cell r="D878">
            <v>6</v>
          </cell>
          <cell r="E878">
            <v>0</v>
          </cell>
          <cell r="F878">
            <v>263.39999999999998</v>
          </cell>
        </row>
        <row r="879">
          <cell r="A879">
            <v>10575</v>
          </cell>
          <cell r="B879">
            <v>72</v>
          </cell>
          <cell r="C879">
            <v>34.799999999999997</v>
          </cell>
          <cell r="D879">
            <v>30</v>
          </cell>
          <cell r="E879">
            <v>0</v>
          </cell>
          <cell r="F879">
            <v>1044</v>
          </cell>
        </row>
        <row r="880">
          <cell r="A880">
            <v>10575</v>
          </cell>
          <cell r="B880">
            <v>76</v>
          </cell>
          <cell r="C880">
            <v>18</v>
          </cell>
          <cell r="D880">
            <v>10</v>
          </cell>
          <cell r="E880">
            <v>0</v>
          </cell>
          <cell r="F880">
            <v>180</v>
          </cell>
        </row>
        <row r="881">
          <cell r="A881">
            <v>10576</v>
          </cell>
          <cell r="B881">
            <v>1</v>
          </cell>
          <cell r="C881">
            <v>18</v>
          </cell>
          <cell r="D881">
            <v>10</v>
          </cell>
          <cell r="E881">
            <v>0</v>
          </cell>
          <cell r="F881">
            <v>180</v>
          </cell>
        </row>
        <row r="882">
          <cell r="A882">
            <v>10576</v>
          </cell>
          <cell r="B882">
            <v>31</v>
          </cell>
          <cell r="C882">
            <v>12.5</v>
          </cell>
          <cell r="D882">
            <v>20</v>
          </cell>
          <cell r="E882">
            <v>0</v>
          </cell>
          <cell r="F882">
            <v>250</v>
          </cell>
        </row>
        <row r="883">
          <cell r="A883">
            <v>10576</v>
          </cell>
          <cell r="B883">
            <v>44</v>
          </cell>
          <cell r="C883">
            <v>19.45</v>
          </cell>
          <cell r="D883">
            <v>21</v>
          </cell>
          <cell r="E883">
            <v>0</v>
          </cell>
          <cell r="F883">
            <v>408.45</v>
          </cell>
        </row>
        <row r="884">
          <cell r="A884">
            <v>10577</v>
          </cell>
          <cell r="B884">
            <v>39</v>
          </cell>
          <cell r="C884">
            <v>18</v>
          </cell>
          <cell r="D884">
            <v>10</v>
          </cell>
          <cell r="E884">
            <v>0</v>
          </cell>
          <cell r="F884">
            <v>180</v>
          </cell>
        </row>
        <row r="885">
          <cell r="A885">
            <v>10577</v>
          </cell>
          <cell r="B885">
            <v>75</v>
          </cell>
          <cell r="C885">
            <v>7.75</v>
          </cell>
          <cell r="D885">
            <v>20</v>
          </cell>
          <cell r="E885">
            <v>0</v>
          </cell>
          <cell r="F885">
            <v>155</v>
          </cell>
        </row>
        <row r="886">
          <cell r="A886">
            <v>10577</v>
          </cell>
          <cell r="B886">
            <v>77</v>
          </cell>
          <cell r="C886">
            <v>13</v>
          </cell>
          <cell r="D886">
            <v>18</v>
          </cell>
          <cell r="E886">
            <v>0</v>
          </cell>
          <cell r="F886">
            <v>234</v>
          </cell>
        </row>
        <row r="887">
          <cell r="A887">
            <v>10578</v>
          </cell>
          <cell r="B887">
            <v>35</v>
          </cell>
          <cell r="C887">
            <v>18</v>
          </cell>
          <cell r="D887">
            <v>20</v>
          </cell>
          <cell r="E887">
            <v>0</v>
          </cell>
          <cell r="F887">
            <v>360</v>
          </cell>
        </row>
        <row r="888">
          <cell r="A888">
            <v>10578</v>
          </cell>
          <cell r="B888">
            <v>57</v>
          </cell>
          <cell r="C888">
            <v>19.5</v>
          </cell>
          <cell r="D888">
            <v>6</v>
          </cell>
          <cell r="E888">
            <v>0</v>
          </cell>
          <cell r="F888">
            <v>117</v>
          </cell>
        </row>
        <row r="889">
          <cell r="A889">
            <v>10579</v>
          </cell>
          <cell r="B889">
            <v>15</v>
          </cell>
          <cell r="C889">
            <v>15.5</v>
          </cell>
          <cell r="D889">
            <v>10</v>
          </cell>
          <cell r="E889">
            <v>0</v>
          </cell>
          <cell r="F889">
            <v>155</v>
          </cell>
        </row>
        <row r="890">
          <cell r="A890">
            <v>10579</v>
          </cell>
          <cell r="B890">
            <v>75</v>
          </cell>
          <cell r="C890">
            <v>7.75</v>
          </cell>
          <cell r="D890">
            <v>21</v>
          </cell>
          <cell r="E890">
            <v>0</v>
          </cell>
          <cell r="F890">
            <v>162.75</v>
          </cell>
        </row>
        <row r="891">
          <cell r="A891">
            <v>10580</v>
          </cell>
          <cell r="B891">
            <v>14</v>
          </cell>
          <cell r="C891">
            <v>23.25</v>
          </cell>
          <cell r="D891">
            <v>15</v>
          </cell>
          <cell r="E891">
            <v>5.000000074505806E-2</v>
          </cell>
          <cell r="F891">
            <v>331.312499740161</v>
          </cell>
        </row>
        <row r="892">
          <cell r="A892">
            <v>10580</v>
          </cell>
          <cell r="B892">
            <v>41</v>
          </cell>
          <cell r="C892">
            <v>9.65</v>
          </cell>
          <cell r="D892">
            <v>9</v>
          </cell>
          <cell r="E892">
            <v>5.000000074505806E-2</v>
          </cell>
          <cell r="F892">
            <v>82.507499935291719</v>
          </cell>
        </row>
        <row r="893">
          <cell r="A893">
            <v>10580</v>
          </cell>
          <cell r="B893">
            <v>65</v>
          </cell>
          <cell r="C893">
            <v>21.05</v>
          </cell>
          <cell r="D893">
            <v>30</v>
          </cell>
          <cell r="E893">
            <v>5.000000074505806E-2</v>
          </cell>
          <cell r="F893">
            <v>599.92499952949584</v>
          </cell>
        </row>
        <row r="894">
          <cell r="A894">
            <v>10581</v>
          </cell>
          <cell r="B894">
            <v>75</v>
          </cell>
          <cell r="C894">
            <v>7.75</v>
          </cell>
          <cell r="D894">
            <v>50</v>
          </cell>
          <cell r="E894">
            <v>0.20000000298023224</v>
          </cell>
          <cell r="F894">
            <v>309.99999884516001</v>
          </cell>
        </row>
        <row r="895">
          <cell r="A895">
            <v>10582</v>
          </cell>
          <cell r="B895">
            <v>57</v>
          </cell>
          <cell r="C895">
            <v>19.5</v>
          </cell>
          <cell r="D895">
            <v>4</v>
          </cell>
          <cell r="E895">
            <v>0</v>
          </cell>
          <cell r="F895">
            <v>78</v>
          </cell>
        </row>
        <row r="896">
          <cell r="A896">
            <v>10582</v>
          </cell>
          <cell r="B896">
            <v>76</v>
          </cell>
          <cell r="C896">
            <v>18</v>
          </cell>
          <cell r="D896">
            <v>14</v>
          </cell>
          <cell r="E896">
            <v>0</v>
          </cell>
          <cell r="F896">
            <v>252</v>
          </cell>
        </row>
        <row r="897">
          <cell r="A897">
            <v>10583</v>
          </cell>
          <cell r="B897">
            <v>29</v>
          </cell>
          <cell r="C897">
            <v>123.79</v>
          </cell>
          <cell r="D897">
            <v>10</v>
          </cell>
          <cell r="E897">
            <v>0</v>
          </cell>
          <cell r="F897">
            <v>1237.9000000000001</v>
          </cell>
        </row>
        <row r="898">
          <cell r="A898">
            <v>10583</v>
          </cell>
          <cell r="B898">
            <v>60</v>
          </cell>
          <cell r="C898">
            <v>34</v>
          </cell>
          <cell r="D898">
            <v>24</v>
          </cell>
          <cell r="E898">
            <v>0.15000000596046448</v>
          </cell>
          <cell r="F898">
            <v>693.59999513626099</v>
          </cell>
        </row>
        <row r="899">
          <cell r="A899">
            <v>10583</v>
          </cell>
          <cell r="B899">
            <v>69</v>
          </cell>
          <cell r="C899">
            <v>36</v>
          </cell>
          <cell r="D899">
            <v>10</v>
          </cell>
          <cell r="E899">
            <v>0.15000000596046448</v>
          </cell>
          <cell r="F899">
            <v>305.99999785423279</v>
          </cell>
        </row>
        <row r="900">
          <cell r="A900">
            <v>10584</v>
          </cell>
          <cell r="B900">
            <v>31</v>
          </cell>
          <cell r="C900">
            <v>12.5</v>
          </cell>
          <cell r="D900">
            <v>50</v>
          </cell>
          <cell r="E900">
            <v>5.000000074505806E-2</v>
          </cell>
          <cell r="F900">
            <v>593.74999953433871</v>
          </cell>
        </row>
        <row r="901">
          <cell r="A901">
            <v>10585</v>
          </cell>
          <cell r="B901">
            <v>47</v>
          </cell>
          <cell r="C901">
            <v>9.5</v>
          </cell>
          <cell r="D901">
            <v>15</v>
          </cell>
          <cell r="E901">
            <v>0</v>
          </cell>
          <cell r="F901">
            <v>142.5</v>
          </cell>
        </row>
        <row r="902">
          <cell r="A902">
            <v>10586</v>
          </cell>
          <cell r="B902">
            <v>52</v>
          </cell>
          <cell r="C902">
            <v>7</v>
          </cell>
          <cell r="D902">
            <v>4</v>
          </cell>
          <cell r="E902">
            <v>0.15000000596046448</v>
          </cell>
          <cell r="F902">
            <v>23.799999833106995</v>
          </cell>
        </row>
        <row r="903">
          <cell r="A903">
            <v>10587</v>
          </cell>
          <cell r="B903">
            <v>26</v>
          </cell>
          <cell r="C903">
            <v>31.23</v>
          </cell>
          <cell r="D903">
            <v>6</v>
          </cell>
          <cell r="E903">
            <v>0</v>
          </cell>
          <cell r="F903">
            <v>187.38</v>
          </cell>
        </row>
        <row r="904">
          <cell r="A904">
            <v>10587</v>
          </cell>
          <cell r="B904">
            <v>35</v>
          </cell>
          <cell r="C904">
            <v>18</v>
          </cell>
          <cell r="D904">
            <v>20</v>
          </cell>
          <cell r="E904">
            <v>0</v>
          </cell>
          <cell r="F904">
            <v>360</v>
          </cell>
        </row>
        <row r="905">
          <cell r="A905">
            <v>10587</v>
          </cell>
          <cell r="B905">
            <v>77</v>
          </cell>
          <cell r="C905">
            <v>13</v>
          </cell>
          <cell r="D905">
            <v>20</v>
          </cell>
          <cell r="E905">
            <v>0</v>
          </cell>
          <cell r="F905">
            <v>260</v>
          </cell>
        </row>
        <row r="906">
          <cell r="A906">
            <v>10588</v>
          </cell>
          <cell r="B906">
            <v>18</v>
          </cell>
          <cell r="C906">
            <v>62.5</v>
          </cell>
          <cell r="D906">
            <v>40</v>
          </cell>
          <cell r="E906">
            <v>0.20000000298023224</v>
          </cell>
          <cell r="F906">
            <v>1999.9999925494194</v>
          </cell>
        </row>
        <row r="907">
          <cell r="A907">
            <v>10588</v>
          </cell>
          <cell r="B907">
            <v>42</v>
          </cell>
          <cell r="C907">
            <v>14</v>
          </cell>
          <cell r="D907">
            <v>100</v>
          </cell>
          <cell r="E907">
            <v>0.20000000298023224</v>
          </cell>
          <cell r="F907">
            <v>1119.9999958276749</v>
          </cell>
        </row>
        <row r="908">
          <cell r="A908">
            <v>10589</v>
          </cell>
          <cell r="B908">
            <v>35</v>
          </cell>
          <cell r="C908">
            <v>18</v>
          </cell>
          <cell r="D908">
            <v>4</v>
          </cell>
          <cell r="E908">
            <v>0</v>
          </cell>
          <cell r="F908">
            <v>72</v>
          </cell>
        </row>
        <row r="909">
          <cell r="A909">
            <v>10590</v>
          </cell>
          <cell r="B909">
            <v>1</v>
          </cell>
          <cell r="C909">
            <v>18</v>
          </cell>
          <cell r="D909">
            <v>20</v>
          </cell>
          <cell r="E909">
            <v>0</v>
          </cell>
          <cell r="F909">
            <v>360</v>
          </cell>
        </row>
        <row r="910">
          <cell r="A910">
            <v>10590</v>
          </cell>
          <cell r="B910">
            <v>77</v>
          </cell>
          <cell r="C910">
            <v>13</v>
          </cell>
          <cell r="D910">
            <v>60</v>
          </cell>
          <cell r="E910">
            <v>5.000000074505806E-2</v>
          </cell>
          <cell r="F910">
            <v>740.99999941885471</v>
          </cell>
        </row>
        <row r="911">
          <cell r="A911">
            <v>10591</v>
          </cell>
          <cell r="B911">
            <v>3</v>
          </cell>
          <cell r="C911">
            <v>10</v>
          </cell>
          <cell r="D911">
            <v>14</v>
          </cell>
          <cell r="E911">
            <v>0</v>
          </cell>
          <cell r="F911">
            <v>140</v>
          </cell>
        </row>
        <row r="912">
          <cell r="A912">
            <v>10591</v>
          </cell>
          <cell r="B912">
            <v>7</v>
          </cell>
          <cell r="C912">
            <v>30</v>
          </cell>
          <cell r="D912">
            <v>10</v>
          </cell>
          <cell r="E912">
            <v>0</v>
          </cell>
          <cell r="F912">
            <v>300</v>
          </cell>
        </row>
        <row r="913">
          <cell r="A913">
            <v>10591</v>
          </cell>
          <cell r="B913">
            <v>54</v>
          </cell>
          <cell r="C913">
            <v>7.45</v>
          </cell>
          <cell r="D913">
            <v>50</v>
          </cell>
          <cell r="E913">
            <v>0</v>
          </cell>
          <cell r="F913">
            <v>372.5</v>
          </cell>
        </row>
        <row r="914">
          <cell r="A914">
            <v>10592</v>
          </cell>
          <cell r="B914">
            <v>15</v>
          </cell>
          <cell r="C914">
            <v>15.5</v>
          </cell>
          <cell r="D914">
            <v>25</v>
          </cell>
          <cell r="E914">
            <v>5.000000074505806E-2</v>
          </cell>
          <cell r="F914">
            <v>368.12499971129</v>
          </cell>
        </row>
        <row r="915">
          <cell r="A915">
            <v>10592</v>
          </cell>
          <cell r="B915">
            <v>26</v>
          </cell>
          <cell r="C915">
            <v>31.23</v>
          </cell>
          <cell r="D915">
            <v>5</v>
          </cell>
          <cell r="E915">
            <v>5.000000074505806E-2</v>
          </cell>
          <cell r="F915">
            <v>148.3424998836592</v>
          </cell>
        </row>
        <row r="916">
          <cell r="A916">
            <v>10593</v>
          </cell>
          <cell r="B916">
            <v>20</v>
          </cell>
          <cell r="C916">
            <v>81</v>
          </cell>
          <cell r="D916">
            <v>21</v>
          </cell>
          <cell r="E916">
            <v>0.20000000298023224</v>
          </cell>
          <cell r="F916">
            <v>1360.799994930625</v>
          </cell>
        </row>
        <row r="917">
          <cell r="A917">
            <v>10593</v>
          </cell>
          <cell r="B917">
            <v>69</v>
          </cell>
          <cell r="C917">
            <v>36</v>
          </cell>
          <cell r="D917">
            <v>20</v>
          </cell>
          <cell r="E917">
            <v>0.20000000298023224</v>
          </cell>
          <cell r="F917">
            <v>575.99999785423279</v>
          </cell>
        </row>
        <row r="918">
          <cell r="A918">
            <v>10593</v>
          </cell>
          <cell r="B918">
            <v>76</v>
          </cell>
          <cell r="C918">
            <v>18</v>
          </cell>
          <cell r="D918">
            <v>4</v>
          </cell>
          <cell r="E918">
            <v>0.20000000298023224</v>
          </cell>
          <cell r="F918">
            <v>57.599999785423279</v>
          </cell>
        </row>
        <row r="919">
          <cell r="A919">
            <v>10594</v>
          </cell>
          <cell r="B919">
            <v>52</v>
          </cell>
          <cell r="C919">
            <v>7</v>
          </cell>
          <cell r="D919">
            <v>24</v>
          </cell>
          <cell r="E919">
            <v>0</v>
          </cell>
          <cell r="F919">
            <v>168</v>
          </cell>
        </row>
        <row r="920">
          <cell r="A920">
            <v>10594</v>
          </cell>
          <cell r="B920">
            <v>58</v>
          </cell>
          <cell r="C920">
            <v>13.25</v>
          </cell>
          <cell r="D920">
            <v>30</v>
          </cell>
          <cell r="E920">
            <v>0</v>
          </cell>
          <cell r="F920">
            <v>397.5</v>
          </cell>
        </row>
        <row r="921">
          <cell r="A921">
            <v>10595</v>
          </cell>
          <cell r="B921">
            <v>35</v>
          </cell>
          <cell r="C921">
            <v>18</v>
          </cell>
          <cell r="D921">
            <v>30</v>
          </cell>
          <cell r="E921">
            <v>0.25</v>
          </cell>
          <cell r="F921">
            <v>405</v>
          </cell>
        </row>
        <row r="922">
          <cell r="A922">
            <v>10595</v>
          </cell>
          <cell r="B922">
            <v>61</v>
          </cell>
          <cell r="C922">
            <v>28.5</v>
          </cell>
          <cell r="D922">
            <v>120</v>
          </cell>
          <cell r="E922">
            <v>0.25</v>
          </cell>
          <cell r="F922">
            <v>2565</v>
          </cell>
        </row>
        <row r="923">
          <cell r="A923">
            <v>10595</v>
          </cell>
          <cell r="B923">
            <v>69</v>
          </cell>
          <cell r="C923">
            <v>36</v>
          </cell>
          <cell r="D923">
            <v>65</v>
          </cell>
          <cell r="E923">
            <v>0.25</v>
          </cell>
          <cell r="F923">
            <v>1755</v>
          </cell>
        </row>
        <row r="924">
          <cell r="A924">
            <v>10596</v>
          </cell>
          <cell r="B924">
            <v>56</v>
          </cell>
          <cell r="C924">
            <v>38</v>
          </cell>
          <cell r="D924">
            <v>5</v>
          </cell>
          <cell r="E924">
            <v>0.20000000298023224</v>
          </cell>
          <cell r="F924">
            <v>151.99999943375587</v>
          </cell>
        </row>
        <row r="925">
          <cell r="A925">
            <v>10596</v>
          </cell>
          <cell r="B925">
            <v>63</v>
          </cell>
          <cell r="C925">
            <v>43.9</v>
          </cell>
          <cell r="D925">
            <v>24</v>
          </cell>
          <cell r="E925">
            <v>0.20000000298023224</v>
          </cell>
          <cell r="F925">
            <v>842.87999686002729</v>
          </cell>
        </row>
        <row r="926">
          <cell r="A926">
            <v>10596</v>
          </cell>
          <cell r="B926">
            <v>75</v>
          </cell>
          <cell r="C926">
            <v>7.75</v>
          </cell>
          <cell r="D926">
            <v>30</v>
          </cell>
          <cell r="E926">
            <v>0.20000000298023224</v>
          </cell>
          <cell r="F926">
            <v>185.999999307096</v>
          </cell>
        </row>
        <row r="927">
          <cell r="A927">
            <v>10597</v>
          </cell>
          <cell r="B927">
            <v>24</v>
          </cell>
          <cell r="C927">
            <v>4.5</v>
          </cell>
          <cell r="D927">
            <v>35</v>
          </cell>
          <cell r="E927">
            <v>0.20000000298023224</v>
          </cell>
          <cell r="F927">
            <v>125.99999953061342</v>
          </cell>
        </row>
        <row r="928">
          <cell r="A928">
            <v>10597</v>
          </cell>
          <cell r="B928">
            <v>57</v>
          </cell>
          <cell r="C928">
            <v>19.5</v>
          </cell>
          <cell r="D928">
            <v>20</v>
          </cell>
          <cell r="E928">
            <v>0</v>
          </cell>
          <cell r="F928">
            <v>390</v>
          </cell>
        </row>
        <row r="929">
          <cell r="A929">
            <v>10597</v>
          </cell>
          <cell r="B929">
            <v>65</v>
          </cell>
          <cell r="C929">
            <v>21.05</v>
          </cell>
          <cell r="D929">
            <v>12</v>
          </cell>
          <cell r="E929">
            <v>0.20000000298023224</v>
          </cell>
          <cell r="F929">
            <v>202.07999924719334</v>
          </cell>
        </row>
        <row r="930">
          <cell r="A930">
            <v>10598</v>
          </cell>
          <cell r="B930">
            <v>27</v>
          </cell>
          <cell r="C930">
            <v>43.9</v>
          </cell>
          <cell r="D930">
            <v>50</v>
          </cell>
          <cell r="E930">
            <v>0</v>
          </cell>
          <cell r="F930">
            <v>2195</v>
          </cell>
        </row>
        <row r="931">
          <cell r="A931">
            <v>10598</v>
          </cell>
          <cell r="B931">
            <v>71</v>
          </cell>
          <cell r="C931">
            <v>21.5</v>
          </cell>
          <cell r="D931">
            <v>9</v>
          </cell>
          <cell r="E931">
            <v>0</v>
          </cell>
          <cell r="F931">
            <v>193.5</v>
          </cell>
        </row>
        <row r="932">
          <cell r="A932">
            <v>10599</v>
          </cell>
          <cell r="B932">
            <v>62</v>
          </cell>
          <cell r="C932">
            <v>49.3</v>
          </cell>
          <cell r="D932">
            <v>10</v>
          </cell>
          <cell r="E932">
            <v>0</v>
          </cell>
          <cell r="F932">
            <v>493</v>
          </cell>
        </row>
        <row r="933">
          <cell r="A933">
            <v>10600</v>
          </cell>
          <cell r="B933">
            <v>54</v>
          </cell>
          <cell r="C933">
            <v>7.45</v>
          </cell>
          <cell r="D933">
            <v>4</v>
          </cell>
          <cell r="E933">
            <v>0</v>
          </cell>
          <cell r="F933">
            <v>29.8</v>
          </cell>
        </row>
        <row r="934">
          <cell r="A934">
            <v>10600</v>
          </cell>
          <cell r="B934">
            <v>73</v>
          </cell>
          <cell r="C934">
            <v>15</v>
          </cell>
          <cell r="D934">
            <v>30</v>
          </cell>
          <cell r="E934">
            <v>0</v>
          </cell>
          <cell r="F934">
            <v>450</v>
          </cell>
        </row>
        <row r="935">
          <cell r="A935">
            <v>10601</v>
          </cell>
          <cell r="B935">
            <v>13</v>
          </cell>
          <cell r="C935">
            <v>6</v>
          </cell>
          <cell r="D935">
            <v>60</v>
          </cell>
          <cell r="E935">
            <v>0</v>
          </cell>
          <cell r="F935">
            <v>360</v>
          </cell>
        </row>
        <row r="936">
          <cell r="A936">
            <v>10601</v>
          </cell>
          <cell r="B936">
            <v>59</v>
          </cell>
          <cell r="C936">
            <v>55</v>
          </cell>
          <cell r="D936">
            <v>35</v>
          </cell>
          <cell r="E936">
            <v>0</v>
          </cell>
          <cell r="F936">
            <v>1925</v>
          </cell>
        </row>
        <row r="937">
          <cell r="A937">
            <v>10602</v>
          </cell>
          <cell r="B937">
            <v>77</v>
          </cell>
          <cell r="C937">
            <v>13</v>
          </cell>
          <cell r="D937">
            <v>5</v>
          </cell>
          <cell r="E937">
            <v>0.25</v>
          </cell>
          <cell r="F937">
            <v>48.75</v>
          </cell>
        </row>
        <row r="938">
          <cell r="A938">
            <v>10603</v>
          </cell>
          <cell r="B938">
            <v>22</v>
          </cell>
          <cell r="C938">
            <v>21</v>
          </cell>
          <cell r="D938">
            <v>48</v>
          </cell>
          <cell r="E938">
            <v>0</v>
          </cell>
          <cell r="F938">
            <v>1008</v>
          </cell>
        </row>
        <row r="939">
          <cell r="A939">
            <v>10603</v>
          </cell>
          <cell r="B939">
            <v>49</v>
          </cell>
          <cell r="C939">
            <v>20</v>
          </cell>
          <cell r="D939">
            <v>25</v>
          </cell>
          <cell r="E939">
            <v>5.000000074505806E-2</v>
          </cell>
          <cell r="F939">
            <v>474.99999962747097</v>
          </cell>
        </row>
        <row r="940">
          <cell r="A940">
            <v>10604</v>
          </cell>
          <cell r="B940">
            <v>48</v>
          </cell>
          <cell r="C940">
            <v>12.75</v>
          </cell>
          <cell r="D940">
            <v>6</v>
          </cell>
          <cell r="E940">
            <v>0.10000000149011612</v>
          </cell>
          <cell r="F940">
            <v>68.849999886006117</v>
          </cell>
        </row>
        <row r="941">
          <cell r="A941">
            <v>10604</v>
          </cell>
          <cell r="B941">
            <v>76</v>
          </cell>
          <cell r="C941">
            <v>18</v>
          </cell>
          <cell r="D941">
            <v>10</v>
          </cell>
          <cell r="E941">
            <v>0.10000000149011612</v>
          </cell>
          <cell r="F941">
            <v>161.9999997317791</v>
          </cell>
        </row>
        <row r="942">
          <cell r="A942">
            <v>10605</v>
          </cell>
          <cell r="B942">
            <v>16</v>
          </cell>
          <cell r="C942">
            <v>17.45</v>
          </cell>
          <cell r="D942">
            <v>30</v>
          </cell>
          <cell r="E942">
            <v>5.000000074505806E-2</v>
          </cell>
          <cell r="F942">
            <v>497.32499960996211</v>
          </cell>
        </row>
        <row r="943">
          <cell r="A943">
            <v>10605</v>
          </cell>
          <cell r="B943">
            <v>59</v>
          </cell>
          <cell r="C943">
            <v>55</v>
          </cell>
          <cell r="D943">
            <v>20</v>
          </cell>
          <cell r="E943">
            <v>5.000000074505806E-2</v>
          </cell>
          <cell r="F943">
            <v>1044.9999991804361</v>
          </cell>
        </row>
        <row r="944">
          <cell r="A944">
            <v>10605</v>
          </cell>
          <cell r="B944">
            <v>60</v>
          </cell>
          <cell r="C944">
            <v>34</v>
          </cell>
          <cell r="D944">
            <v>70</v>
          </cell>
          <cell r="E944">
            <v>5.000000074505806E-2</v>
          </cell>
          <cell r="F944">
            <v>2260.9999982267618</v>
          </cell>
        </row>
        <row r="945">
          <cell r="A945">
            <v>10605</v>
          </cell>
          <cell r="B945">
            <v>71</v>
          </cell>
          <cell r="C945">
            <v>21.5</v>
          </cell>
          <cell r="D945">
            <v>15</v>
          </cell>
          <cell r="E945">
            <v>5.000000074505806E-2</v>
          </cell>
          <cell r="F945">
            <v>306.37499975971878</v>
          </cell>
        </row>
        <row r="946">
          <cell r="A946">
            <v>10606</v>
          </cell>
          <cell r="B946">
            <v>4</v>
          </cell>
          <cell r="C946">
            <v>22</v>
          </cell>
          <cell r="D946">
            <v>20</v>
          </cell>
          <cell r="E946">
            <v>0.20000000298023224</v>
          </cell>
          <cell r="F946">
            <v>351.99999868869781</v>
          </cell>
        </row>
        <row r="947">
          <cell r="A947">
            <v>10606</v>
          </cell>
          <cell r="B947">
            <v>55</v>
          </cell>
          <cell r="C947">
            <v>24</v>
          </cell>
          <cell r="D947">
            <v>20</v>
          </cell>
          <cell r="E947">
            <v>0.20000000298023224</v>
          </cell>
          <cell r="F947">
            <v>383.99999856948853</v>
          </cell>
        </row>
        <row r="948">
          <cell r="A948">
            <v>10606</v>
          </cell>
          <cell r="B948">
            <v>62</v>
          </cell>
          <cell r="C948">
            <v>49.3</v>
          </cell>
          <cell r="D948">
            <v>10</v>
          </cell>
          <cell r="E948">
            <v>0.20000000298023224</v>
          </cell>
          <cell r="F948">
            <v>394.39999853074551</v>
          </cell>
        </row>
        <row r="949">
          <cell r="A949">
            <v>10607</v>
          </cell>
          <cell r="B949">
            <v>7</v>
          </cell>
          <cell r="C949">
            <v>30</v>
          </cell>
          <cell r="D949">
            <v>45</v>
          </cell>
          <cell r="E949">
            <v>0</v>
          </cell>
          <cell r="F949">
            <v>1350</v>
          </cell>
        </row>
        <row r="950">
          <cell r="A950">
            <v>10607</v>
          </cell>
          <cell r="B950">
            <v>17</v>
          </cell>
          <cell r="C950">
            <v>39</v>
          </cell>
          <cell r="D950">
            <v>100</v>
          </cell>
          <cell r="E950">
            <v>0</v>
          </cell>
          <cell r="F950">
            <v>3900</v>
          </cell>
        </row>
        <row r="951">
          <cell r="A951">
            <v>10607</v>
          </cell>
          <cell r="B951">
            <v>33</v>
          </cell>
          <cell r="C951">
            <v>2.5</v>
          </cell>
          <cell r="D951">
            <v>14</v>
          </cell>
          <cell r="E951">
            <v>0</v>
          </cell>
          <cell r="F951">
            <v>35</v>
          </cell>
        </row>
        <row r="952">
          <cell r="A952">
            <v>10607</v>
          </cell>
          <cell r="B952">
            <v>40</v>
          </cell>
          <cell r="C952">
            <v>18.399999999999999</v>
          </cell>
          <cell r="D952">
            <v>42</v>
          </cell>
          <cell r="E952">
            <v>0</v>
          </cell>
          <cell r="F952">
            <v>772.8</v>
          </cell>
        </row>
        <row r="953">
          <cell r="A953">
            <v>10607</v>
          </cell>
          <cell r="B953">
            <v>72</v>
          </cell>
          <cell r="C953">
            <v>34.799999999999997</v>
          </cell>
          <cell r="D953">
            <v>12</v>
          </cell>
          <cell r="E953">
            <v>0</v>
          </cell>
          <cell r="F953">
            <v>417.59999999999997</v>
          </cell>
        </row>
        <row r="954">
          <cell r="A954">
            <v>10608</v>
          </cell>
          <cell r="B954">
            <v>56</v>
          </cell>
          <cell r="C954">
            <v>38</v>
          </cell>
          <cell r="D954">
            <v>28</v>
          </cell>
          <cell r="E954">
            <v>0</v>
          </cell>
          <cell r="F954">
            <v>1064</v>
          </cell>
        </row>
        <row r="955">
          <cell r="A955">
            <v>10609</v>
          </cell>
          <cell r="B955">
            <v>1</v>
          </cell>
          <cell r="C955">
            <v>18</v>
          </cell>
          <cell r="D955">
            <v>3</v>
          </cell>
          <cell r="E955">
            <v>0</v>
          </cell>
          <cell r="F955">
            <v>54</v>
          </cell>
        </row>
        <row r="956">
          <cell r="A956">
            <v>10609</v>
          </cell>
          <cell r="B956">
            <v>10</v>
          </cell>
          <cell r="C956">
            <v>31</v>
          </cell>
          <cell r="D956">
            <v>10</v>
          </cell>
          <cell r="E956">
            <v>0</v>
          </cell>
          <cell r="F956">
            <v>310</v>
          </cell>
        </row>
        <row r="957">
          <cell r="A957">
            <v>10609</v>
          </cell>
          <cell r="B957">
            <v>21</v>
          </cell>
          <cell r="C957">
            <v>10</v>
          </cell>
          <cell r="D957">
            <v>6</v>
          </cell>
          <cell r="E957">
            <v>0</v>
          </cell>
          <cell r="F957">
            <v>60</v>
          </cell>
        </row>
        <row r="958">
          <cell r="A958">
            <v>10610</v>
          </cell>
          <cell r="B958">
            <v>36</v>
          </cell>
          <cell r="C958">
            <v>19</v>
          </cell>
          <cell r="D958">
            <v>21</v>
          </cell>
          <cell r="E958">
            <v>0.25</v>
          </cell>
          <cell r="F958">
            <v>299.25</v>
          </cell>
        </row>
        <row r="959">
          <cell r="A959">
            <v>10611</v>
          </cell>
          <cell r="B959">
            <v>1</v>
          </cell>
          <cell r="C959">
            <v>18</v>
          </cell>
          <cell r="D959">
            <v>6</v>
          </cell>
          <cell r="E959">
            <v>0</v>
          </cell>
          <cell r="F959">
            <v>108</v>
          </cell>
        </row>
        <row r="960">
          <cell r="A960">
            <v>10611</v>
          </cell>
          <cell r="B960">
            <v>2</v>
          </cell>
          <cell r="C960">
            <v>19</v>
          </cell>
          <cell r="D960">
            <v>10</v>
          </cell>
          <cell r="E960">
            <v>0</v>
          </cell>
          <cell r="F960">
            <v>190</v>
          </cell>
        </row>
        <row r="961">
          <cell r="A961">
            <v>10611</v>
          </cell>
          <cell r="B961">
            <v>60</v>
          </cell>
          <cell r="C961">
            <v>34</v>
          </cell>
          <cell r="D961">
            <v>15</v>
          </cell>
          <cell r="E961">
            <v>0</v>
          </cell>
          <cell r="F961">
            <v>510</v>
          </cell>
        </row>
        <row r="962">
          <cell r="A962">
            <v>10612</v>
          </cell>
          <cell r="B962">
            <v>10</v>
          </cell>
          <cell r="C962">
            <v>31</v>
          </cell>
          <cell r="D962">
            <v>70</v>
          </cell>
          <cell r="E962">
            <v>0</v>
          </cell>
          <cell r="F962">
            <v>2170</v>
          </cell>
        </row>
        <row r="963">
          <cell r="A963">
            <v>10612</v>
          </cell>
          <cell r="B963">
            <v>36</v>
          </cell>
          <cell r="C963">
            <v>19</v>
          </cell>
          <cell r="D963">
            <v>55</v>
          </cell>
          <cell r="E963">
            <v>0</v>
          </cell>
          <cell r="F963">
            <v>1045</v>
          </cell>
        </row>
        <row r="964">
          <cell r="A964">
            <v>10612</v>
          </cell>
          <cell r="B964">
            <v>49</v>
          </cell>
          <cell r="C964">
            <v>20</v>
          </cell>
          <cell r="D964">
            <v>18</v>
          </cell>
          <cell r="E964">
            <v>0</v>
          </cell>
          <cell r="F964">
            <v>360</v>
          </cell>
        </row>
        <row r="965">
          <cell r="A965">
            <v>10612</v>
          </cell>
          <cell r="B965">
            <v>60</v>
          </cell>
          <cell r="C965">
            <v>34</v>
          </cell>
          <cell r="D965">
            <v>40</v>
          </cell>
          <cell r="E965">
            <v>0</v>
          </cell>
          <cell r="F965">
            <v>1360</v>
          </cell>
        </row>
        <row r="966">
          <cell r="A966">
            <v>10612</v>
          </cell>
          <cell r="B966">
            <v>76</v>
          </cell>
          <cell r="C966">
            <v>18</v>
          </cell>
          <cell r="D966">
            <v>80</v>
          </cell>
          <cell r="E966">
            <v>0</v>
          </cell>
          <cell r="F966">
            <v>1440</v>
          </cell>
        </row>
        <row r="967">
          <cell r="A967">
            <v>10613</v>
          </cell>
          <cell r="B967">
            <v>13</v>
          </cell>
          <cell r="C967">
            <v>6</v>
          </cell>
          <cell r="D967">
            <v>8</v>
          </cell>
          <cell r="E967">
            <v>0.10000000149011612</v>
          </cell>
          <cell r="F967">
            <v>43.199999928474426</v>
          </cell>
        </row>
        <row r="968">
          <cell r="A968">
            <v>10613</v>
          </cell>
          <cell r="B968">
            <v>75</v>
          </cell>
          <cell r="C968">
            <v>7.75</v>
          </cell>
          <cell r="D968">
            <v>40</v>
          </cell>
          <cell r="E968">
            <v>0</v>
          </cell>
          <cell r="F968">
            <v>310</v>
          </cell>
        </row>
        <row r="969">
          <cell r="A969">
            <v>10614</v>
          </cell>
          <cell r="B969">
            <v>11</v>
          </cell>
          <cell r="C969">
            <v>21</v>
          </cell>
          <cell r="D969">
            <v>14</v>
          </cell>
          <cell r="E969">
            <v>0</v>
          </cell>
          <cell r="F969">
            <v>294</v>
          </cell>
        </row>
        <row r="970">
          <cell r="A970">
            <v>10614</v>
          </cell>
          <cell r="B970">
            <v>21</v>
          </cell>
          <cell r="C970">
            <v>10</v>
          </cell>
          <cell r="D970">
            <v>8</v>
          </cell>
          <cell r="E970">
            <v>0</v>
          </cell>
          <cell r="F970">
            <v>80</v>
          </cell>
        </row>
        <row r="971">
          <cell r="A971">
            <v>10614</v>
          </cell>
          <cell r="B971">
            <v>39</v>
          </cell>
          <cell r="C971">
            <v>18</v>
          </cell>
          <cell r="D971">
            <v>5</v>
          </cell>
          <cell r="E971">
            <v>0</v>
          </cell>
          <cell r="F971">
            <v>90</v>
          </cell>
        </row>
        <row r="972">
          <cell r="A972">
            <v>10615</v>
          </cell>
          <cell r="B972">
            <v>55</v>
          </cell>
          <cell r="C972">
            <v>24</v>
          </cell>
          <cell r="D972">
            <v>5</v>
          </cell>
          <cell r="E972">
            <v>0</v>
          </cell>
          <cell r="F972">
            <v>120</v>
          </cell>
        </row>
        <row r="973">
          <cell r="A973">
            <v>10616</v>
          </cell>
          <cell r="B973">
            <v>38</v>
          </cell>
          <cell r="C973">
            <v>263.5</v>
          </cell>
          <cell r="D973">
            <v>15</v>
          </cell>
          <cell r="E973">
            <v>5.000000074505806E-2</v>
          </cell>
          <cell r="F973">
            <v>3754.874997055158</v>
          </cell>
        </row>
        <row r="974">
          <cell r="A974">
            <v>10616</v>
          </cell>
          <cell r="B974">
            <v>56</v>
          </cell>
          <cell r="C974">
            <v>38</v>
          </cell>
          <cell r="D974">
            <v>14</v>
          </cell>
          <cell r="E974">
            <v>0</v>
          </cell>
          <cell r="F974">
            <v>532</v>
          </cell>
        </row>
        <row r="975">
          <cell r="A975">
            <v>10616</v>
          </cell>
          <cell r="B975">
            <v>70</v>
          </cell>
          <cell r="C975">
            <v>15</v>
          </cell>
          <cell r="D975">
            <v>15</v>
          </cell>
          <cell r="E975">
            <v>5.000000074505806E-2</v>
          </cell>
          <cell r="F975">
            <v>213.74999983236194</v>
          </cell>
        </row>
        <row r="976">
          <cell r="A976">
            <v>10616</v>
          </cell>
          <cell r="B976">
            <v>71</v>
          </cell>
          <cell r="C976">
            <v>21.5</v>
          </cell>
          <cell r="D976">
            <v>15</v>
          </cell>
          <cell r="E976">
            <v>5.000000074505806E-2</v>
          </cell>
          <cell r="F976">
            <v>306.37499975971878</v>
          </cell>
        </row>
        <row r="977">
          <cell r="A977">
            <v>10617</v>
          </cell>
          <cell r="B977">
            <v>59</v>
          </cell>
          <cell r="C977">
            <v>55</v>
          </cell>
          <cell r="D977">
            <v>30</v>
          </cell>
          <cell r="E977">
            <v>0.15000000596046448</v>
          </cell>
          <cell r="F977">
            <v>1402.4999901652336</v>
          </cell>
        </row>
        <row r="978">
          <cell r="A978">
            <v>10618</v>
          </cell>
          <cell r="B978">
            <v>6</v>
          </cell>
          <cell r="C978">
            <v>25</v>
          </cell>
          <cell r="D978">
            <v>70</v>
          </cell>
          <cell r="E978">
            <v>0</v>
          </cell>
          <cell r="F978">
            <v>1750</v>
          </cell>
        </row>
        <row r="979">
          <cell r="A979">
            <v>10618</v>
          </cell>
          <cell r="B979">
            <v>56</v>
          </cell>
          <cell r="C979">
            <v>38</v>
          </cell>
          <cell r="D979">
            <v>20</v>
          </cell>
          <cell r="E979">
            <v>0</v>
          </cell>
          <cell r="F979">
            <v>760</v>
          </cell>
        </row>
        <row r="980">
          <cell r="A980">
            <v>10618</v>
          </cell>
          <cell r="B980">
            <v>68</v>
          </cell>
          <cell r="C980">
            <v>12.5</v>
          </cell>
          <cell r="D980">
            <v>15</v>
          </cell>
          <cell r="E980">
            <v>0</v>
          </cell>
          <cell r="F980">
            <v>187.5</v>
          </cell>
        </row>
        <row r="981">
          <cell r="A981">
            <v>10619</v>
          </cell>
          <cell r="B981">
            <v>21</v>
          </cell>
          <cell r="C981">
            <v>10</v>
          </cell>
          <cell r="D981">
            <v>42</v>
          </cell>
          <cell r="E981">
            <v>0</v>
          </cell>
          <cell r="F981">
            <v>420</v>
          </cell>
        </row>
        <row r="982">
          <cell r="A982">
            <v>10619</v>
          </cell>
          <cell r="B982">
            <v>22</v>
          </cell>
          <cell r="C982">
            <v>21</v>
          </cell>
          <cell r="D982">
            <v>40</v>
          </cell>
          <cell r="E982">
            <v>0</v>
          </cell>
          <cell r="F982">
            <v>840</v>
          </cell>
        </row>
        <row r="983">
          <cell r="A983">
            <v>10620</v>
          </cell>
          <cell r="B983">
            <v>24</v>
          </cell>
          <cell r="C983">
            <v>4.5</v>
          </cell>
          <cell r="D983">
            <v>5</v>
          </cell>
          <cell r="E983">
            <v>0</v>
          </cell>
          <cell r="F983">
            <v>22.5</v>
          </cell>
        </row>
        <row r="984">
          <cell r="A984">
            <v>10620</v>
          </cell>
          <cell r="B984">
            <v>52</v>
          </cell>
          <cell r="C984">
            <v>7</v>
          </cell>
          <cell r="D984">
            <v>5</v>
          </cell>
          <cell r="E984">
            <v>0</v>
          </cell>
          <cell r="F984">
            <v>35</v>
          </cell>
        </row>
        <row r="985">
          <cell r="A985">
            <v>10621</v>
          </cell>
          <cell r="B985">
            <v>19</v>
          </cell>
          <cell r="C985">
            <v>9.1999999999999993</v>
          </cell>
          <cell r="D985">
            <v>5</v>
          </cell>
          <cell r="E985">
            <v>0</v>
          </cell>
          <cell r="F985">
            <v>46</v>
          </cell>
        </row>
        <row r="986">
          <cell r="A986">
            <v>10621</v>
          </cell>
          <cell r="B986">
            <v>23</v>
          </cell>
          <cell r="C986">
            <v>9</v>
          </cell>
          <cell r="D986">
            <v>10</v>
          </cell>
          <cell r="E986">
            <v>0</v>
          </cell>
          <cell r="F986">
            <v>90</v>
          </cell>
        </row>
        <row r="987">
          <cell r="A987">
            <v>10621</v>
          </cell>
          <cell r="B987">
            <v>70</v>
          </cell>
          <cell r="C987">
            <v>15</v>
          </cell>
          <cell r="D987">
            <v>20</v>
          </cell>
          <cell r="E987">
            <v>0</v>
          </cell>
          <cell r="F987">
            <v>300</v>
          </cell>
        </row>
        <row r="988">
          <cell r="A988">
            <v>10621</v>
          </cell>
          <cell r="B988">
            <v>71</v>
          </cell>
          <cell r="C988">
            <v>21.5</v>
          </cell>
          <cell r="D988">
            <v>15</v>
          </cell>
          <cell r="E988">
            <v>0</v>
          </cell>
          <cell r="F988">
            <v>322.5</v>
          </cell>
        </row>
        <row r="989">
          <cell r="A989">
            <v>10622</v>
          </cell>
          <cell r="B989">
            <v>2</v>
          </cell>
          <cell r="C989">
            <v>19</v>
          </cell>
          <cell r="D989">
            <v>20</v>
          </cell>
          <cell r="E989">
            <v>0</v>
          </cell>
          <cell r="F989">
            <v>380</v>
          </cell>
        </row>
        <row r="990">
          <cell r="A990">
            <v>10622</v>
          </cell>
          <cell r="B990">
            <v>68</v>
          </cell>
          <cell r="C990">
            <v>12.5</v>
          </cell>
          <cell r="D990">
            <v>18</v>
          </cell>
          <cell r="E990">
            <v>0.20000000298023224</v>
          </cell>
          <cell r="F990">
            <v>179.99999932944775</v>
          </cell>
        </row>
        <row r="991">
          <cell r="A991">
            <v>10623</v>
          </cell>
          <cell r="B991">
            <v>14</v>
          </cell>
          <cell r="C991">
            <v>23.25</v>
          </cell>
          <cell r="D991">
            <v>21</v>
          </cell>
          <cell r="E991">
            <v>0</v>
          </cell>
          <cell r="F991">
            <v>488.25</v>
          </cell>
        </row>
        <row r="992">
          <cell r="A992">
            <v>10623</v>
          </cell>
          <cell r="B992">
            <v>19</v>
          </cell>
          <cell r="C992">
            <v>9.1999999999999993</v>
          </cell>
          <cell r="D992">
            <v>15</v>
          </cell>
          <cell r="E992">
            <v>0.10000000149011612</v>
          </cell>
          <cell r="F992">
            <v>124.19999979436398</v>
          </cell>
        </row>
        <row r="993">
          <cell r="A993">
            <v>10623</v>
          </cell>
          <cell r="B993">
            <v>21</v>
          </cell>
          <cell r="C993">
            <v>10</v>
          </cell>
          <cell r="D993">
            <v>25</v>
          </cell>
          <cell r="E993">
            <v>0.10000000149011612</v>
          </cell>
          <cell r="F993">
            <v>224.99999962747097</v>
          </cell>
        </row>
        <row r="994">
          <cell r="A994">
            <v>10623</v>
          </cell>
          <cell r="B994">
            <v>24</v>
          </cell>
          <cell r="C994">
            <v>4.5</v>
          </cell>
          <cell r="D994">
            <v>3</v>
          </cell>
          <cell r="E994">
            <v>0</v>
          </cell>
          <cell r="F994">
            <v>13.5</v>
          </cell>
        </row>
        <row r="995">
          <cell r="A995">
            <v>10623</v>
          </cell>
          <cell r="B995">
            <v>35</v>
          </cell>
          <cell r="C995">
            <v>18</v>
          </cell>
          <cell r="D995">
            <v>30</v>
          </cell>
          <cell r="E995">
            <v>0.10000000149011612</v>
          </cell>
          <cell r="F995">
            <v>485.9999991953373</v>
          </cell>
        </row>
        <row r="996">
          <cell r="A996">
            <v>10624</v>
          </cell>
          <cell r="B996">
            <v>28</v>
          </cell>
          <cell r="C996">
            <v>45.6</v>
          </cell>
          <cell r="D996">
            <v>10</v>
          </cell>
          <cell r="E996">
            <v>0</v>
          </cell>
          <cell r="F996">
            <v>456</v>
          </cell>
        </row>
        <row r="997">
          <cell r="A997">
            <v>10624</v>
          </cell>
          <cell r="B997">
            <v>29</v>
          </cell>
          <cell r="C997">
            <v>123.79</v>
          </cell>
          <cell r="D997">
            <v>6</v>
          </cell>
          <cell r="E997">
            <v>0</v>
          </cell>
          <cell r="F997">
            <v>742.74</v>
          </cell>
        </row>
        <row r="998">
          <cell r="A998">
            <v>10624</v>
          </cell>
          <cell r="B998">
            <v>44</v>
          </cell>
          <cell r="C998">
            <v>19.45</v>
          </cell>
          <cell r="D998">
            <v>10</v>
          </cell>
          <cell r="E998">
            <v>0</v>
          </cell>
          <cell r="F998">
            <v>194.5</v>
          </cell>
        </row>
        <row r="999">
          <cell r="A999">
            <v>10625</v>
          </cell>
          <cell r="B999">
            <v>14</v>
          </cell>
          <cell r="C999">
            <v>23.25</v>
          </cell>
          <cell r="D999">
            <v>3</v>
          </cell>
          <cell r="E999">
            <v>0</v>
          </cell>
          <cell r="F999">
            <v>69.75</v>
          </cell>
        </row>
        <row r="1000">
          <cell r="A1000">
            <v>10625</v>
          </cell>
          <cell r="B1000">
            <v>42</v>
          </cell>
          <cell r="C1000">
            <v>14</v>
          </cell>
          <cell r="D1000">
            <v>5</v>
          </cell>
          <cell r="E1000">
            <v>0</v>
          </cell>
          <cell r="F1000">
            <v>70</v>
          </cell>
        </row>
        <row r="1001">
          <cell r="A1001">
            <v>10625</v>
          </cell>
          <cell r="B1001">
            <v>60</v>
          </cell>
          <cell r="C1001">
            <v>34</v>
          </cell>
          <cell r="D1001">
            <v>10</v>
          </cell>
          <cell r="E1001">
            <v>0</v>
          </cell>
          <cell r="F1001">
            <v>340</v>
          </cell>
        </row>
        <row r="1002">
          <cell r="A1002">
            <v>10626</v>
          </cell>
          <cell r="B1002">
            <v>53</v>
          </cell>
          <cell r="C1002">
            <v>32.799999999999997</v>
          </cell>
          <cell r="D1002">
            <v>12</v>
          </cell>
          <cell r="E1002">
            <v>0</v>
          </cell>
          <cell r="F1002">
            <v>393.59999999999997</v>
          </cell>
        </row>
        <row r="1003">
          <cell r="A1003">
            <v>10626</v>
          </cell>
          <cell r="B1003">
            <v>60</v>
          </cell>
          <cell r="C1003">
            <v>34</v>
          </cell>
          <cell r="D1003">
            <v>20</v>
          </cell>
          <cell r="E1003">
            <v>0</v>
          </cell>
          <cell r="F1003">
            <v>680</v>
          </cell>
        </row>
        <row r="1004">
          <cell r="A1004">
            <v>10626</v>
          </cell>
          <cell r="B1004">
            <v>71</v>
          </cell>
          <cell r="C1004">
            <v>21.5</v>
          </cell>
          <cell r="D1004">
            <v>20</v>
          </cell>
          <cell r="E1004">
            <v>0</v>
          </cell>
          <cell r="F1004">
            <v>430</v>
          </cell>
        </row>
        <row r="1005">
          <cell r="A1005">
            <v>10627</v>
          </cell>
          <cell r="B1005">
            <v>62</v>
          </cell>
          <cell r="C1005">
            <v>49.3</v>
          </cell>
          <cell r="D1005">
            <v>15</v>
          </cell>
          <cell r="E1005">
            <v>0</v>
          </cell>
          <cell r="F1005">
            <v>739.5</v>
          </cell>
        </row>
        <row r="1006">
          <cell r="A1006">
            <v>10627</v>
          </cell>
          <cell r="B1006">
            <v>73</v>
          </cell>
          <cell r="C1006">
            <v>15</v>
          </cell>
          <cell r="D1006">
            <v>35</v>
          </cell>
          <cell r="E1006">
            <v>0.15000000596046448</v>
          </cell>
          <cell r="F1006">
            <v>446.24999687075615</v>
          </cell>
        </row>
        <row r="1007">
          <cell r="A1007">
            <v>10628</v>
          </cell>
          <cell r="B1007">
            <v>1</v>
          </cell>
          <cell r="C1007">
            <v>18</v>
          </cell>
          <cell r="D1007">
            <v>25</v>
          </cell>
          <cell r="E1007">
            <v>0</v>
          </cell>
          <cell r="F1007">
            <v>450</v>
          </cell>
        </row>
        <row r="1008">
          <cell r="A1008">
            <v>10629</v>
          </cell>
          <cell r="B1008">
            <v>29</v>
          </cell>
          <cell r="C1008">
            <v>123.79</v>
          </cell>
          <cell r="D1008">
            <v>20</v>
          </cell>
          <cell r="E1008">
            <v>0</v>
          </cell>
          <cell r="F1008">
            <v>2475.8000000000002</v>
          </cell>
        </row>
        <row r="1009">
          <cell r="A1009">
            <v>10629</v>
          </cell>
          <cell r="B1009">
            <v>64</v>
          </cell>
          <cell r="C1009">
            <v>33.25</v>
          </cell>
          <cell r="D1009">
            <v>9</v>
          </cell>
          <cell r="E1009">
            <v>0</v>
          </cell>
          <cell r="F1009">
            <v>299.25</v>
          </cell>
        </row>
        <row r="1010">
          <cell r="A1010">
            <v>10630</v>
          </cell>
          <cell r="B1010">
            <v>55</v>
          </cell>
          <cell r="C1010">
            <v>24</v>
          </cell>
          <cell r="D1010">
            <v>12</v>
          </cell>
          <cell r="E1010">
            <v>5.000000074505806E-2</v>
          </cell>
          <cell r="F1010">
            <v>273.59999978542328</v>
          </cell>
        </row>
        <row r="1011">
          <cell r="A1011">
            <v>10630</v>
          </cell>
          <cell r="B1011">
            <v>76</v>
          </cell>
          <cell r="C1011">
            <v>18</v>
          </cell>
          <cell r="D1011">
            <v>35</v>
          </cell>
          <cell r="E1011">
            <v>0</v>
          </cell>
          <cell r="F1011">
            <v>630</v>
          </cell>
        </row>
        <row r="1012">
          <cell r="A1012">
            <v>10631</v>
          </cell>
          <cell r="B1012">
            <v>75</v>
          </cell>
          <cell r="C1012">
            <v>7.75</v>
          </cell>
          <cell r="D1012">
            <v>8</v>
          </cell>
          <cell r="E1012">
            <v>0.10000000149011612</v>
          </cell>
          <cell r="F1012">
            <v>55.799999907612801</v>
          </cell>
        </row>
        <row r="1013">
          <cell r="A1013">
            <v>10632</v>
          </cell>
          <cell r="B1013">
            <v>2</v>
          </cell>
          <cell r="C1013">
            <v>19</v>
          </cell>
          <cell r="D1013">
            <v>30</v>
          </cell>
          <cell r="E1013">
            <v>5.000000074505806E-2</v>
          </cell>
          <cell r="F1013">
            <v>541.49999957531691</v>
          </cell>
        </row>
        <row r="1014">
          <cell r="A1014">
            <v>10632</v>
          </cell>
          <cell r="B1014">
            <v>33</v>
          </cell>
          <cell r="C1014">
            <v>2.5</v>
          </cell>
          <cell r="D1014">
            <v>20</v>
          </cell>
          <cell r="E1014">
            <v>5.000000074505806E-2</v>
          </cell>
          <cell r="F1014">
            <v>47.499999962747097</v>
          </cell>
        </row>
        <row r="1015">
          <cell r="A1015">
            <v>10633</v>
          </cell>
          <cell r="B1015">
            <v>12</v>
          </cell>
          <cell r="C1015">
            <v>38</v>
          </cell>
          <cell r="D1015">
            <v>36</v>
          </cell>
          <cell r="E1015">
            <v>0.15000000596046448</v>
          </cell>
          <cell r="F1015">
            <v>1162.7999918460846</v>
          </cell>
        </row>
        <row r="1016">
          <cell r="A1016">
            <v>10633</v>
          </cell>
          <cell r="B1016">
            <v>13</v>
          </cell>
          <cell r="C1016">
            <v>6</v>
          </cell>
          <cell r="D1016">
            <v>13</v>
          </cell>
          <cell r="E1016">
            <v>0.15000000596046448</v>
          </cell>
          <cell r="F1016">
            <v>66.299999535083771</v>
          </cell>
        </row>
        <row r="1017">
          <cell r="A1017">
            <v>10633</v>
          </cell>
          <cell r="B1017">
            <v>26</v>
          </cell>
          <cell r="C1017">
            <v>31.23</v>
          </cell>
          <cell r="D1017">
            <v>35</v>
          </cell>
          <cell r="E1017">
            <v>0.15000000596046448</v>
          </cell>
          <cell r="F1017">
            <v>929.09249348491426</v>
          </cell>
        </row>
        <row r="1018">
          <cell r="A1018">
            <v>10633</v>
          </cell>
          <cell r="B1018">
            <v>62</v>
          </cell>
          <cell r="C1018">
            <v>49.3</v>
          </cell>
          <cell r="D1018">
            <v>80</v>
          </cell>
          <cell r="E1018">
            <v>0.15000000596046448</v>
          </cell>
          <cell r="F1018">
            <v>3352.3999764919281</v>
          </cell>
        </row>
        <row r="1019">
          <cell r="A1019">
            <v>10634</v>
          </cell>
          <cell r="B1019">
            <v>7</v>
          </cell>
          <cell r="C1019">
            <v>30</v>
          </cell>
          <cell r="D1019">
            <v>35</v>
          </cell>
          <cell r="E1019">
            <v>0</v>
          </cell>
          <cell r="F1019">
            <v>1050</v>
          </cell>
        </row>
        <row r="1020">
          <cell r="A1020">
            <v>10634</v>
          </cell>
          <cell r="B1020">
            <v>18</v>
          </cell>
          <cell r="C1020">
            <v>62.5</v>
          </cell>
          <cell r="D1020">
            <v>50</v>
          </cell>
          <cell r="E1020">
            <v>0</v>
          </cell>
          <cell r="F1020">
            <v>3125</v>
          </cell>
        </row>
        <row r="1021">
          <cell r="A1021">
            <v>10634</v>
          </cell>
          <cell r="B1021">
            <v>51</v>
          </cell>
          <cell r="C1021">
            <v>53</v>
          </cell>
          <cell r="D1021">
            <v>15</v>
          </cell>
          <cell r="E1021">
            <v>0</v>
          </cell>
          <cell r="F1021">
            <v>795</v>
          </cell>
        </row>
        <row r="1022">
          <cell r="A1022">
            <v>10634</v>
          </cell>
          <cell r="B1022">
            <v>75</v>
          </cell>
          <cell r="C1022">
            <v>7.75</v>
          </cell>
          <cell r="D1022">
            <v>2</v>
          </cell>
          <cell r="E1022">
            <v>0</v>
          </cell>
          <cell r="F1022">
            <v>15.5</v>
          </cell>
        </row>
        <row r="1023">
          <cell r="A1023">
            <v>10635</v>
          </cell>
          <cell r="B1023">
            <v>4</v>
          </cell>
          <cell r="C1023">
            <v>22</v>
          </cell>
          <cell r="D1023">
            <v>10</v>
          </cell>
          <cell r="E1023">
            <v>0.10000000149011612</v>
          </cell>
          <cell r="F1023">
            <v>197.99999967217445</v>
          </cell>
        </row>
        <row r="1024">
          <cell r="A1024">
            <v>10635</v>
          </cell>
          <cell r="B1024">
            <v>5</v>
          </cell>
          <cell r="C1024">
            <v>21.35</v>
          </cell>
          <cell r="D1024">
            <v>15</v>
          </cell>
          <cell r="E1024">
            <v>0.10000000149011612</v>
          </cell>
          <cell r="F1024">
            <v>288.22499952279031</v>
          </cell>
        </row>
        <row r="1025">
          <cell r="A1025">
            <v>10635</v>
          </cell>
          <cell r="B1025">
            <v>22</v>
          </cell>
          <cell r="C1025">
            <v>21</v>
          </cell>
          <cell r="D1025">
            <v>40</v>
          </cell>
          <cell r="E1025">
            <v>0</v>
          </cell>
          <cell r="F1025">
            <v>840</v>
          </cell>
        </row>
        <row r="1026">
          <cell r="A1026">
            <v>10636</v>
          </cell>
          <cell r="B1026">
            <v>4</v>
          </cell>
          <cell r="C1026">
            <v>22</v>
          </cell>
          <cell r="D1026">
            <v>25</v>
          </cell>
          <cell r="E1026">
            <v>0</v>
          </cell>
          <cell r="F1026">
            <v>550</v>
          </cell>
        </row>
        <row r="1027">
          <cell r="A1027">
            <v>10636</v>
          </cell>
          <cell r="B1027">
            <v>58</v>
          </cell>
          <cell r="C1027">
            <v>13.25</v>
          </cell>
          <cell r="D1027">
            <v>6</v>
          </cell>
          <cell r="E1027">
            <v>0</v>
          </cell>
          <cell r="F1027">
            <v>79.5</v>
          </cell>
        </row>
        <row r="1028">
          <cell r="A1028">
            <v>10637</v>
          </cell>
          <cell r="B1028">
            <v>11</v>
          </cell>
          <cell r="C1028">
            <v>21</v>
          </cell>
          <cell r="D1028">
            <v>10</v>
          </cell>
          <cell r="E1028">
            <v>0</v>
          </cell>
          <cell r="F1028">
            <v>210</v>
          </cell>
        </row>
        <row r="1029">
          <cell r="A1029">
            <v>10637</v>
          </cell>
          <cell r="B1029">
            <v>50</v>
          </cell>
          <cell r="C1029">
            <v>16.25</v>
          </cell>
          <cell r="D1029">
            <v>25</v>
          </cell>
          <cell r="E1029">
            <v>5.000000074505806E-2</v>
          </cell>
          <cell r="F1029">
            <v>385.93749969732016</v>
          </cell>
        </row>
        <row r="1030">
          <cell r="A1030">
            <v>10637</v>
          </cell>
          <cell r="B1030">
            <v>56</v>
          </cell>
          <cell r="C1030">
            <v>38</v>
          </cell>
          <cell r="D1030">
            <v>60</v>
          </cell>
          <cell r="E1030">
            <v>5.000000074505806E-2</v>
          </cell>
          <cell r="F1030">
            <v>2165.9999983012676</v>
          </cell>
        </row>
        <row r="1031">
          <cell r="A1031">
            <v>10638</v>
          </cell>
          <cell r="B1031">
            <v>45</v>
          </cell>
          <cell r="C1031">
            <v>9.5</v>
          </cell>
          <cell r="D1031">
            <v>20</v>
          </cell>
          <cell r="E1031">
            <v>0</v>
          </cell>
          <cell r="F1031">
            <v>190</v>
          </cell>
        </row>
        <row r="1032">
          <cell r="A1032">
            <v>10638</v>
          </cell>
          <cell r="B1032">
            <v>65</v>
          </cell>
          <cell r="C1032">
            <v>21.05</v>
          </cell>
          <cell r="D1032">
            <v>21</v>
          </cell>
          <cell r="E1032">
            <v>0</v>
          </cell>
          <cell r="F1032">
            <v>442.05</v>
          </cell>
        </row>
        <row r="1033">
          <cell r="A1033">
            <v>10638</v>
          </cell>
          <cell r="B1033">
            <v>72</v>
          </cell>
          <cell r="C1033">
            <v>34.799999999999997</v>
          </cell>
          <cell r="D1033">
            <v>60</v>
          </cell>
          <cell r="E1033">
            <v>0</v>
          </cell>
          <cell r="F1033">
            <v>2088</v>
          </cell>
        </row>
        <row r="1034">
          <cell r="A1034">
            <v>10639</v>
          </cell>
          <cell r="B1034">
            <v>18</v>
          </cell>
          <cell r="C1034">
            <v>62.5</v>
          </cell>
          <cell r="D1034">
            <v>8</v>
          </cell>
          <cell r="E1034">
            <v>0</v>
          </cell>
          <cell r="F1034">
            <v>500</v>
          </cell>
        </row>
        <row r="1035">
          <cell r="A1035">
            <v>10640</v>
          </cell>
          <cell r="B1035">
            <v>69</v>
          </cell>
          <cell r="C1035">
            <v>36</v>
          </cell>
          <cell r="D1035">
            <v>20</v>
          </cell>
          <cell r="E1035">
            <v>0.25</v>
          </cell>
          <cell r="F1035">
            <v>540</v>
          </cell>
        </row>
        <row r="1036">
          <cell r="A1036">
            <v>10640</v>
          </cell>
          <cell r="B1036">
            <v>70</v>
          </cell>
          <cell r="C1036">
            <v>15</v>
          </cell>
          <cell r="D1036">
            <v>15</v>
          </cell>
          <cell r="E1036">
            <v>0.25</v>
          </cell>
          <cell r="F1036">
            <v>168.75</v>
          </cell>
        </row>
        <row r="1037">
          <cell r="A1037">
            <v>10641</v>
          </cell>
          <cell r="B1037">
            <v>2</v>
          </cell>
          <cell r="C1037">
            <v>19</v>
          </cell>
          <cell r="D1037">
            <v>50</v>
          </cell>
          <cell r="E1037">
            <v>0</v>
          </cell>
          <cell r="F1037">
            <v>950</v>
          </cell>
        </row>
        <row r="1038">
          <cell r="A1038">
            <v>10641</v>
          </cell>
          <cell r="B1038">
            <v>40</v>
          </cell>
          <cell r="C1038">
            <v>18.399999999999999</v>
          </cell>
          <cell r="D1038">
            <v>60</v>
          </cell>
          <cell r="E1038">
            <v>0</v>
          </cell>
          <cell r="F1038">
            <v>1104</v>
          </cell>
        </row>
        <row r="1039">
          <cell r="A1039">
            <v>10642</v>
          </cell>
          <cell r="B1039">
            <v>21</v>
          </cell>
          <cell r="C1039">
            <v>10</v>
          </cell>
          <cell r="D1039">
            <v>30</v>
          </cell>
          <cell r="E1039">
            <v>0.20000000298023224</v>
          </cell>
          <cell r="F1039">
            <v>239.99999910593033</v>
          </cell>
        </row>
        <row r="1040">
          <cell r="A1040">
            <v>10642</v>
          </cell>
          <cell r="B1040">
            <v>61</v>
          </cell>
          <cell r="C1040">
            <v>28.5</v>
          </cell>
          <cell r="D1040">
            <v>20</v>
          </cell>
          <cell r="E1040">
            <v>0.20000000298023224</v>
          </cell>
          <cell r="F1040">
            <v>455.99999830126762</v>
          </cell>
        </row>
        <row r="1041">
          <cell r="A1041">
            <v>10643</v>
          </cell>
          <cell r="B1041">
            <v>28</v>
          </cell>
          <cell r="C1041">
            <v>45.6</v>
          </cell>
          <cell r="D1041">
            <v>15</v>
          </cell>
          <cell r="E1041">
            <v>0.25</v>
          </cell>
          <cell r="F1041">
            <v>513</v>
          </cell>
        </row>
        <row r="1042">
          <cell r="A1042">
            <v>10643</v>
          </cell>
          <cell r="B1042">
            <v>39</v>
          </cell>
          <cell r="C1042">
            <v>18</v>
          </cell>
          <cell r="D1042">
            <v>21</v>
          </cell>
          <cell r="E1042">
            <v>0.25</v>
          </cell>
          <cell r="F1042">
            <v>283.5</v>
          </cell>
        </row>
        <row r="1043">
          <cell r="A1043">
            <v>10643</v>
          </cell>
          <cell r="B1043">
            <v>46</v>
          </cell>
          <cell r="C1043">
            <v>12</v>
          </cell>
          <cell r="D1043">
            <v>2</v>
          </cell>
          <cell r="E1043">
            <v>0.25</v>
          </cell>
          <cell r="F1043">
            <v>18</v>
          </cell>
        </row>
        <row r="1044">
          <cell r="A1044">
            <v>10644</v>
          </cell>
          <cell r="B1044">
            <v>18</v>
          </cell>
          <cell r="C1044">
            <v>62.5</v>
          </cell>
          <cell r="D1044">
            <v>4</v>
          </cell>
          <cell r="E1044">
            <v>0.10000000149011612</v>
          </cell>
          <cell r="F1044">
            <v>224.99999962747097</v>
          </cell>
        </row>
        <row r="1045">
          <cell r="A1045">
            <v>10644</v>
          </cell>
          <cell r="B1045">
            <v>43</v>
          </cell>
          <cell r="C1045">
            <v>46</v>
          </cell>
          <cell r="D1045">
            <v>20</v>
          </cell>
          <cell r="E1045">
            <v>0</v>
          </cell>
          <cell r="F1045">
            <v>920</v>
          </cell>
        </row>
        <row r="1046">
          <cell r="A1046">
            <v>10644</v>
          </cell>
          <cell r="B1046">
            <v>46</v>
          </cell>
          <cell r="C1046">
            <v>12</v>
          </cell>
          <cell r="D1046">
            <v>21</v>
          </cell>
          <cell r="E1046">
            <v>0.10000000149011612</v>
          </cell>
          <cell r="F1046">
            <v>226.79999962449074</v>
          </cell>
        </row>
        <row r="1047">
          <cell r="A1047">
            <v>10645</v>
          </cell>
          <cell r="B1047">
            <v>18</v>
          </cell>
          <cell r="C1047">
            <v>62.5</v>
          </cell>
          <cell r="D1047">
            <v>20</v>
          </cell>
          <cell r="E1047">
            <v>0</v>
          </cell>
          <cell r="F1047">
            <v>1250</v>
          </cell>
        </row>
        <row r="1048">
          <cell r="A1048">
            <v>10645</v>
          </cell>
          <cell r="B1048">
            <v>36</v>
          </cell>
          <cell r="C1048">
            <v>19</v>
          </cell>
          <cell r="D1048">
            <v>15</v>
          </cell>
          <cell r="E1048">
            <v>0</v>
          </cell>
          <cell r="F1048">
            <v>285</v>
          </cell>
        </row>
        <row r="1049">
          <cell r="A1049">
            <v>10646</v>
          </cell>
          <cell r="B1049">
            <v>1</v>
          </cell>
          <cell r="C1049">
            <v>18</v>
          </cell>
          <cell r="D1049">
            <v>15</v>
          </cell>
          <cell r="E1049">
            <v>0.25</v>
          </cell>
          <cell r="F1049">
            <v>202.5</v>
          </cell>
        </row>
        <row r="1050">
          <cell r="A1050">
            <v>10646</v>
          </cell>
          <cell r="B1050">
            <v>10</v>
          </cell>
          <cell r="C1050">
            <v>31</v>
          </cell>
          <cell r="D1050">
            <v>18</v>
          </cell>
          <cell r="E1050">
            <v>0.25</v>
          </cell>
          <cell r="F1050">
            <v>418.5</v>
          </cell>
        </row>
        <row r="1051">
          <cell r="A1051">
            <v>10646</v>
          </cell>
          <cell r="B1051">
            <v>71</v>
          </cell>
          <cell r="C1051">
            <v>21.5</v>
          </cell>
          <cell r="D1051">
            <v>30</v>
          </cell>
          <cell r="E1051">
            <v>0.25</v>
          </cell>
          <cell r="F1051">
            <v>483.75</v>
          </cell>
        </row>
        <row r="1052">
          <cell r="A1052">
            <v>10646</v>
          </cell>
          <cell r="B1052">
            <v>77</v>
          </cell>
          <cell r="C1052">
            <v>13</v>
          </cell>
          <cell r="D1052">
            <v>35</v>
          </cell>
          <cell r="E1052">
            <v>0.25</v>
          </cell>
          <cell r="F1052">
            <v>341.25</v>
          </cell>
        </row>
        <row r="1053">
          <cell r="A1053">
            <v>10647</v>
          </cell>
          <cell r="B1053">
            <v>19</v>
          </cell>
          <cell r="C1053">
            <v>9.1999999999999993</v>
          </cell>
          <cell r="D1053">
            <v>30</v>
          </cell>
          <cell r="E1053">
            <v>0</v>
          </cell>
          <cell r="F1053">
            <v>276</v>
          </cell>
        </row>
        <row r="1054">
          <cell r="A1054">
            <v>10647</v>
          </cell>
          <cell r="B1054">
            <v>39</v>
          </cell>
          <cell r="C1054">
            <v>18</v>
          </cell>
          <cell r="D1054">
            <v>20</v>
          </cell>
          <cell r="E1054">
            <v>0</v>
          </cell>
          <cell r="F1054">
            <v>360</v>
          </cell>
        </row>
        <row r="1055">
          <cell r="A1055">
            <v>10648</v>
          </cell>
          <cell r="B1055">
            <v>22</v>
          </cell>
          <cell r="C1055">
            <v>21</v>
          </cell>
          <cell r="D1055">
            <v>15</v>
          </cell>
          <cell r="E1055">
            <v>0</v>
          </cell>
          <cell r="F1055">
            <v>315</v>
          </cell>
        </row>
        <row r="1056">
          <cell r="A1056">
            <v>10648</v>
          </cell>
          <cell r="B1056">
            <v>24</v>
          </cell>
          <cell r="C1056">
            <v>4.5</v>
          </cell>
          <cell r="D1056">
            <v>15</v>
          </cell>
          <cell r="E1056">
            <v>0.15000000596046448</v>
          </cell>
          <cell r="F1056">
            <v>57.374999597668648</v>
          </cell>
        </row>
        <row r="1057">
          <cell r="A1057">
            <v>10649</v>
          </cell>
          <cell r="B1057">
            <v>28</v>
          </cell>
          <cell r="C1057">
            <v>45.6</v>
          </cell>
          <cell r="D1057">
            <v>20</v>
          </cell>
          <cell r="E1057">
            <v>0</v>
          </cell>
          <cell r="F1057">
            <v>912</v>
          </cell>
        </row>
        <row r="1058">
          <cell r="A1058">
            <v>10649</v>
          </cell>
          <cell r="B1058">
            <v>72</v>
          </cell>
          <cell r="C1058">
            <v>34.799999999999997</v>
          </cell>
          <cell r="D1058">
            <v>15</v>
          </cell>
          <cell r="E1058">
            <v>0</v>
          </cell>
          <cell r="F1058">
            <v>522</v>
          </cell>
        </row>
        <row r="1059">
          <cell r="A1059">
            <v>10650</v>
          </cell>
          <cell r="B1059">
            <v>30</v>
          </cell>
          <cell r="C1059">
            <v>25.89</v>
          </cell>
          <cell r="D1059">
            <v>30</v>
          </cell>
          <cell r="E1059">
            <v>0</v>
          </cell>
          <cell r="F1059">
            <v>776.7</v>
          </cell>
        </row>
        <row r="1060">
          <cell r="A1060">
            <v>10650</v>
          </cell>
          <cell r="B1060">
            <v>53</v>
          </cell>
          <cell r="C1060">
            <v>32.799999999999997</v>
          </cell>
          <cell r="D1060">
            <v>25</v>
          </cell>
          <cell r="E1060">
            <v>5.000000074505806E-2</v>
          </cell>
          <cell r="F1060">
            <v>778.99999938905228</v>
          </cell>
        </row>
        <row r="1061">
          <cell r="A1061">
            <v>10650</v>
          </cell>
          <cell r="B1061">
            <v>54</v>
          </cell>
          <cell r="C1061">
            <v>7.45</v>
          </cell>
          <cell r="D1061">
            <v>30</v>
          </cell>
          <cell r="E1061">
            <v>0</v>
          </cell>
          <cell r="F1061">
            <v>223.5</v>
          </cell>
        </row>
        <row r="1062">
          <cell r="A1062">
            <v>10651</v>
          </cell>
          <cell r="B1062">
            <v>19</v>
          </cell>
          <cell r="C1062">
            <v>9.1999999999999993</v>
          </cell>
          <cell r="D1062">
            <v>12</v>
          </cell>
          <cell r="E1062">
            <v>0.25</v>
          </cell>
          <cell r="F1062">
            <v>82.8</v>
          </cell>
        </row>
        <row r="1063">
          <cell r="A1063">
            <v>10651</v>
          </cell>
          <cell r="B1063">
            <v>22</v>
          </cell>
          <cell r="C1063">
            <v>21</v>
          </cell>
          <cell r="D1063">
            <v>20</v>
          </cell>
          <cell r="E1063">
            <v>0.25</v>
          </cell>
          <cell r="F1063">
            <v>315</v>
          </cell>
        </row>
        <row r="1064">
          <cell r="A1064">
            <v>10652</v>
          </cell>
          <cell r="B1064">
            <v>30</v>
          </cell>
          <cell r="C1064">
            <v>25.89</v>
          </cell>
          <cell r="D1064">
            <v>2</v>
          </cell>
          <cell r="E1064">
            <v>0.25</v>
          </cell>
          <cell r="F1064">
            <v>38.835000000000001</v>
          </cell>
        </row>
        <row r="1065">
          <cell r="A1065">
            <v>10652</v>
          </cell>
          <cell r="B1065">
            <v>42</v>
          </cell>
          <cell r="C1065">
            <v>14</v>
          </cell>
          <cell r="D1065">
            <v>20</v>
          </cell>
          <cell r="E1065">
            <v>0</v>
          </cell>
          <cell r="F1065">
            <v>280</v>
          </cell>
        </row>
        <row r="1066">
          <cell r="A1066">
            <v>10653</v>
          </cell>
          <cell r="B1066">
            <v>16</v>
          </cell>
          <cell r="C1066">
            <v>17.45</v>
          </cell>
          <cell r="D1066">
            <v>30</v>
          </cell>
          <cell r="E1066">
            <v>0.10000000149011612</v>
          </cell>
          <cell r="F1066">
            <v>471.14999921992421</v>
          </cell>
        </row>
        <row r="1067">
          <cell r="A1067">
            <v>10653</v>
          </cell>
          <cell r="B1067">
            <v>60</v>
          </cell>
          <cell r="C1067">
            <v>34</v>
          </cell>
          <cell r="D1067">
            <v>20</v>
          </cell>
          <cell r="E1067">
            <v>0.10000000149011612</v>
          </cell>
          <cell r="F1067">
            <v>611.99999898672104</v>
          </cell>
        </row>
        <row r="1068">
          <cell r="A1068">
            <v>10654</v>
          </cell>
          <cell r="B1068">
            <v>4</v>
          </cell>
          <cell r="C1068">
            <v>22</v>
          </cell>
          <cell r="D1068">
            <v>12</v>
          </cell>
          <cell r="E1068">
            <v>0.10000000149011612</v>
          </cell>
          <cell r="F1068">
            <v>237.59999960660934</v>
          </cell>
        </row>
        <row r="1069">
          <cell r="A1069">
            <v>10654</v>
          </cell>
          <cell r="B1069">
            <v>39</v>
          </cell>
          <cell r="C1069">
            <v>18</v>
          </cell>
          <cell r="D1069">
            <v>20</v>
          </cell>
          <cell r="E1069">
            <v>0.10000000149011612</v>
          </cell>
          <cell r="F1069">
            <v>323.9999994635582</v>
          </cell>
        </row>
        <row r="1070">
          <cell r="A1070">
            <v>10654</v>
          </cell>
          <cell r="B1070">
            <v>54</v>
          </cell>
          <cell r="C1070">
            <v>7.45</v>
          </cell>
          <cell r="D1070">
            <v>6</v>
          </cell>
          <cell r="E1070">
            <v>0.10000000149011612</v>
          </cell>
          <cell r="F1070">
            <v>40.229999933391809</v>
          </cell>
        </row>
        <row r="1071">
          <cell r="A1071">
            <v>10655</v>
          </cell>
          <cell r="B1071">
            <v>41</v>
          </cell>
          <cell r="C1071">
            <v>9.65</v>
          </cell>
          <cell r="D1071">
            <v>20</v>
          </cell>
          <cell r="E1071">
            <v>0.20000000298023224</v>
          </cell>
          <cell r="F1071">
            <v>154.39999942481518</v>
          </cell>
        </row>
        <row r="1072">
          <cell r="A1072">
            <v>10656</v>
          </cell>
          <cell r="B1072">
            <v>14</v>
          </cell>
          <cell r="C1072">
            <v>23.25</v>
          </cell>
          <cell r="D1072">
            <v>3</v>
          </cell>
          <cell r="E1072">
            <v>0.10000000149011612</v>
          </cell>
          <cell r="F1072">
            <v>62.774999896064401</v>
          </cell>
        </row>
        <row r="1073">
          <cell r="A1073">
            <v>10656</v>
          </cell>
          <cell r="B1073">
            <v>44</v>
          </cell>
          <cell r="C1073">
            <v>19.45</v>
          </cell>
          <cell r="D1073">
            <v>28</v>
          </cell>
          <cell r="E1073">
            <v>0.10000000149011612</v>
          </cell>
          <cell r="F1073">
            <v>490.13999918848276</v>
          </cell>
        </row>
        <row r="1074">
          <cell r="A1074">
            <v>10656</v>
          </cell>
          <cell r="B1074">
            <v>47</v>
          </cell>
          <cell r="C1074">
            <v>9.5</v>
          </cell>
          <cell r="D1074">
            <v>6</v>
          </cell>
          <cell r="E1074">
            <v>0.10000000149011612</v>
          </cell>
          <cell r="F1074">
            <v>51.299999915063381</v>
          </cell>
        </row>
        <row r="1075">
          <cell r="A1075">
            <v>10657</v>
          </cell>
          <cell r="B1075">
            <v>15</v>
          </cell>
          <cell r="C1075">
            <v>15.5</v>
          </cell>
          <cell r="D1075">
            <v>50</v>
          </cell>
          <cell r="E1075">
            <v>0</v>
          </cell>
          <cell r="F1075">
            <v>775</v>
          </cell>
        </row>
        <row r="1076">
          <cell r="A1076">
            <v>10657</v>
          </cell>
          <cell r="B1076">
            <v>41</v>
          </cell>
          <cell r="C1076">
            <v>9.65</v>
          </cell>
          <cell r="D1076">
            <v>24</v>
          </cell>
          <cell r="E1076">
            <v>0</v>
          </cell>
          <cell r="F1076">
            <v>231.60000000000002</v>
          </cell>
        </row>
        <row r="1077">
          <cell r="A1077">
            <v>10657</v>
          </cell>
          <cell r="B1077">
            <v>46</v>
          </cell>
          <cell r="C1077">
            <v>12</v>
          </cell>
          <cell r="D1077">
            <v>45</v>
          </cell>
          <cell r="E1077">
            <v>0</v>
          </cell>
          <cell r="F1077">
            <v>540</v>
          </cell>
        </row>
        <row r="1078">
          <cell r="A1078">
            <v>10657</v>
          </cell>
          <cell r="B1078">
            <v>47</v>
          </cell>
          <cell r="C1078">
            <v>9.5</v>
          </cell>
          <cell r="D1078">
            <v>10</v>
          </cell>
          <cell r="E1078">
            <v>0</v>
          </cell>
          <cell r="F1078">
            <v>95</v>
          </cell>
        </row>
        <row r="1079">
          <cell r="A1079">
            <v>10657</v>
          </cell>
          <cell r="B1079">
            <v>56</v>
          </cell>
          <cell r="C1079">
            <v>38</v>
          </cell>
          <cell r="D1079">
            <v>45</v>
          </cell>
          <cell r="E1079">
            <v>0</v>
          </cell>
          <cell r="F1079">
            <v>1710</v>
          </cell>
        </row>
        <row r="1080">
          <cell r="A1080">
            <v>10657</v>
          </cell>
          <cell r="B1080">
            <v>60</v>
          </cell>
          <cell r="C1080">
            <v>34</v>
          </cell>
          <cell r="D1080">
            <v>30</v>
          </cell>
          <cell r="E1080">
            <v>0</v>
          </cell>
          <cell r="F1080">
            <v>1020</v>
          </cell>
        </row>
        <row r="1081">
          <cell r="A1081">
            <v>10658</v>
          </cell>
          <cell r="B1081">
            <v>21</v>
          </cell>
          <cell r="C1081">
            <v>10</v>
          </cell>
          <cell r="D1081">
            <v>60</v>
          </cell>
          <cell r="E1081">
            <v>0</v>
          </cell>
          <cell r="F1081">
            <v>600</v>
          </cell>
        </row>
        <row r="1082">
          <cell r="A1082">
            <v>10658</v>
          </cell>
          <cell r="B1082">
            <v>40</v>
          </cell>
          <cell r="C1082">
            <v>18.399999999999999</v>
          </cell>
          <cell r="D1082">
            <v>70</v>
          </cell>
          <cell r="E1082">
            <v>5.000000074505806E-2</v>
          </cell>
          <cell r="F1082">
            <v>1223.5999990403652</v>
          </cell>
        </row>
        <row r="1083">
          <cell r="A1083">
            <v>10658</v>
          </cell>
          <cell r="B1083">
            <v>60</v>
          </cell>
          <cell r="C1083">
            <v>34</v>
          </cell>
          <cell r="D1083">
            <v>55</v>
          </cell>
          <cell r="E1083">
            <v>5.000000074505806E-2</v>
          </cell>
          <cell r="F1083">
            <v>1776.4999986067414</v>
          </cell>
        </row>
        <row r="1084">
          <cell r="A1084">
            <v>10658</v>
          </cell>
          <cell r="B1084">
            <v>77</v>
          </cell>
          <cell r="C1084">
            <v>13</v>
          </cell>
          <cell r="D1084">
            <v>70</v>
          </cell>
          <cell r="E1084">
            <v>5.000000074505806E-2</v>
          </cell>
          <cell r="F1084">
            <v>864.49999932199717</v>
          </cell>
        </row>
        <row r="1085">
          <cell r="A1085">
            <v>10659</v>
          </cell>
          <cell r="B1085">
            <v>31</v>
          </cell>
          <cell r="C1085">
            <v>12.5</v>
          </cell>
          <cell r="D1085">
            <v>20</v>
          </cell>
          <cell r="E1085">
            <v>5.000000074505806E-2</v>
          </cell>
          <cell r="F1085">
            <v>237.49999981373549</v>
          </cell>
        </row>
        <row r="1086">
          <cell r="A1086">
            <v>10659</v>
          </cell>
          <cell r="B1086">
            <v>40</v>
          </cell>
          <cell r="C1086">
            <v>18.399999999999999</v>
          </cell>
          <cell r="D1086">
            <v>24</v>
          </cell>
          <cell r="E1086">
            <v>5.000000074505806E-2</v>
          </cell>
          <cell r="F1086">
            <v>419.51999967098232</v>
          </cell>
        </row>
        <row r="1087">
          <cell r="A1087">
            <v>10659</v>
          </cell>
          <cell r="B1087">
            <v>70</v>
          </cell>
          <cell r="C1087">
            <v>15</v>
          </cell>
          <cell r="D1087">
            <v>40</v>
          </cell>
          <cell r="E1087">
            <v>5.000000074505806E-2</v>
          </cell>
          <cell r="F1087">
            <v>569.99999955296516</v>
          </cell>
        </row>
        <row r="1088">
          <cell r="A1088">
            <v>10660</v>
          </cell>
          <cell r="B1088">
            <v>20</v>
          </cell>
          <cell r="C1088">
            <v>81</v>
          </cell>
          <cell r="D1088">
            <v>21</v>
          </cell>
          <cell r="E1088">
            <v>0</v>
          </cell>
          <cell r="F1088">
            <v>1701</v>
          </cell>
        </row>
        <row r="1089">
          <cell r="A1089">
            <v>10661</v>
          </cell>
          <cell r="B1089">
            <v>39</v>
          </cell>
          <cell r="C1089">
            <v>18</v>
          </cell>
          <cell r="D1089">
            <v>3</v>
          </cell>
          <cell r="E1089">
            <v>0.20000000298023224</v>
          </cell>
          <cell r="F1089">
            <v>43.199999839067459</v>
          </cell>
        </row>
        <row r="1090">
          <cell r="A1090">
            <v>10661</v>
          </cell>
          <cell r="B1090">
            <v>58</v>
          </cell>
          <cell r="C1090">
            <v>13.25</v>
          </cell>
          <cell r="D1090">
            <v>49</v>
          </cell>
          <cell r="E1090">
            <v>0.20000000298023224</v>
          </cell>
          <cell r="F1090">
            <v>519.39999806508422</v>
          </cell>
        </row>
        <row r="1091">
          <cell r="A1091">
            <v>10662</v>
          </cell>
          <cell r="B1091">
            <v>68</v>
          </cell>
          <cell r="C1091">
            <v>12.5</v>
          </cell>
          <cell r="D1091">
            <v>10</v>
          </cell>
          <cell r="E1091">
            <v>0</v>
          </cell>
          <cell r="F1091">
            <v>125</v>
          </cell>
        </row>
        <row r="1092">
          <cell r="A1092">
            <v>10663</v>
          </cell>
          <cell r="B1092">
            <v>40</v>
          </cell>
          <cell r="C1092">
            <v>18.399999999999999</v>
          </cell>
          <cell r="D1092">
            <v>30</v>
          </cell>
          <cell r="E1092">
            <v>5.000000074505806E-2</v>
          </cell>
          <cell r="F1092">
            <v>524.39999958872795</v>
          </cell>
        </row>
        <row r="1093">
          <cell r="A1093">
            <v>10663</v>
          </cell>
          <cell r="B1093">
            <v>42</v>
          </cell>
          <cell r="C1093">
            <v>14</v>
          </cell>
          <cell r="D1093">
            <v>30</v>
          </cell>
          <cell r="E1093">
            <v>5.000000074505806E-2</v>
          </cell>
          <cell r="F1093">
            <v>398.99999968707561</v>
          </cell>
        </row>
        <row r="1094">
          <cell r="A1094">
            <v>10663</v>
          </cell>
          <cell r="B1094">
            <v>51</v>
          </cell>
          <cell r="C1094">
            <v>53</v>
          </cell>
          <cell r="D1094">
            <v>20</v>
          </cell>
          <cell r="E1094">
            <v>5.000000074505806E-2</v>
          </cell>
          <cell r="F1094">
            <v>1006.9999992102385</v>
          </cell>
        </row>
        <row r="1095">
          <cell r="A1095">
            <v>10664</v>
          </cell>
          <cell r="B1095">
            <v>10</v>
          </cell>
          <cell r="C1095">
            <v>31</v>
          </cell>
          <cell r="D1095">
            <v>24</v>
          </cell>
          <cell r="E1095">
            <v>0.15000000596046448</v>
          </cell>
          <cell r="F1095">
            <v>632.39999556541443</v>
          </cell>
        </row>
        <row r="1096">
          <cell r="A1096">
            <v>10664</v>
          </cell>
          <cell r="B1096">
            <v>56</v>
          </cell>
          <cell r="C1096">
            <v>38</v>
          </cell>
          <cell r="D1096">
            <v>12</v>
          </cell>
          <cell r="E1096">
            <v>0.15000000596046448</v>
          </cell>
          <cell r="F1096">
            <v>387.5999972820282</v>
          </cell>
        </row>
        <row r="1097">
          <cell r="A1097">
            <v>10664</v>
          </cell>
          <cell r="B1097">
            <v>65</v>
          </cell>
          <cell r="C1097">
            <v>21.05</v>
          </cell>
          <cell r="D1097">
            <v>15</v>
          </cell>
          <cell r="E1097">
            <v>0.15000000596046448</v>
          </cell>
          <cell r="F1097">
            <v>268.38749811798334</v>
          </cell>
        </row>
        <row r="1098">
          <cell r="A1098">
            <v>10665</v>
          </cell>
          <cell r="B1098">
            <v>51</v>
          </cell>
          <cell r="C1098">
            <v>53</v>
          </cell>
          <cell r="D1098">
            <v>20</v>
          </cell>
          <cell r="E1098">
            <v>0</v>
          </cell>
          <cell r="F1098">
            <v>1060</v>
          </cell>
        </row>
        <row r="1099">
          <cell r="A1099">
            <v>10665</v>
          </cell>
          <cell r="B1099">
            <v>59</v>
          </cell>
          <cell r="C1099">
            <v>55</v>
          </cell>
          <cell r="D1099">
            <v>1</v>
          </cell>
          <cell r="E1099">
            <v>0</v>
          </cell>
          <cell r="F1099">
            <v>55</v>
          </cell>
        </row>
        <row r="1100">
          <cell r="A1100">
            <v>10665</v>
          </cell>
          <cell r="B1100">
            <v>76</v>
          </cell>
          <cell r="C1100">
            <v>18</v>
          </cell>
          <cell r="D1100">
            <v>10</v>
          </cell>
          <cell r="E1100">
            <v>0</v>
          </cell>
          <cell r="F1100">
            <v>180</v>
          </cell>
        </row>
        <row r="1101">
          <cell r="A1101">
            <v>10666</v>
          </cell>
          <cell r="B1101">
            <v>29</v>
          </cell>
          <cell r="C1101">
            <v>123.79</v>
          </cell>
          <cell r="D1101">
            <v>36</v>
          </cell>
          <cell r="E1101">
            <v>0</v>
          </cell>
          <cell r="F1101">
            <v>4456.4400000000005</v>
          </cell>
        </row>
        <row r="1102">
          <cell r="A1102">
            <v>10666</v>
          </cell>
          <cell r="B1102">
            <v>65</v>
          </cell>
          <cell r="C1102">
            <v>21.05</v>
          </cell>
          <cell r="D1102">
            <v>10</v>
          </cell>
          <cell r="E1102">
            <v>0</v>
          </cell>
          <cell r="F1102">
            <v>210.5</v>
          </cell>
        </row>
        <row r="1103">
          <cell r="A1103">
            <v>10667</v>
          </cell>
          <cell r="B1103">
            <v>69</v>
          </cell>
          <cell r="C1103">
            <v>36</v>
          </cell>
          <cell r="D1103">
            <v>45</v>
          </cell>
          <cell r="E1103">
            <v>0.20000000298023224</v>
          </cell>
          <cell r="F1103">
            <v>1295.9999951720238</v>
          </cell>
        </row>
        <row r="1104">
          <cell r="A1104">
            <v>10667</v>
          </cell>
          <cell r="B1104">
            <v>71</v>
          </cell>
          <cell r="C1104">
            <v>21.5</v>
          </cell>
          <cell r="D1104">
            <v>14</v>
          </cell>
          <cell r="E1104">
            <v>0.20000000298023224</v>
          </cell>
          <cell r="F1104">
            <v>240.7999991029501</v>
          </cell>
        </row>
        <row r="1105">
          <cell r="A1105">
            <v>10668</v>
          </cell>
          <cell r="B1105">
            <v>31</v>
          </cell>
          <cell r="C1105">
            <v>12.5</v>
          </cell>
          <cell r="D1105">
            <v>8</v>
          </cell>
          <cell r="E1105">
            <v>0.10000000149011612</v>
          </cell>
          <cell r="F1105">
            <v>89.999999850988388</v>
          </cell>
        </row>
        <row r="1106">
          <cell r="A1106">
            <v>10668</v>
          </cell>
          <cell r="B1106">
            <v>55</v>
          </cell>
          <cell r="C1106">
            <v>24</v>
          </cell>
          <cell r="D1106">
            <v>4</v>
          </cell>
          <cell r="E1106">
            <v>0.10000000149011612</v>
          </cell>
          <cell r="F1106">
            <v>86.399999856948853</v>
          </cell>
        </row>
        <row r="1107">
          <cell r="A1107">
            <v>10668</v>
          </cell>
          <cell r="B1107">
            <v>64</v>
          </cell>
          <cell r="C1107">
            <v>33.25</v>
          </cell>
          <cell r="D1107">
            <v>15</v>
          </cell>
          <cell r="E1107">
            <v>0.10000000149011612</v>
          </cell>
          <cell r="F1107">
            <v>448.87499925680459</v>
          </cell>
        </row>
        <row r="1108">
          <cell r="A1108">
            <v>10669</v>
          </cell>
          <cell r="B1108">
            <v>36</v>
          </cell>
          <cell r="C1108">
            <v>19</v>
          </cell>
          <cell r="D1108">
            <v>30</v>
          </cell>
          <cell r="E1108">
            <v>0</v>
          </cell>
          <cell r="F1108">
            <v>570</v>
          </cell>
        </row>
        <row r="1109">
          <cell r="A1109">
            <v>10670</v>
          </cell>
          <cell r="B1109">
            <v>23</v>
          </cell>
          <cell r="C1109">
            <v>9</v>
          </cell>
          <cell r="D1109">
            <v>32</v>
          </cell>
          <cell r="E1109">
            <v>0</v>
          </cell>
          <cell r="F1109">
            <v>288</v>
          </cell>
        </row>
        <row r="1110">
          <cell r="A1110">
            <v>10670</v>
          </cell>
          <cell r="B1110">
            <v>46</v>
          </cell>
          <cell r="C1110">
            <v>12</v>
          </cell>
          <cell r="D1110">
            <v>60</v>
          </cell>
          <cell r="E1110">
            <v>0</v>
          </cell>
          <cell r="F1110">
            <v>720</v>
          </cell>
        </row>
        <row r="1111">
          <cell r="A1111">
            <v>10670</v>
          </cell>
          <cell r="B1111">
            <v>67</v>
          </cell>
          <cell r="C1111">
            <v>14</v>
          </cell>
          <cell r="D1111">
            <v>25</v>
          </cell>
          <cell r="E1111">
            <v>0</v>
          </cell>
          <cell r="F1111">
            <v>350</v>
          </cell>
        </row>
        <row r="1112">
          <cell r="A1112">
            <v>10670</v>
          </cell>
          <cell r="B1112">
            <v>73</v>
          </cell>
          <cell r="C1112">
            <v>15</v>
          </cell>
          <cell r="D1112">
            <v>50</v>
          </cell>
          <cell r="E1112">
            <v>0</v>
          </cell>
          <cell r="F1112">
            <v>750</v>
          </cell>
        </row>
        <row r="1113">
          <cell r="A1113">
            <v>10670</v>
          </cell>
          <cell r="B1113">
            <v>75</v>
          </cell>
          <cell r="C1113">
            <v>7.75</v>
          </cell>
          <cell r="D1113">
            <v>25</v>
          </cell>
          <cell r="E1113">
            <v>0</v>
          </cell>
          <cell r="F1113">
            <v>193.75</v>
          </cell>
        </row>
        <row r="1114">
          <cell r="A1114">
            <v>10671</v>
          </cell>
          <cell r="B1114">
            <v>16</v>
          </cell>
          <cell r="C1114">
            <v>17.45</v>
          </cell>
          <cell r="D1114">
            <v>10</v>
          </cell>
          <cell r="E1114">
            <v>0</v>
          </cell>
          <cell r="F1114">
            <v>174.5</v>
          </cell>
        </row>
        <row r="1115">
          <cell r="A1115">
            <v>10671</v>
          </cell>
          <cell r="B1115">
            <v>62</v>
          </cell>
          <cell r="C1115">
            <v>49.3</v>
          </cell>
          <cell r="D1115">
            <v>10</v>
          </cell>
          <cell r="E1115">
            <v>0</v>
          </cell>
          <cell r="F1115">
            <v>493</v>
          </cell>
        </row>
        <row r="1116">
          <cell r="A1116">
            <v>10671</v>
          </cell>
          <cell r="B1116">
            <v>65</v>
          </cell>
          <cell r="C1116">
            <v>21.05</v>
          </cell>
          <cell r="D1116">
            <v>12</v>
          </cell>
          <cell r="E1116">
            <v>0</v>
          </cell>
          <cell r="F1116">
            <v>252.60000000000002</v>
          </cell>
        </row>
        <row r="1117">
          <cell r="A1117">
            <v>10672</v>
          </cell>
          <cell r="B1117">
            <v>38</v>
          </cell>
          <cell r="C1117">
            <v>263.5</v>
          </cell>
          <cell r="D1117">
            <v>15</v>
          </cell>
          <cell r="E1117">
            <v>0.10000000149011612</v>
          </cell>
          <cell r="F1117">
            <v>3557.249994110316</v>
          </cell>
        </row>
        <row r="1118">
          <cell r="A1118">
            <v>10672</v>
          </cell>
          <cell r="B1118">
            <v>71</v>
          </cell>
          <cell r="C1118">
            <v>21.5</v>
          </cell>
          <cell r="D1118">
            <v>12</v>
          </cell>
          <cell r="E1118">
            <v>0</v>
          </cell>
          <cell r="F1118">
            <v>258</v>
          </cell>
        </row>
        <row r="1119">
          <cell r="A1119">
            <v>10673</v>
          </cell>
          <cell r="B1119">
            <v>16</v>
          </cell>
          <cell r="C1119">
            <v>17.45</v>
          </cell>
          <cell r="D1119">
            <v>3</v>
          </cell>
          <cell r="E1119">
            <v>0</v>
          </cell>
          <cell r="F1119">
            <v>52.349999999999994</v>
          </cell>
        </row>
        <row r="1120">
          <cell r="A1120">
            <v>10673</v>
          </cell>
          <cell r="B1120">
            <v>42</v>
          </cell>
          <cell r="C1120">
            <v>14</v>
          </cell>
          <cell r="D1120">
            <v>6</v>
          </cell>
          <cell r="E1120">
            <v>0</v>
          </cell>
          <cell r="F1120">
            <v>84</v>
          </cell>
        </row>
        <row r="1121">
          <cell r="A1121">
            <v>10673</v>
          </cell>
          <cell r="B1121">
            <v>43</v>
          </cell>
          <cell r="C1121">
            <v>46</v>
          </cell>
          <cell r="D1121">
            <v>6</v>
          </cell>
          <cell r="E1121">
            <v>0</v>
          </cell>
          <cell r="F1121">
            <v>276</v>
          </cell>
        </row>
        <row r="1122">
          <cell r="A1122">
            <v>10674</v>
          </cell>
          <cell r="B1122">
            <v>23</v>
          </cell>
          <cell r="C1122">
            <v>9</v>
          </cell>
          <cell r="D1122">
            <v>5</v>
          </cell>
          <cell r="E1122">
            <v>0</v>
          </cell>
          <cell r="F1122">
            <v>45</v>
          </cell>
        </row>
        <row r="1123">
          <cell r="A1123">
            <v>10675</v>
          </cell>
          <cell r="B1123">
            <v>14</v>
          </cell>
          <cell r="C1123">
            <v>23.25</v>
          </cell>
          <cell r="D1123">
            <v>30</v>
          </cell>
          <cell r="E1123">
            <v>0</v>
          </cell>
          <cell r="F1123">
            <v>697.5</v>
          </cell>
        </row>
        <row r="1124">
          <cell r="A1124">
            <v>10675</v>
          </cell>
          <cell r="B1124">
            <v>53</v>
          </cell>
          <cell r="C1124">
            <v>32.799999999999997</v>
          </cell>
          <cell r="D1124">
            <v>10</v>
          </cell>
          <cell r="E1124">
            <v>0</v>
          </cell>
          <cell r="F1124">
            <v>328</v>
          </cell>
        </row>
        <row r="1125">
          <cell r="A1125">
            <v>10675</v>
          </cell>
          <cell r="B1125">
            <v>58</v>
          </cell>
          <cell r="C1125">
            <v>13.25</v>
          </cell>
          <cell r="D1125">
            <v>30</v>
          </cell>
          <cell r="E1125">
            <v>0</v>
          </cell>
          <cell r="F1125">
            <v>397.5</v>
          </cell>
        </row>
        <row r="1126">
          <cell r="A1126">
            <v>10676</v>
          </cell>
          <cell r="B1126">
            <v>10</v>
          </cell>
          <cell r="C1126">
            <v>31</v>
          </cell>
          <cell r="D1126">
            <v>2</v>
          </cell>
          <cell r="E1126">
            <v>0</v>
          </cell>
          <cell r="F1126">
            <v>62</v>
          </cell>
        </row>
        <row r="1127">
          <cell r="A1127">
            <v>10676</v>
          </cell>
          <cell r="B1127">
            <v>19</v>
          </cell>
          <cell r="C1127">
            <v>9.1999999999999993</v>
          </cell>
          <cell r="D1127">
            <v>7</v>
          </cell>
          <cell r="E1127">
            <v>0</v>
          </cell>
          <cell r="F1127">
            <v>64.399999999999991</v>
          </cell>
        </row>
        <row r="1128">
          <cell r="A1128">
            <v>10676</v>
          </cell>
          <cell r="B1128">
            <v>44</v>
          </cell>
          <cell r="C1128">
            <v>19.45</v>
          </cell>
          <cell r="D1128">
            <v>21</v>
          </cell>
          <cell r="E1128">
            <v>0</v>
          </cell>
          <cell r="F1128">
            <v>408.45</v>
          </cell>
        </row>
        <row r="1129">
          <cell r="A1129">
            <v>10677</v>
          </cell>
          <cell r="B1129">
            <v>26</v>
          </cell>
          <cell r="C1129">
            <v>31.23</v>
          </cell>
          <cell r="D1129">
            <v>30</v>
          </cell>
          <cell r="E1129">
            <v>0.15000000596046448</v>
          </cell>
          <cell r="F1129">
            <v>796.36499441564081</v>
          </cell>
        </row>
        <row r="1130">
          <cell r="A1130">
            <v>10677</v>
          </cell>
          <cell r="B1130">
            <v>33</v>
          </cell>
          <cell r="C1130">
            <v>2.5</v>
          </cell>
          <cell r="D1130">
            <v>8</v>
          </cell>
          <cell r="E1130">
            <v>0.15000000596046448</v>
          </cell>
          <cell r="F1130">
            <v>16.99999988079071</v>
          </cell>
        </row>
        <row r="1131">
          <cell r="A1131">
            <v>10678</v>
          </cell>
          <cell r="B1131">
            <v>12</v>
          </cell>
          <cell r="C1131">
            <v>38</v>
          </cell>
          <cell r="D1131">
            <v>100</v>
          </cell>
          <cell r="E1131">
            <v>0</v>
          </cell>
          <cell r="F1131">
            <v>3800</v>
          </cell>
        </row>
        <row r="1132">
          <cell r="A1132">
            <v>10678</v>
          </cell>
          <cell r="B1132">
            <v>33</v>
          </cell>
          <cell r="C1132">
            <v>2.5</v>
          </cell>
          <cell r="D1132">
            <v>30</v>
          </cell>
          <cell r="E1132">
            <v>0</v>
          </cell>
          <cell r="F1132">
            <v>75</v>
          </cell>
        </row>
        <row r="1133">
          <cell r="A1133">
            <v>10678</v>
          </cell>
          <cell r="B1133">
            <v>41</v>
          </cell>
          <cell r="C1133">
            <v>9.65</v>
          </cell>
          <cell r="D1133">
            <v>120</v>
          </cell>
          <cell r="E1133">
            <v>0</v>
          </cell>
          <cell r="F1133">
            <v>1158</v>
          </cell>
        </row>
        <row r="1134">
          <cell r="A1134">
            <v>10678</v>
          </cell>
          <cell r="B1134">
            <v>54</v>
          </cell>
          <cell r="C1134">
            <v>7.45</v>
          </cell>
          <cell r="D1134">
            <v>30</v>
          </cell>
          <cell r="E1134">
            <v>0</v>
          </cell>
          <cell r="F1134">
            <v>223.5</v>
          </cell>
        </row>
        <row r="1135">
          <cell r="A1135">
            <v>10679</v>
          </cell>
          <cell r="B1135">
            <v>59</v>
          </cell>
          <cell r="C1135">
            <v>55</v>
          </cell>
          <cell r="D1135">
            <v>12</v>
          </cell>
          <cell r="E1135">
            <v>0</v>
          </cell>
          <cell r="F1135">
            <v>660</v>
          </cell>
        </row>
        <row r="1136">
          <cell r="A1136">
            <v>10680</v>
          </cell>
          <cell r="B1136">
            <v>16</v>
          </cell>
          <cell r="C1136">
            <v>17.45</v>
          </cell>
          <cell r="D1136">
            <v>50</v>
          </cell>
          <cell r="E1136">
            <v>0.25</v>
          </cell>
          <cell r="F1136">
            <v>654.375</v>
          </cell>
        </row>
        <row r="1137">
          <cell r="A1137">
            <v>10680</v>
          </cell>
          <cell r="B1137">
            <v>31</v>
          </cell>
          <cell r="C1137">
            <v>12.5</v>
          </cell>
          <cell r="D1137">
            <v>20</v>
          </cell>
          <cell r="E1137">
            <v>0.25</v>
          </cell>
          <cell r="F1137">
            <v>187.5</v>
          </cell>
        </row>
        <row r="1138">
          <cell r="A1138">
            <v>10680</v>
          </cell>
          <cell r="B1138">
            <v>42</v>
          </cell>
          <cell r="C1138">
            <v>14</v>
          </cell>
          <cell r="D1138">
            <v>40</v>
          </cell>
          <cell r="E1138">
            <v>0.25</v>
          </cell>
          <cell r="F1138">
            <v>420</v>
          </cell>
        </row>
        <row r="1139">
          <cell r="A1139">
            <v>10681</v>
          </cell>
          <cell r="B1139">
            <v>19</v>
          </cell>
          <cell r="C1139">
            <v>9.1999999999999993</v>
          </cell>
          <cell r="D1139">
            <v>30</v>
          </cell>
          <cell r="E1139">
            <v>0.10000000149011612</v>
          </cell>
          <cell r="F1139">
            <v>248.39999958872795</v>
          </cell>
        </row>
        <row r="1140">
          <cell r="A1140">
            <v>10681</v>
          </cell>
          <cell r="B1140">
            <v>21</v>
          </cell>
          <cell r="C1140">
            <v>10</v>
          </cell>
          <cell r="D1140">
            <v>12</v>
          </cell>
          <cell r="E1140">
            <v>0.10000000149011612</v>
          </cell>
          <cell r="F1140">
            <v>107.99999982118607</v>
          </cell>
        </row>
        <row r="1141">
          <cell r="A1141">
            <v>10681</v>
          </cell>
          <cell r="B1141">
            <v>64</v>
          </cell>
          <cell r="C1141">
            <v>33.25</v>
          </cell>
          <cell r="D1141">
            <v>28</v>
          </cell>
          <cell r="E1141">
            <v>0</v>
          </cell>
          <cell r="F1141">
            <v>931</v>
          </cell>
        </row>
        <row r="1142">
          <cell r="A1142">
            <v>10682</v>
          </cell>
          <cell r="B1142">
            <v>33</v>
          </cell>
          <cell r="C1142">
            <v>2.5</v>
          </cell>
          <cell r="D1142">
            <v>30</v>
          </cell>
          <cell r="E1142">
            <v>0</v>
          </cell>
          <cell r="F1142">
            <v>75</v>
          </cell>
        </row>
        <row r="1143">
          <cell r="A1143">
            <v>10682</v>
          </cell>
          <cell r="B1143">
            <v>66</v>
          </cell>
          <cell r="C1143">
            <v>17</v>
          </cell>
          <cell r="D1143">
            <v>4</v>
          </cell>
          <cell r="E1143">
            <v>0</v>
          </cell>
          <cell r="F1143">
            <v>68</v>
          </cell>
        </row>
        <row r="1144">
          <cell r="A1144">
            <v>10682</v>
          </cell>
          <cell r="B1144">
            <v>75</v>
          </cell>
          <cell r="C1144">
            <v>7.75</v>
          </cell>
          <cell r="D1144">
            <v>30</v>
          </cell>
          <cell r="E1144">
            <v>0</v>
          </cell>
          <cell r="F1144">
            <v>232.5</v>
          </cell>
        </row>
        <row r="1145">
          <cell r="A1145">
            <v>10683</v>
          </cell>
          <cell r="B1145">
            <v>52</v>
          </cell>
          <cell r="C1145">
            <v>7</v>
          </cell>
          <cell r="D1145">
            <v>9</v>
          </cell>
          <cell r="E1145">
            <v>0</v>
          </cell>
          <cell r="F1145">
            <v>63</v>
          </cell>
        </row>
        <row r="1146">
          <cell r="A1146">
            <v>10684</v>
          </cell>
          <cell r="B1146">
            <v>40</v>
          </cell>
          <cell r="C1146">
            <v>18.399999999999999</v>
          </cell>
          <cell r="D1146">
            <v>20</v>
          </cell>
          <cell r="E1146">
            <v>0</v>
          </cell>
          <cell r="F1146">
            <v>368</v>
          </cell>
        </row>
        <row r="1147">
          <cell r="A1147">
            <v>10684</v>
          </cell>
          <cell r="B1147">
            <v>47</v>
          </cell>
          <cell r="C1147">
            <v>9.5</v>
          </cell>
          <cell r="D1147">
            <v>40</v>
          </cell>
          <cell r="E1147">
            <v>0</v>
          </cell>
          <cell r="F1147">
            <v>380</v>
          </cell>
        </row>
        <row r="1148">
          <cell r="A1148">
            <v>10684</v>
          </cell>
          <cell r="B1148">
            <v>60</v>
          </cell>
          <cell r="C1148">
            <v>34</v>
          </cell>
          <cell r="D1148">
            <v>30</v>
          </cell>
          <cell r="E1148">
            <v>0</v>
          </cell>
          <cell r="F1148">
            <v>1020</v>
          </cell>
        </row>
        <row r="1149">
          <cell r="A1149">
            <v>10685</v>
          </cell>
          <cell r="B1149">
            <v>10</v>
          </cell>
          <cell r="C1149">
            <v>31</v>
          </cell>
          <cell r="D1149">
            <v>20</v>
          </cell>
          <cell r="E1149">
            <v>0</v>
          </cell>
          <cell r="F1149">
            <v>620</v>
          </cell>
        </row>
        <row r="1150">
          <cell r="A1150">
            <v>10685</v>
          </cell>
          <cell r="B1150">
            <v>41</v>
          </cell>
          <cell r="C1150">
            <v>9.65</v>
          </cell>
          <cell r="D1150">
            <v>4</v>
          </cell>
          <cell r="E1150">
            <v>0</v>
          </cell>
          <cell r="F1150">
            <v>38.6</v>
          </cell>
        </row>
        <row r="1151">
          <cell r="A1151">
            <v>10685</v>
          </cell>
          <cell r="B1151">
            <v>47</v>
          </cell>
          <cell r="C1151">
            <v>9.5</v>
          </cell>
          <cell r="D1151">
            <v>15</v>
          </cell>
          <cell r="E1151">
            <v>0</v>
          </cell>
          <cell r="F1151">
            <v>142.5</v>
          </cell>
        </row>
        <row r="1152">
          <cell r="A1152">
            <v>10686</v>
          </cell>
          <cell r="B1152">
            <v>17</v>
          </cell>
          <cell r="C1152">
            <v>39</v>
          </cell>
          <cell r="D1152">
            <v>30</v>
          </cell>
          <cell r="E1152">
            <v>0.20000000298023224</v>
          </cell>
          <cell r="F1152">
            <v>935.99999651312828</v>
          </cell>
        </row>
        <row r="1153">
          <cell r="A1153">
            <v>10686</v>
          </cell>
          <cell r="B1153">
            <v>26</v>
          </cell>
          <cell r="C1153">
            <v>31.23</v>
          </cell>
          <cell r="D1153">
            <v>15</v>
          </cell>
          <cell r="E1153">
            <v>0</v>
          </cell>
          <cell r="F1153">
            <v>468.45</v>
          </cell>
        </row>
        <row r="1154">
          <cell r="A1154">
            <v>10687</v>
          </cell>
          <cell r="B1154">
            <v>9</v>
          </cell>
          <cell r="C1154">
            <v>97</v>
          </cell>
          <cell r="D1154">
            <v>50</v>
          </cell>
          <cell r="E1154">
            <v>0.25</v>
          </cell>
          <cell r="F1154">
            <v>3637.5</v>
          </cell>
        </row>
        <row r="1155">
          <cell r="A1155">
            <v>10687</v>
          </cell>
          <cell r="B1155">
            <v>29</v>
          </cell>
          <cell r="C1155">
            <v>123.79</v>
          </cell>
          <cell r="D1155">
            <v>10</v>
          </cell>
          <cell r="E1155">
            <v>0</v>
          </cell>
          <cell r="F1155">
            <v>1237.9000000000001</v>
          </cell>
        </row>
        <row r="1156">
          <cell r="A1156">
            <v>10687</v>
          </cell>
          <cell r="B1156">
            <v>36</v>
          </cell>
          <cell r="C1156">
            <v>19</v>
          </cell>
          <cell r="D1156">
            <v>6</v>
          </cell>
          <cell r="E1156">
            <v>0.25</v>
          </cell>
          <cell r="F1156">
            <v>85.5</v>
          </cell>
        </row>
        <row r="1157">
          <cell r="A1157">
            <v>10688</v>
          </cell>
          <cell r="B1157">
            <v>10</v>
          </cell>
          <cell r="C1157">
            <v>31</v>
          </cell>
          <cell r="D1157">
            <v>18</v>
          </cell>
          <cell r="E1157">
            <v>0.10000000149011612</v>
          </cell>
          <cell r="F1157">
            <v>502.19999916851521</v>
          </cell>
        </row>
        <row r="1158">
          <cell r="A1158">
            <v>10688</v>
          </cell>
          <cell r="B1158">
            <v>28</v>
          </cell>
          <cell r="C1158">
            <v>45.6</v>
          </cell>
          <cell r="D1158">
            <v>60</v>
          </cell>
          <cell r="E1158">
            <v>0.10000000149011612</v>
          </cell>
          <cell r="F1158">
            <v>2462.3999959230423</v>
          </cell>
        </row>
        <row r="1159">
          <cell r="A1159">
            <v>10688</v>
          </cell>
          <cell r="B1159">
            <v>34</v>
          </cell>
          <cell r="C1159">
            <v>14</v>
          </cell>
          <cell r="D1159">
            <v>14</v>
          </cell>
          <cell r="E1159">
            <v>0</v>
          </cell>
          <cell r="F1159">
            <v>196</v>
          </cell>
        </row>
        <row r="1160">
          <cell r="A1160">
            <v>10689</v>
          </cell>
          <cell r="B1160">
            <v>1</v>
          </cell>
          <cell r="C1160">
            <v>18</v>
          </cell>
          <cell r="D1160">
            <v>35</v>
          </cell>
          <cell r="E1160">
            <v>0.25</v>
          </cell>
          <cell r="F1160">
            <v>472.5</v>
          </cell>
        </row>
        <row r="1161">
          <cell r="A1161">
            <v>10690</v>
          </cell>
          <cell r="B1161">
            <v>56</v>
          </cell>
          <cell r="C1161">
            <v>38</v>
          </cell>
          <cell r="D1161">
            <v>20</v>
          </cell>
          <cell r="E1161">
            <v>0.25</v>
          </cell>
          <cell r="F1161">
            <v>570</v>
          </cell>
        </row>
        <row r="1162">
          <cell r="A1162">
            <v>10690</v>
          </cell>
          <cell r="B1162">
            <v>77</v>
          </cell>
          <cell r="C1162">
            <v>13</v>
          </cell>
          <cell r="D1162">
            <v>30</v>
          </cell>
          <cell r="E1162">
            <v>0.25</v>
          </cell>
          <cell r="F1162">
            <v>292.5</v>
          </cell>
        </row>
        <row r="1163">
          <cell r="A1163">
            <v>10691</v>
          </cell>
          <cell r="B1163">
            <v>1</v>
          </cell>
          <cell r="C1163">
            <v>18</v>
          </cell>
          <cell r="D1163">
            <v>30</v>
          </cell>
          <cell r="E1163">
            <v>0</v>
          </cell>
          <cell r="F1163">
            <v>540</v>
          </cell>
        </row>
        <row r="1164">
          <cell r="A1164">
            <v>10691</v>
          </cell>
          <cell r="B1164">
            <v>29</v>
          </cell>
          <cell r="C1164">
            <v>123.79</v>
          </cell>
          <cell r="D1164">
            <v>40</v>
          </cell>
          <cell r="E1164">
            <v>0</v>
          </cell>
          <cell r="F1164">
            <v>4951.6000000000004</v>
          </cell>
        </row>
        <row r="1165">
          <cell r="A1165">
            <v>10691</v>
          </cell>
          <cell r="B1165">
            <v>43</v>
          </cell>
          <cell r="C1165">
            <v>46</v>
          </cell>
          <cell r="D1165">
            <v>40</v>
          </cell>
          <cell r="E1165">
            <v>0</v>
          </cell>
          <cell r="F1165">
            <v>1840</v>
          </cell>
        </row>
        <row r="1166">
          <cell r="A1166">
            <v>10691</v>
          </cell>
          <cell r="B1166">
            <v>44</v>
          </cell>
          <cell r="C1166">
            <v>19.45</v>
          </cell>
          <cell r="D1166">
            <v>24</v>
          </cell>
          <cell r="E1166">
            <v>0</v>
          </cell>
          <cell r="F1166">
            <v>466.79999999999995</v>
          </cell>
        </row>
        <row r="1167">
          <cell r="A1167">
            <v>10691</v>
          </cell>
          <cell r="B1167">
            <v>62</v>
          </cell>
          <cell r="C1167">
            <v>49.3</v>
          </cell>
          <cell r="D1167">
            <v>48</v>
          </cell>
          <cell r="E1167">
            <v>0</v>
          </cell>
          <cell r="F1167">
            <v>2366.3999999999996</v>
          </cell>
        </row>
        <row r="1168">
          <cell r="A1168">
            <v>10692</v>
          </cell>
          <cell r="B1168">
            <v>63</v>
          </cell>
          <cell r="C1168">
            <v>43.9</v>
          </cell>
          <cell r="D1168">
            <v>20</v>
          </cell>
          <cell r="E1168">
            <v>0</v>
          </cell>
          <cell r="F1168">
            <v>878</v>
          </cell>
        </row>
        <row r="1169">
          <cell r="A1169">
            <v>10693</v>
          </cell>
          <cell r="B1169">
            <v>9</v>
          </cell>
          <cell r="C1169">
            <v>97</v>
          </cell>
          <cell r="D1169">
            <v>6</v>
          </cell>
          <cell r="E1169">
            <v>0</v>
          </cell>
          <cell r="F1169">
            <v>582</v>
          </cell>
        </row>
        <row r="1170">
          <cell r="A1170">
            <v>10693</v>
          </cell>
          <cell r="B1170">
            <v>54</v>
          </cell>
          <cell r="C1170">
            <v>7.45</v>
          </cell>
          <cell r="D1170">
            <v>60</v>
          </cell>
          <cell r="E1170">
            <v>0.15000000596046448</v>
          </cell>
          <cell r="F1170">
            <v>379.94999733567238</v>
          </cell>
        </row>
        <row r="1171">
          <cell r="A1171">
            <v>10693</v>
          </cell>
          <cell r="B1171">
            <v>69</v>
          </cell>
          <cell r="C1171">
            <v>36</v>
          </cell>
          <cell r="D1171">
            <v>30</v>
          </cell>
          <cell r="E1171">
            <v>0.15000000596046448</v>
          </cell>
          <cell r="F1171">
            <v>917.99999356269836</v>
          </cell>
        </row>
        <row r="1172">
          <cell r="A1172">
            <v>10693</v>
          </cell>
          <cell r="B1172">
            <v>73</v>
          </cell>
          <cell r="C1172">
            <v>15</v>
          </cell>
          <cell r="D1172">
            <v>15</v>
          </cell>
          <cell r="E1172">
            <v>0.15000000596046448</v>
          </cell>
          <cell r="F1172">
            <v>191.24999865889549</v>
          </cell>
        </row>
        <row r="1173">
          <cell r="A1173">
            <v>10694</v>
          </cell>
          <cell r="B1173">
            <v>7</v>
          </cell>
          <cell r="C1173">
            <v>30</v>
          </cell>
          <cell r="D1173">
            <v>90</v>
          </cell>
          <cell r="E1173">
            <v>0</v>
          </cell>
          <cell r="F1173">
            <v>2700</v>
          </cell>
        </row>
        <row r="1174">
          <cell r="A1174">
            <v>10694</v>
          </cell>
          <cell r="B1174">
            <v>59</v>
          </cell>
          <cell r="C1174">
            <v>55</v>
          </cell>
          <cell r="D1174">
            <v>25</v>
          </cell>
          <cell r="E1174">
            <v>0</v>
          </cell>
          <cell r="F1174">
            <v>1375</v>
          </cell>
        </row>
        <row r="1175">
          <cell r="A1175">
            <v>10694</v>
          </cell>
          <cell r="B1175">
            <v>70</v>
          </cell>
          <cell r="C1175">
            <v>15</v>
          </cell>
          <cell r="D1175">
            <v>50</v>
          </cell>
          <cell r="E1175">
            <v>0</v>
          </cell>
          <cell r="F1175">
            <v>750</v>
          </cell>
        </row>
        <row r="1176">
          <cell r="A1176">
            <v>10695</v>
          </cell>
          <cell r="B1176">
            <v>8</v>
          </cell>
          <cell r="C1176">
            <v>40</v>
          </cell>
          <cell r="D1176">
            <v>10</v>
          </cell>
          <cell r="E1176">
            <v>0</v>
          </cell>
          <cell r="F1176">
            <v>400</v>
          </cell>
        </row>
        <row r="1177">
          <cell r="A1177">
            <v>10695</v>
          </cell>
          <cell r="B1177">
            <v>12</v>
          </cell>
          <cell r="C1177">
            <v>38</v>
          </cell>
          <cell r="D1177">
            <v>4</v>
          </cell>
          <cell r="E1177">
            <v>0</v>
          </cell>
          <cell r="F1177">
            <v>152</v>
          </cell>
        </row>
        <row r="1178">
          <cell r="A1178">
            <v>10695</v>
          </cell>
          <cell r="B1178">
            <v>24</v>
          </cell>
          <cell r="C1178">
            <v>4.5</v>
          </cell>
          <cell r="D1178">
            <v>20</v>
          </cell>
          <cell r="E1178">
            <v>0</v>
          </cell>
          <cell r="F1178">
            <v>90</v>
          </cell>
        </row>
        <row r="1179">
          <cell r="A1179">
            <v>10696</v>
          </cell>
          <cell r="B1179">
            <v>17</v>
          </cell>
          <cell r="C1179">
            <v>39</v>
          </cell>
          <cell r="D1179">
            <v>20</v>
          </cell>
          <cell r="E1179">
            <v>0</v>
          </cell>
          <cell r="F1179">
            <v>780</v>
          </cell>
        </row>
        <row r="1180">
          <cell r="A1180">
            <v>10696</v>
          </cell>
          <cell r="B1180">
            <v>46</v>
          </cell>
          <cell r="C1180">
            <v>12</v>
          </cell>
          <cell r="D1180">
            <v>18</v>
          </cell>
          <cell r="E1180">
            <v>0</v>
          </cell>
          <cell r="F1180">
            <v>216</v>
          </cell>
        </row>
        <row r="1181">
          <cell r="A1181">
            <v>10697</v>
          </cell>
          <cell r="B1181">
            <v>19</v>
          </cell>
          <cell r="C1181">
            <v>9.1999999999999993</v>
          </cell>
          <cell r="D1181">
            <v>7</v>
          </cell>
          <cell r="E1181">
            <v>0.25</v>
          </cell>
          <cell r="F1181">
            <v>48.3</v>
          </cell>
        </row>
        <row r="1182">
          <cell r="A1182">
            <v>10697</v>
          </cell>
          <cell r="B1182">
            <v>35</v>
          </cell>
          <cell r="C1182">
            <v>18</v>
          </cell>
          <cell r="D1182">
            <v>9</v>
          </cell>
          <cell r="E1182">
            <v>0.25</v>
          </cell>
          <cell r="F1182">
            <v>121.5</v>
          </cell>
        </row>
        <row r="1183">
          <cell r="A1183">
            <v>10697</v>
          </cell>
          <cell r="B1183">
            <v>58</v>
          </cell>
          <cell r="C1183">
            <v>13.25</v>
          </cell>
          <cell r="D1183">
            <v>30</v>
          </cell>
          <cell r="E1183">
            <v>0.25</v>
          </cell>
          <cell r="F1183">
            <v>298.125</v>
          </cell>
        </row>
        <row r="1184">
          <cell r="A1184">
            <v>10697</v>
          </cell>
          <cell r="B1184">
            <v>70</v>
          </cell>
          <cell r="C1184">
            <v>15</v>
          </cell>
          <cell r="D1184">
            <v>30</v>
          </cell>
          <cell r="E1184">
            <v>0.25</v>
          </cell>
          <cell r="F1184">
            <v>337.5</v>
          </cell>
        </row>
        <row r="1185">
          <cell r="A1185">
            <v>10698</v>
          </cell>
          <cell r="B1185">
            <v>11</v>
          </cell>
          <cell r="C1185">
            <v>21</v>
          </cell>
          <cell r="D1185">
            <v>15</v>
          </cell>
          <cell r="E1185">
            <v>0</v>
          </cell>
          <cell r="F1185">
            <v>315</v>
          </cell>
        </row>
        <row r="1186">
          <cell r="A1186">
            <v>10698</v>
          </cell>
          <cell r="B1186">
            <v>17</v>
          </cell>
          <cell r="C1186">
            <v>39</v>
          </cell>
          <cell r="D1186">
            <v>8</v>
          </cell>
          <cell r="E1186">
            <v>5.000000074505806E-2</v>
          </cell>
          <cell r="F1186">
            <v>296.39999976754189</v>
          </cell>
        </row>
        <row r="1187">
          <cell r="A1187">
            <v>10698</v>
          </cell>
          <cell r="B1187">
            <v>29</v>
          </cell>
          <cell r="C1187">
            <v>123.79</v>
          </cell>
          <cell r="D1187">
            <v>12</v>
          </cell>
          <cell r="E1187">
            <v>5.000000074505806E-2</v>
          </cell>
          <cell r="F1187">
            <v>1411.2059988932313</v>
          </cell>
        </row>
        <row r="1188">
          <cell r="A1188">
            <v>10698</v>
          </cell>
          <cell r="B1188">
            <v>65</v>
          </cell>
          <cell r="C1188">
            <v>21.05</v>
          </cell>
          <cell r="D1188">
            <v>65</v>
          </cell>
          <cell r="E1188">
            <v>5.000000074505806E-2</v>
          </cell>
          <cell r="F1188">
            <v>1299.8374989805743</v>
          </cell>
        </row>
        <row r="1189">
          <cell r="A1189">
            <v>10698</v>
          </cell>
          <cell r="B1189">
            <v>70</v>
          </cell>
          <cell r="C1189">
            <v>15</v>
          </cell>
          <cell r="D1189">
            <v>8</v>
          </cell>
          <cell r="E1189">
            <v>5.000000074505806E-2</v>
          </cell>
          <cell r="F1189">
            <v>113.99999991059303</v>
          </cell>
        </row>
        <row r="1190">
          <cell r="A1190">
            <v>10699</v>
          </cell>
          <cell r="B1190">
            <v>47</v>
          </cell>
          <cell r="C1190">
            <v>9.5</v>
          </cell>
          <cell r="D1190">
            <v>12</v>
          </cell>
          <cell r="E1190">
            <v>0</v>
          </cell>
          <cell r="F1190">
            <v>114</v>
          </cell>
        </row>
        <row r="1191">
          <cell r="A1191">
            <v>10700</v>
          </cell>
          <cell r="B1191">
            <v>1</v>
          </cell>
          <cell r="C1191">
            <v>18</v>
          </cell>
          <cell r="D1191">
            <v>5</v>
          </cell>
          <cell r="E1191">
            <v>0.20000000298023224</v>
          </cell>
          <cell r="F1191">
            <v>71.999999731779099</v>
          </cell>
        </row>
        <row r="1192">
          <cell r="A1192">
            <v>10700</v>
          </cell>
          <cell r="B1192">
            <v>34</v>
          </cell>
          <cell r="C1192">
            <v>14</v>
          </cell>
          <cell r="D1192">
            <v>12</v>
          </cell>
          <cell r="E1192">
            <v>0.20000000298023224</v>
          </cell>
          <cell r="F1192">
            <v>134.39999949932098</v>
          </cell>
        </row>
        <row r="1193">
          <cell r="A1193">
            <v>10700</v>
          </cell>
          <cell r="B1193">
            <v>68</v>
          </cell>
          <cell r="C1193">
            <v>12.5</v>
          </cell>
          <cell r="D1193">
            <v>40</v>
          </cell>
          <cell r="E1193">
            <v>0.20000000298023224</v>
          </cell>
          <cell r="F1193">
            <v>399.99999850988388</v>
          </cell>
        </row>
        <row r="1194">
          <cell r="A1194">
            <v>10700</v>
          </cell>
          <cell r="B1194">
            <v>71</v>
          </cell>
          <cell r="C1194">
            <v>21.5</v>
          </cell>
          <cell r="D1194">
            <v>60</v>
          </cell>
          <cell r="E1194">
            <v>0.20000000298023224</v>
          </cell>
          <cell r="F1194">
            <v>1031.9999961555004</v>
          </cell>
        </row>
        <row r="1195">
          <cell r="A1195">
            <v>10701</v>
          </cell>
          <cell r="B1195">
            <v>59</v>
          </cell>
          <cell r="C1195">
            <v>55</v>
          </cell>
          <cell r="D1195">
            <v>42</v>
          </cell>
          <cell r="E1195">
            <v>0.15000000596046448</v>
          </cell>
          <cell r="F1195">
            <v>1963.4999862313271</v>
          </cell>
        </row>
        <row r="1196">
          <cell r="A1196">
            <v>10701</v>
          </cell>
          <cell r="B1196">
            <v>71</v>
          </cell>
          <cell r="C1196">
            <v>21.5</v>
          </cell>
          <cell r="D1196">
            <v>20</v>
          </cell>
          <cell r="E1196">
            <v>0.15000000596046448</v>
          </cell>
          <cell r="F1196">
            <v>365.49999743700027</v>
          </cell>
        </row>
        <row r="1197">
          <cell r="A1197">
            <v>10701</v>
          </cell>
          <cell r="B1197">
            <v>76</v>
          </cell>
          <cell r="C1197">
            <v>18</v>
          </cell>
          <cell r="D1197">
            <v>35</v>
          </cell>
          <cell r="E1197">
            <v>0.15000000596046448</v>
          </cell>
          <cell r="F1197">
            <v>535.49999624490738</v>
          </cell>
        </row>
        <row r="1198">
          <cell r="A1198">
            <v>10702</v>
          </cell>
          <cell r="B1198">
            <v>3</v>
          </cell>
          <cell r="C1198">
            <v>10</v>
          </cell>
          <cell r="D1198">
            <v>6</v>
          </cell>
          <cell r="E1198">
            <v>0</v>
          </cell>
          <cell r="F1198">
            <v>60</v>
          </cell>
        </row>
        <row r="1199">
          <cell r="A1199">
            <v>10702</v>
          </cell>
          <cell r="B1199">
            <v>76</v>
          </cell>
          <cell r="C1199">
            <v>18</v>
          </cell>
          <cell r="D1199">
            <v>15</v>
          </cell>
          <cell r="E1199">
            <v>0</v>
          </cell>
          <cell r="F1199">
            <v>270</v>
          </cell>
        </row>
        <row r="1200">
          <cell r="A1200">
            <v>10703</v>
          </cell>
          <cell r="B1200">
            <v>2</v>
          </cell>
          <cell r="C1200">
            <v>19</v>
          </cell>
          <cell r="D1200">
            <v>5</v>
          </cell>
          <cell r="E1200">
            <v>0</v>
          </cell>
          <cell r="F1200">
            <v>95</v>
          </cell>
        </row>
        <row r="1201">
          <cell r="A1201">
            <v>10703</v>
          </cell>
          <cell r="B1201">
            <v>59</v>
          </cell>
          <cell r="C1201">
            <v>55</v>
          </cell>
          <cell r="D1201">
            <v>35</v>
          </cell>
          <cell r="E1201">
            <v>0</v>
          </cell>
          <cell r="F1201">
            <v>1925</v>
          </cell>
        </row>
        <row r="1202">
          <cell r="A1202">
            <v>10703</v>
          </cell>
          <cell r="B1202">
            <v>73</v>
          </cell>
          <cell r="C1202">
            <v>15</v>
          </cell>
          <cell r="D1202">
            <v>35</v>
          </cell>
          <cell r="E1202">
            <v>0</v>
          </cell>
          <cell r="F1202">
            <v>525</v>
          </cell>
        </row>
        <row r="1203">
          <cell r="A1203">
            <v>10704</v>
          </cell>
          <cell r="B1203">
            <v>4</v>
          </cell>
          <cell r="C1203">
            <v>22</v>
          </cell>
          <cell r="D1203">
            <v>6</v>
          </cell>
          <cell r="E1203">
            <v>0</v>
          </cell>
          <cell r="F1203">
            <v>132</v>
          </cell>
        </row>
        <row r="1204">
          <cell r="A1204">
            <v>10704</v>
          </cell>
          <cell r="B1204">
            <v>24</v>
          </cell>
          <cell r="C1204">
            <v>4.5</v>
          </cell>
          <cell r="D1204">
            <v>35</v>
          </cell>
          <cell r="E1204">
            <v>0</v>
          </cell>
          <cell r="F1204">
            <v>157.5</v>
          </cell>
        </row>
        <row r="1205">
          <cell r="A1205">
            <v>10704</v>
          </cell>
          <cell r="B1205">
            <v>48</v>
          </cell>
          <cell r="C1205">
            <v>12.75</v>
          </cell>
          <cell r="D1205">
            <v>24</v>
          </cell>
          <cell r="E1205">
            <v>0</v>
          </cell>
          <cell r="F1205">
            <v>306</v>
          </cell>
        </row>
        <row r="1206">
          <cell r="A1206">
            <v>10705</v>
          </cell>
          <cell r="B1206">
            <v>31</v>
          </cell>
          <cell r="C1206">
            <v>12.5</v>
          </cell>
          <cell r="D1206">
            <v>20</v>
          </cell>
          <cell r="E1206">
            <v>0</v>
          </cell>
          <cell r="F1206">
            <v>250</v>
          </cell>
        </row>
        <row r="1207">
          <cell r="A1207">
            <v>10705</v>
          </cell>
          <cell r="B1207">
            <v>32</v>
          </cell>
          <cell r="C1207">
            <v>32</v>
          </cell>
          <cell r="D1207">
            <v>4</v>
          </cell>
          <cell r="E1207">
            <v>0</v>
          </cell>
          <cell r="F1207">
            <v>128</v>
          </cell>
        </row>
        <row r="1208">
          <cell r="A1208">
            <v>10706</v>
          </cell>
          <cell r="B1208">
            <v>16</v>
          </cell>
          <cell r="C1208">
            <v>17.45</v>
          </cell>
          <cell r="D1208">
            <v>20</v>
          </cell>
          <cell r="E1208">
            <v>0</v>
          </cell>
          <cell r="F1208">
            <v>349</v>
          </cell>
        </row>
        <row r="1209">
          <cell r="A1209">
            <v>10706</v>
          </cell>
          <cell r="B1209">
            <v>43</v>
          </cell>
          <cell r="C1209">
            <v>46</v>
          </cell>
          <cell r="D1209">
            <v>24</v>
          </cell>
          <cell r="E1209">
            <v>0</v>
          </cell>
          <cell r="F1209">
            <v>1104</v>
          </cell>
        </row>
        <row r="1210">
          <cell r="A1210">
            <v>10706</v>
          </cell>
          <cell r="B1210">
            <v>59</v>
          </cell>
          <cell r="C1210">
            <v>55</v>
          </cell>
          <cell r="D1210">
            <v>8</v>
          </cell>
          <cell r="E1210">
            <v>0</v>
          </cell>
          <cell r="F1210">
            <v>440</v>
          </cell>
        </row>
        <row r="1211">
          <cell r="A1211">
            <v>10707</v>
          </cell>
          <cell r="B1211">
            <v>55</v>
          </cell>
          <cell r="C1211">
            <v>24</v>
          </cell>
          <cell r="D1211">
            <v>21</v>
          </cell>
          <cell r="E1211">
            <v>0</v>
          </cell>
          <cell r="F1211">
            <v>504</v>
          </cell>
        </row>
        <row r="1212">
          <cell r="A1212">
            <v>10707</v>
          </cell>
          <cell r="B1212">
            <v>57</v>
          </cell>
          <cell r="C1212">
            <v>19.5</v>
          </cell>
          <cell r="D1212">
            <v>40</v>
          </cell>
          <cell r="E1212">
            <v>0</v>
          </cell>
          <cell r="F1212">
            <v>780</v>
          </cell>
        </row>
        <row r="1213">
          <cell r="A1213">
            <v>10707</v>
          </cell>
          <cell r="B1213">
            <v>70</v>
          </cell>
          <cell r="C1213">
            <v>15</v>
          </cell>
          <cell r="D1213">
            <v>28</v>
          </cell>
          <cell r="E1213">
            <v>0.15000000596046448</v>
          </cell>
          <cell r="F1213">
            <v>356.99999749660492</v>
          </cell>
        </row>
        <row r="1214">
          <cell r="A1214">
            <v>10708</v>
          </cell>
          <cell r="B1214">
            <v>5</v>
          </cell>
          <cell r="C1214">
            <v>21.35</v>
          </cell>
          <cell r="D1214">
            <v>4</v>
          </cell>
          <cell r="E1214">
            <v>0</v>
          </cell>
          <cell r="F1214">
            <v>85.4</v>
          </cell>
        </row>
        <row r="1215">
          <cell r="A1215">
            <v>10708</v>
          </cell>
          <cell r="B1215">
            <v>36</v>
          </cell>
          <cell r="C1215">
            <v>19</v>
          </cell>
          <cell r="D1215">
            <v>5</v>
          </cell>
          <cell r="E1215">
            <v>0</v>
          </cell>
          <cell r="F1215">
            <v>95</v>
          </cell>
        </row>
        <row r="1216">
          <cell r="A1216">
            <v>10709</v>
          </cell>
          <cell r="B1216">
            <v>8</v>
          </cell>
          <cell r="C1216">
            <v>40</v>
          </cell>
          <cell r="D1216">
            <v>40</v>
          </cell>
          <cell r="E1216">
            <v>0</v>
          </cell>
          <cell r="F1216">
            <v>1600</v>
          </cell>
        </row>
        <row r="1217">
          <cell r="A1217">
            <v>10709</v>
          </cell>
          <cell r="B1217">
            <v>51</v>
          </cell>
          <cell r="C1217">
            <v>53</v>
          </cell>
          <cell r="D1217">
            <v>28</v>
          </cell>
          <cell r="E1217">
            <v>0</v>
          </cell>
          <cell r="F1217">
            <v>1484</v>
          </cell>
        </row>
        <row r="1218">
          <cell r="A1218">
            <v>10709</v>
          </cell>
          <cell r="B1218">
            <v>60</v>
          </cell>
          <cell r="C1218">
            <v>34</v>
          </cell>
          <cell r="D1218">
            <v>10</v>
          </cell>
          <cell r="E1218">
            <v>0</v>
          </cell>
          <cell r="F1218">
            <v>340</v>
          </cell>
        </row>
        <row r="1219">
          <cell r="A1219">
            <v>10710</v>
          </cell>
          <cell r="B1219">
            <v>19</v>
          </cell>
          <cell r="C1219">
            <v>9.1999999999999993</v>
          </cell>
          <cell r="D1219">
            <v>5</v>
          </cell>
          <cell r="E1219">
            <v>0</v>
          </cell>
          <cell r="F1219">
            <v>46</v>
          </cell>
        </row>
        <row r="1220">
          <cell r="A1220">
            <v>10710</v>
          </cell>
          <cell r="B1220">
            <v>47</v>
          </cell>
          <cell r="C1220">
            <v>9.5</v>
          </cell>
          <cell r="D1220">
            <v>5</v>
          </cell>
          <cell r="E1220">
            <v>0</v>
          </cell>
          <cell r="F1220">
            <v>47.5</v>
          </cell>
        </row>
        <row r="1221">
          <cell r="A1221">
            <v>10711</v>
          </cell>
          <cell r="B1221">
            <v>19</v>
          </cell>
          <cell r="C1221">
            <v>9.1999999999999993</v>
          </cell>
          <cell r="D1221">
            <v>12</v>
          </cell>
          <cell r="E1221">
            <v>0</v>
          </cell>
          <cell r="F1221">
            <v>110.39999999999999</v>
          </cell>
        </row>
        <row r="1222">
          <cell r="A1222">
            <v>10711</v>
          </cell>
          <cell r="B1222">
            <v>41</v>
          </cell>
          <cell r="C1222">
            <v>9.65</v>
          </cell>
          <cell r="D1222">
            <v>42</v>
          </cell>
          <cell r="E1222">
            <v>0</v>
          </cell>
          <cell r="F1222">
            <v>405.3</v>
          </cell>
        </row>
        <row r="1223">
          <cell r="A1223">
            <v>10711</v>
          </cell>
          <cell r="B1223">
            <v>53</v>
          </cell>
          <cell r="C1223">
            <v>32.799999999999997</v>
          </cell>
          <cell r="D1223">
            <v>120</v>
          </cell>
          <cell r="E1223">
            <v>0</v>
          </cell>
          <cell r="F1223">
            <v>3935.9999999999995</v>
          </cell>
        </row>
        <row r="1224">
          <cell r="A1224">
            <v>10712</v>
          </cell>
          <cell r="B1224">
            <v>53</v>
          </cell>
          <cell r="C1224">
            <v>32.799999999999997</v>
          </cell>
          <cell r="D1224">
            <v>3</v>
          </cell>
          <cell r="E1224">
            <v>5.000000074505806E-2</v>
          </cell>
          <cell r="F1224">
            <v>93.479999926686276</v>
          </cell>
        </row>
        <row r="1225">
          <cell r="A1225">
            <v>10712</v>
          </cell>
          <cell r="B1225">
            <v>56</v>
          </cell>
          <cell r="C1225">
            <v>38</v>
          </cell>
          <cell r="D1225">
            <v>30</v>
          </cell>
          <cell r="E1225">
            <v>0</v>
          </cell>
          <cell r="F1225">
            <v>1140</v>
          </cell>
        </row>
        <row r="1226">
          <cell r="A1226">
            <v>10713</v>
          </cell>
          <cell r="B1226">
            <v>10</v>
          </cell>
          <cell r="C1226">
            <v>31</v>
          </cell>
          <cell r="D1226">
            <v>18</v>
          </cell>
          <cell r="E1226">
            <v>0</v>
          </cell>
          <cell r="F1226">
            <v>558</v>
          </cell>
        </row>
        <row r="1227">
          <cell r="A1227">
            <v>10713</v>
          </cell>
          <cell r="B1227">
            <v>26</v>
          </cell>
          <cell r="C1227">
            <v>31.23</v>
          </cell>
          <cell r="D1227">
            <v>30</v>
          </cell>
          <cell r="E1227">
            <v>0</v>
          </cell>
          <cell r="F1227">
            <v>936.9</v>
          </cell>
        </row>
        <row r="1228">
          <cell r="A1228">
            <v>10713</v>
          </cell>
          <cell r="B1228">
            <v>45</v>
          </cell>
          <cell r="C1228">
            <v>9.5</v>
          </cell>
          <cell r="D1228">
            <v>110</v>
          </cell>
          <cell r="E1228">
            <v>0</v>
          </cell>
          <cell r="F1228">
            <v>1045</v>
          </cell>
        </row>
        <row r="1229">
          <cell r="A1229">
            <v>10713</v>
          </cell>
          <cell r="B1229">
            <v>46</v>
          </cell>
          <cell r="C1229">
            <v>12</v>
          </cell>
          <cell r="D1229">
            <v>24</v>
          </cell>
          <cell r="E1229">
            <v>0</v>
          </cell>
          <cell r="F1229">
            <v>288</v>
          </cell>
        </row>
        <row r="1230">
          <cell r="A1230">
            <v>10714</v>
          </cell>
          <cell r="B1230">
            <v>2</v>
          </cell>
          <cell r="C1230">
            <v>19</v>
          </cell>
          <cell r="D1230">
            <v>30</v>
          </cell>
          <cell r="E1230">
            <v>0.25</v>
          </cell>
          <cell r="F1230">
            <v>427.5</v>
          </cell>
        </row>
        <row r="1231">
          <cell r="A1231">
            <v>10714</v>
          </cell>
          <cell r="B1231">
            <v>17</v>
          </cell>
          <cell r="C1231">
            <v>39</v>
          </cell>
          <cell r="D1231">
            <v>27</v>
          </cell>
          <cell r="E1231">
            <v>0.25</v>
          </cell>
          <cell r="F1231">
            <v>789.75</v>
          </cell>
        </row>
        <row r="1232">
          <cell r="A1232">
            <v>10714</v>
          </cell>
          <cell r="B1232">
            <v>47</v>
          </cell>
          <cell r="C1232">
            <v>9.5</v>
          </cell>
          <cell r="D1232">
            <v>50</v>
          </cell>
          <cell r="E1232">
            <v>0.25</v>
          </cell>
          <cell r="F1232">
            <v>356.25</v>
          </cell>
        </row>
        <row r="1233">
          <cell r="A1233">
            <v>10714</v>
          </cell>
          <cell r="B1233">
            <v>56</v>
          </cell>
          <cell r="C1233">
            <v>38</v>
          </cell>
          <cell r="D1233">
            <v>18</v>
          </cell>
          <cell r="E1233">
            <v>0.25</v>
          </cell>
          <cell r="F1233">
            <v>513</v>
          </cell>
        </row>
        <row r="1234">
          <cell r="A1234">
            <v>10714</v>
          </cell>
          <cell r="B1234">
            <v>58</v>
          </cell>
          <cell r="C1234">
            <v>13.25</v>
          </cell>
          <cell r="D1234">
            <v>12</v>
          </cell>
          <cell r="E1234">
            <v>0.25</v>
          </cell>
          <cell r="F1234">
            <v>119.25</v>
          </cell>
        </row>
        <row r="1235">
          <cell r="A1235">
            <v>10715</v>
          </cell>
          <cell r="B1235">
            <v>10</v>
          </cell>
          <cell r="C1235">
            <v>31</v>
          </cell>
          <cell r="D1235">
            <v>21</v>
          </cell>
          <cell r="E1235">
            <v>0</v>
          </cell>
          <cell r="F1235">
            <v>651</v>
          </cell>
        </row>
        <row r="1236">
          <cell r="A1236">
            <v>10715</v>
          </cell>
          <cell r="B1236">
            <v>71</v>
          </cell>
          <cell r="C1236">
            <v>21.5</v>
          </cell>
          <cell r="D1236">
            <v>30</v>
          </cell>
          <cell r="E1236">
            <v>0</v>
          </cell>
          <cell r="F1236">
            <v>645</v>
          </cell>
        </row>
        <row r="1237">
          <cell r="A1237">
            <v>10716</v>
          </cell>
          <cell r="B1237">
            <v>21</v>
          </cell>
          <cell r="C1237">
            <v>10</v>
          </cell>
          <cell r="D1237">
            <v>5</v>
          </cell>
          <cell r="E1237">
            <v>0</v>
          </cell>
          <cell r="F1237">
            <v>50</v>
          </cell>
        </row>
        <row r="1238">
          <cell r="A1238">
            <v>10716</v>
          </cell>
          <cell r="B1238">
            <v>51</v>
          </cell>
          <cell r="C1238">
            <v>53</v>
          </cell>
          <cell r="D1238">
            <v>7</v>
          </cell>
          <cell r="E1238">
            <v>0</v>
          </cell>
          <cell r="F1238">
            <v>371</v>
          </cell>
        </row>
        <row r="1239">
          <cell r="A1239">
            <v>10716</v>
          </cell>
          <cell r="B1239">
            <v>61</v>
          </cell>
          <cell r="C1239">
            <v>28.5</v>
          </cell>
          <cell r="D1239">
            <v>10</v>
          </cell>
          <cell r="E1239">
            <v>0</v>
          </cell>
          <cell r="F1239">
            <v>285</v>
          </cell>
        </row>
        <row r="1240">
          <cell r="A1240">
            <v>10717</v>
          </cell>
          <cell r="B1240">
            <v>21</v>
          </cell>
          <cell r="C1240">
            <v>10</v>
          </cell>
          <cell r="D1240">
            <v>32</v>
          </cell>
          <cell r="E1240">
            <v>5.000000074505806E-2</v>
          </cell>
          <cell r="F1240">
            <v>303.99999976158142</v>
          </cell>
        </row>
        <row r="1241">
          <cell r="A1241">
            <v>10717</v>
          </cell>
          <cell r="B1241">
            <v>54</v>
          </cell>
          <cell r="C1241">
            <v>7.45</v>
          </cell>
          <cell r="D1241">
            <v>15</v>
          </cell>
          <cell r="E1241">
            <v>0</v>
          </cell>
          <cell r="F1241">
            <v>111.75</v>
          </cell>
        </row>
        <row r="1242">
          <cell r="A1242">
            <v>10717</v>
          </cell>
          <cell r="B1242">
            <v>69</v>
          </cell>
          <cell r="C1242">
            <v>36</v>
          </cell>
          <cell r="D1242">
            <v>25</v>
          </cell>
          <cell r="E1242">
            <v>5.000000074505806E-2</v>
          </cell>
          <cell r="F1242">
            <v>854.99999932944775</v>
          </cell>
        </row>
        <row r="1243">
          <cell r="A1243">
            <v>10718</v>
          </cell>
          <cell r="B1243">
            <v>12</v>
          </cell>
          <cell r="C1243">
            <v>38</v>
          </cell>
          <cell r="D1243">
            <v>36</v>
          </cell>
          <cell r="E1243">
            <v>0</v>
          </cell>
          <cell r="F1243">
            <v>1368</v>
          </cell>
        </row>
        <row r="1244">
          <cell r="A1244">
            <v>10718</v>
          </cell>
          <cell r="B1244">
            <v>16</v>
          </cell>
          <cell r="C1244">
            <v>17.45</v>
          </cell>
          <cell r="D1244">
            <v>20</v>
          </cell>
          <cell r="E1244">
            <v>0</v>
          </cell>
          <cell r="F1244">
            <v>349</v>
          </cell>
        </row>
        <row r="1245">
          <cell r="A1245">
            <v>10718</v>
          </cell>
          <cell r="B1245">
            <v>36</v>
          </cell>
          <cell r="C1245">
            <v>19</v>
          </cell>
          <cell r="D1245">
            <v>40</v>
          </cell>
          <cell r="E1245">
            <v>0</v>
          </cell>
          <cell r="F1245">
            <v>760</v>
          </cell>
        </row>
        <row r="1246">
          <cell r="A1246">
            <v>10718</v>
          </cell>
          <cell r="B1246">
            <v>62</v>
          </cell>
          <cell r="C1246">
            <v>49.3</v>
          </cell>
          <cell r="D1246">
            <v>20</v>
          </cell>
          <cell r="E1246">
            <v>0</v>
          </cell>
          <cell r="F1246">
            <v>986</v>
          </cell>
        </row>
        <row r="1247">
          <cell r="A1247">
            <v>10719</v>
          </cell>
          <cell r="B1247">
            <v>18</v>
          </cell>
          <cell r="C1247">
            <v>62.5</v>
          </cell>
          <cell r="D1247">
            <v>12</v>
          </cell>
          <cell r="E1247">
            <v>0.25</v>
          </cell>
          <cell r="F1247">
            <v>562.5</v>
          </cell>
        </row>
        <row r="1248">
          <cell r="A1248">
            <v>10719</v>
          </cell>
          <cell r="B1248">
            <v>30</v>
          </cell>
          <cell r="C1248">
            <v>25.89</v>
          </cell>
          <cell r="D1248">
            <v>3</v>
          </cell>
          <cell r="E1248">
            <v>0.25</v>
          </cell>
          <cell r="F1248">
            <v>58.252499999999998</v>
          </cell>
        </row>
        <row r="1249">
          <cell r="A1249">
            <v>10719</v>
          </cell>
          <cell r="B1249">
            <v>54</v>
          </cell>
          <cell r="C1249">
            <v>7.45</v>
          </cell>
          <cell r="D1249">
            <v>40</v>
          </cell>
          <cell r="E1249">
            <v>0.25</v>
          </cell>
          <cell r="F1249">
            <v>223.5</v>
          </cell>
        </row>
        <row r="1250">
          <cell r="A1250">
            <v>10720</v>
          </cell>
          <cell r="B1250">
            <v>35</v>
          </cell>
          <cell r="C1250">
            <v>18</v>
          </cell>
          <cell r="D1250">
            <v>21</v>
          </cell>
          <cell r="E1250">
            <v>0</v>
          </cell>
          <cell r="F1250">
            <v>378</v>
          </cell>
        </row>
        <row r="1251">
          <cell r="A1251">
            <v>10720</v>
          </cell>
          <cell r="B1251">
            <v>71</v>
          </cell>
          <cell r="C1251">
            <v>21.5</v>
          </cell>
          <cell r="D1251">
            <v>8</v>
          </cell>
          <cell r="E1251">
            <v>0</v>
          </cell>
          <cell r="F1251">
            <v>172</v>
          </cell>
        </row>
        <row r="1252">
          <cell r="A1252">
            <v>10721</v>
          </cell>
          <cell r="B1252">
            <v>44</v>
          </cell>
          <cell r="C1252">
            <v>19.45</v>
          </cell>
          <cell r="D1252">
            <v>50</v>
          </cell>
          <cell r="E1252">
            <v>5.000000074505806E-2</v>
          </cell>
          <cell r="F1252">
            <v>923.87499927543104</v>
          </cell>
        </row>
        <row r="1253">
          <cell r="A1253">
            <v>10722</v>
          </cell>
          <cell r="B1253">
            <v>2</v>
          </cell>
          <cell r="C1253">
            <v>19</v>
          </cell>
          <cell r="D1253">
            <v>3</v>
          </cell>
          <cell r="E1253">
            <v>0</v>
          </cell>
          <cell r="F1253">
            <v>57</v>
          </cell>
        </row>
        <row r="1254">
          <cell r="A1254">
            <v>10722</v>
          </cell>
          <cell r="B1254">
            <v>31</v>
          </cell>
          <cell r="C1254">
            <v>12.5</v>
          </cell>
          <cell r="D1254">
            <v>50</v>
          </cell>
          <cell r="E1254">
            <v>0</v>
          </cell>
          <cell r="F1254">
            <v>625</v>
          </cell>
        </row>
        <row r="1255">
          <cell r="A1255">
            <v>10722</v>
          </cell>
          <cell r="B1255">
            <v>68</v>
          </cell>
          <cell r="C1255">
            <v>12.5</v>
          </cell>
          <cell r="D1255">
            <v>45</v>
          </cell>
          <cell r="E1255">
            <v>0</v>
          </cell>
          <cell r="F1255">
            <v>562.5</v>
          </cell>
        </row>
        <row r="1256">
          <cell r="A1256">
            <v>10722</v>
          </cell>
          <cell r="B1256">
            <v>75</v>
          </cell>
          <cell r="C1256">
            <v>7.75</v>
          </cell>
          <cell r="D1256">
            <v>42</v>
          </cell>
          <cell r="E1256">
            <v>0</v>
          </cell>
          <cell r="F1256">
            <v>325.5</v>
          </cell>
        </row>
        <row r="1257">
          <cell r="A1257">
            <v>10723</v>
          </cell>
          <cell r="B1257">
            <v>26</v>
          </cell>
          <cell r="C1257">
            <v>31.23</v>
          </cell>
          <cell r="D1257">
            <v>15</v>
          </cell>
          <cell r="E1257">
            <v>0</v>
          </cell>
          <cell r="F1257">
            <v>468.45</v>
          </cell>
        </row>
        <row r="1258">
          <cell r="A1258">
            <v>10724</v>
          </cell>
          <cell r="B1258">
            <v>10</v>
          </cell>
          <cell r="C1258">
            <v>31</v>
          </cell>
          <cell r="D1258">
            <v>16</v>
          </cell>
          <cell r="E1258">
            <v>0</v>
          </cell>
          <cell r="F1258">
            <v>496</v>
          </cell>
        </row>
        <row r="1259">
          <cell r="A1259">
            <v>10724</v>
          </cell>
          <cell r="B1259">
            <v>61</v>
          </cell>
          <cell r="C1259">
            <v>28.5</v>
          </cell>
          <cell r="D1259">
            <v>5</v>
          </cell>
          <cell r="E1259">
            <v>0</v>
          </cell>
          <cell r="F1259">
            <v>142.5</v>
          </cell>
        </row>
        <row r="1260">
          <cell r="A1260">
            <v>10725</v>
          </cell>
          <cell r="B1260">
            <v>41</v>
          </cell>
          <cell r="C1260">
            <v>9.65</v>
          </cell>
          <cell r="D1260">
            <v>12</v>
          </cell>
          <cell r="E1260">
            <v>0</v>
          </cell>
          <cell r="F1260">
            <v>115.80000000000001</v>
          </cell>
        </row>
        <row r="1261">
          <cell r="A1261">
            <v>10725</v>
          </cell>
          <cell r="B1261">
            <v>52</v>
          </cell>
          <cell r="C1261">
            <v>7</v>
          </cell>
          <cell r="D1261">
            <v>4</v>
          </cell>
          <cell r="E1261">
            <v>0</v>
          </cell>
          <cell r="F1261">
            <v>28</v>
          </cell>
        </row>
        <row r="1262">
          <cell r="A1262">
            <v>10725</v>
          </cell>
          <cell r="B1262">
            <v>55</v>
          </cell>
          <cell r="C1262">
            <v>24</v>
          </cell>
          <cell r="D1262">
            <v>6</v>
          </cell>
          <cell r="E1262">
            <v>0</v>
          </cell>
          <cell r="F1262">
            <v>144</v>
          </cell>
        </row>
        <row r="1263">
          <cell r="A1263">
            <v>10726</v>
          </cell>
          <cell r="B1263">
            <v>4</v>
          </cell>
          <cell r="C1263">
            <v>22</v>
          </cell>
          <cell r="D1263">
            <v>25</v>
          </cell>
          <cell r="E1263">
            <v>0</v>
          </cell>
          <cell r="F1263">
            <v>550</v>
          </cell>
        </row>
        <row r="1264">
          <cell r="A1264">
            <v>10726</v>
          </cell>
          <cell r="B1264">
            <v>11</v>
          </cell>
          <cell r="C1264">
            <v>21</v>
          </cell>
          <cell r="D1264">
            <v>5</v>
          </cell>
          <cell r="E1264">
            <v>0</v>
          </cell>
          <cell r="F1264">
            <v>105</v>
          </cell>
        </row>
        <row r="1265">
          <cell r="A1265">
            <v>10727</v>
          </cell>
          <cell r="B1265">
            <v>17</v>
          </cell>
          <cell r="C1265">
            <v>39</v>
          </cell>
          <cell r="D1265">
            <v>20</v>
          </cell>
          <cell r="E1265">
            <v>5.000000074505806E-2</v>
          </cell>
          <cell r="F1265">
            <v>740.99999941885471</v>
          </cell>
        </row>
        <row r="1266">
          <cell r="A1266">
            <v>10727</v>
          </cell>
          <cell r="B1266">
            <v>56</v>
          </cell>
          <cell r="C1266">
            <v>38</v>
          </cell>
          <cell r="D1266">
            <v>10</v>
          </cell>
          <cell r="E1266">
            <v>5.000000074505806E-2</v>
          </cell>
          <cell r="F1266">
            <v>360.99999971687794</v>
          </cell>
        </row>
        <row r="1267">
          <cell r="A1267">
            <v>10727</v>
          </cell>
          <cell r="B1267">
            <v>59</v>
          </cell>
          <cell r="C1267">
            <v>55</v>
          </cell>
          <cell r="D1267">
            <v>10</v>
          </cell>
          <cell r="E1267">
            <v>5.000000074505806E-2</v>
          </cell>
          <cell r="F1267">
            <v>522.49999959021807</v>
          </cell>
        </row>
        <row r="1268">
          <cell r="A1268">
            <v>10728</v>
          </cell>
          <cell r="B1268">
            <v>30</v>
          </cell>
          <cell r="C1268">
            <v>25.89</v>
          </cell>
          <cell r="D1268">
            <v>15</v>
          </cell>
          <cell r="E1268">
            <v>0</v>
          </cell>
          <cell r="F1268">
            <v>388.35</v>
          </cell>
        </row>
        <row r="1269">
          <cell r="A1269">
            <v>10728</v>
          </cell>
          <cell r="B1269">
            <v>40</v>
          </cell>
          <cell r="C1269">
            <v>18.399999999999999</v>
          </cell>
          <cell r="D1269">
            <v>6</v>
          </cell>
          <cell r="E1269">
            <v>0</v>
          </cell>
          <cell r="F1269">
            <v>110.39999999999999</v>
          </cell>
        </row>
        <row r="1270">
          <cell r="A1270">
            <v>10728</v>
          </cell>
          <cell r="B1270">
            <v>55</v>
          </cell>
          <cell r="C1270">
            <v>24</v>
          </cell>
          <cell r="D1270">
            <v>12</v>
          </cell>
          <cell r="E1270">
            <v>0</v>
          </cell>
          <cell r="F1270">
            <v>288</v>
          </cell>
        </row>
        <row r="1271">
          <cell r="A1271">
            <v>10728</v>
          </cell>
          <cell r="B1271">
            <v>60</v>
          </cell>
          <cell r="C1271">
            <v>34</v>
          </cell>
          <cell r="D1271">
            <v>15</v>
          </cell>
          <cell r="E1271">
            <v>0</v>
          </cell>
          <cell r="F1271">
            <v>510</v>
          </cell>
        </row>
        <row r="1272">
          <cell r="A1272">
            <v>10729</v>
          </cell>
          <cell r="B1272">
            <v>1</v>
          </cell>
          <cell r="C1272">
            <v>18</v>
          </cell>
          <cell r="D1272">
            <v>50</v>
          </cell>
          <cell r="E1272">
            <v>0</v>
          </cell>
          <cell r="F1272">
            <v>900</v>
          </cell>
        </row>
        <row r="1273">
          <cell r="A1273">
            <v>10729</v>
          </cell>
          <cell r="B1273">
            <v>21</v>
          </cell>
          <cell r="C1273">
            <v>10</v>
          </cell>
          <cell r="D1273">
            <v>30</v>
          </cell>
          <cell r="E1273">
            <v>0</v>
          </cell>
          <cell r="F1273">
            <v>300</v>
          </cell>
        </row>
        <row r="1274">
          <cell r="A1274">
            <v>10729</v>
          </cell>
          <cell r="B1274">
            <v>50</v>
          </cell>
          <cell r="C1274">
            <v>16.25</v>
          </cell>
          <cell r="D1274">
            <v>40</v>
          </cell>
          <cell r="E1274">
            <v>0</v>
          </cell>
          <cell r="F1274">
            <v>650</v>
          </cell>
        </row>
        <row r="1275">
          <cell r="A1275">
            <v>10730</v>
          </cell>
          <cell r="B1275">
            <v>16</v>
          </cell>
          <cell r="C1275">
            <v>17.45</v>
          </cell>
          <cell r="D1275">
            <v>15</v>
          </cell>
          <cell r="E1275">
            <v>5.000000074505806E-2</v>
          </cell>
          <cell r="F1275">
            <v>248.66249980498105</v>
          </cell>
        </row>
        <row r="1276">
          <cell r="A1276">
            <v>10730</v>
          </cell>
          <cell r="B1276">
            <v>31</v>
          </cell>
          <cell r="C1276">
            <v>12.5</v>
          </cell>
          <cell r="D1276">
            <v>3</v>
          </cell>
          <cell r="E1276">
            <v>5.000000074505806E-2</v>
          </cell>
          <cell r="F1276">
            <v>35.624999972060323</v>
          </cell>
        </row>
        <row r="1277">
          <cell r="A1277">
            <v>10730</v>
          </cell>
          <cell r="B1277">
            <v>65</v>
          </cell>
          <cell r="C1277">
            <v>21.05</v>
          </cell>
          <cell r="D1277">
            <v>10</v>
          </cell>
          <cell r="E1277">
            <v>5.000000074505806E-2</v>
          </cell>
          <cell r="F1277">
            <v>199.97499984316528</v>
          </cell>
        </row>
        <row r="1278">
          <cell r="A1278">
            <v>10731</v>
          </cell>
          <cell r="B1278">
            <v>21</v>
          </cell>
          <cell r="C1278">
            <v>10</v>
          </cell>
          <cell r="D1278">
            <v>40</v>
          </cell>
          <cell r="E1278">
            <v>5.000000074505806E-2</v>
          </cell>
          <cell r="F1278">
            <v>379.99999970197678</v>
          </cell>
        </row>
        <row r="1279">
          <cell r="A1279">
            <v>10731</v>
          </cell>
          <cell r="B1279">
            <v>51</v>
          </cell>
          <cell r="C1279">
            <v>53</v>
          </cell>
          <cell r="D1279">
            <v>30</v>
          </cell>
          <cell r="E1279">
            <v>5.000000074505806E-2</v>
          </cell>
          <cell r="F1279">
            <v>1510.4999988153577</v>
          </cell>
        </row>
        <row r="1280">
          <cell r="A1280">
            <v>10732</v>
          </cell>
          <cell r="B1280">
            <v>76</v>
          </cell>
          <cell r="C1280">
            <v>18</v>
          </cell>
          <cell r="D1280">
            <v>20</v>
          </cell>
          <cell r="E1280">
            <v>0</v>
          </cell>
          <cell r="F1280">
            <v>360</v>
          </cell>
        </row>
        <row r="1281">
          <cell r="A1281">
            <v>10733</v>
          </cell>
          <cell r="B1281">
            <v>14</v>
          </cell>
          <cell r="C1281">
            <v>23.25</v>
          </cell>
          <cell r="D1281">
            <v>16</v>
          </cell>
          <cell r="E1281">
            <v>0</v>
          </cell>
          <cell r="F1281">
            <v>372</v>
          </cell>
        </row>
        <row r="1282">
          <cell r="A1282">
            <v>10733</v>
          </cell>
          <cell r="B1282">
            <v>28</v>
          </cell>
          <cell r="C1282">
            <v>45.6</v>
          </cell>
          <cell r="D1282">
            <v>20</v>
          </cell>
          <cell r="E1282">
            <v>0</v>
          </cell>
          <cell r="F1282">
            <v>912</v>
          </cell>
        </row>
        <row r="1283">
          <cell r="A1283">
            <v>10733</v>
          </cell>
          <cell r="B1283">
            <v>52</v>
          </cell>
          <cell r="C1283">
            <v>7</v>
          </cell>
          <cell r="D1283">
            <v>25</v>
          </cell>
          <cell r="E1283">
            <v>0</v>
          </cell>
          <cell r="F1283">
            <v>175</v>
          </cell>
        </row>
        <row r="1284">
          <cell r="A1284">
            <v>10734</v>
          </cell>
          <cell r="B1284">
            <v>6</v>
          </cell>
          <cell r="C1284">
            <v>25</v>
          </cell>
          <cell r="D1284">
            <v>30</v>
          </cell>
          <cell r="E1284">
            <v>0</v>
          </cell>
          <cell r="F1284">
            <v>750</v>
          </cell>
        </row>
        <row r="1285">
          <cell r="A1285">
            <v>10734</v>
          </cell>
          <cell r="B1285">
            <v>30</v>
          </cell>
          <cell r="C1285">
            <v>25.89</v>
          </cell>
          <cell r="D1285">
            <v>15</v>
          </cell>
          <cell r="E1285">
            <v>0</v>
          </cell>
          <cell r="F1285">
            <v>388.35</v>
          </cell>
        </row>
        <row r="1286">
          <cell r="A1286">
            <v>10734</v>
          </cell>
          <cell r="B1286">
            <v>76</v>
          </cell>
          <cell r="C1286">
            <v>18</v>
          </cell>
          <cell r="D1286">
            <v>20</v>
          </cell>
          <cell r="E1286">
            <v>0</v>
          </cell>
          <cell r="F1286">
            <v>360</v>
          </cell>
        </row>
        <row r="1287">
          <cell r="A1287">
            <v>10735</v>
          </cell>
          <cell r="B1287">
            <v>61</v>
          </cell>
          <cell r="C1287">
            <v>28.5</v>
          </cell>
          <cell r="D1287">
            <v>20</v>
          </cell>
          <cell r="E1287">
            <v>0.10000000149011612</v>
          </cell>
          <cell r="F1287">
            <v>512.99999915063381</v>
          </cell>
        </row>
        <row r="1288">
          <cell r="A1288">
            <v>10735</v>
          </cell>
          <cell r="B1288">
            <v>77</v>
          </cell>
          <cell r="C1288">
            <v>13</v>
          </cell>
          <cell r="D1288">
            <v>2</v>
          </cell>
          <cell r="E1288">
            <v>0.10000000149011612</v>
          </cell>
          <cell r="F1288">
            <v>23.399999961256981</v>
          </cell>
        </row>
        <row r="1289">
          <cell r="A1289">
            <v>10736</v>
          </cell>
          <cell r="B1289">
            <v>65</v>
          </cell>
          <cell r="C1289">
            <v>21.05</v>
          </cell>
          <cell r="D1289">
            <v>40</v>
          </cell>
          <cell r="E1289">
            <v>0</v>
          </cell>
          <cell r="F1289">
            <v>842</v>
          </cell>
        </row>
        <row r="1290">
          <cell r="A1290">
            <v>10736</v>
          </cell>
          <cell r="B1290">
            <v>75</v>
          </cell>
          <cell r="C1290">
            <v>7.75</v>
          </cell>
          <cell r="D1290">
            <v>20</v>
          </cell>
          <cell r="E1290">
            <v>0</v>
          </cell>
          <cell r="F1290">
            <v>155</v>
          </cell>
        </row>
        <row r="1291">
          <cell r="A1291">
            <v>10737</v>
          </cell>
          <cell r="B1291">
            <v>13</v>
          </cell>
          <cell r="C1291">
            <v>6</v>
          </cell>
          <cell r="D1291">
            <v>4</v>
          </cell>
          <cell r="E1291">
            <v>0</v>
          </cell>
          <cell r="F1291">
            <v>24</v>
          </cell>
        </row>
        <row r="1292">
          <cell r="A1292">
            <v>10737</v>
          </cell>
          <cell r="B1292">
            <v>41</v>
          </cell>
          <cell r="C1292">
            <v>9.65</v>
          </cell>
          <cell r="D1292">
            <v>12</v>
          </cell>
          <cell r="E1292">
            <v>0</v>
          </cell>
          <cell r="F1292">
            <v>115.80000000000001</v>
          </cell>
        </row>
        <row r="1293">
          <cell r="A1293">
            <v>10738</v>
          </cell>
          <cell r="B1293">
            <v>16</v>
          </cell>
          <cell r="C1293">
            <v>17.45</v>
          </cell>
          <cell r="D1293">
            <v>3</v>
          </cell>
          <cell r="E1293">
            <v>0</v>
          </cell>
          <cell r="F1293">
            <v>52.349999999999994</v>
          </cell>
        </row>
        <row r="1294">
          <cell r="A1294">
            <v>10739</v>
          </cell>
          <cell r="B1294">
            <v>36</v>
          </cell>
          <cell r="C1294">
            <v>19</v>
          </cell>
          <cell r="D1294">
            <v>6</v>
          </cell>
          <cell r="E1294">
            <v>0</v>
          </cell>
          <cell r="F1294">
            <v>114</v>
          </cell>
        </row>
        <row r="1295">
          <cell r="A1295">
            <v>10739</v>
          </cell>
          <cell r="B1295">
            <v>52</v>
          </cell>
          <cell r="C1295">
            <v>7</v>
          </cell>
          <cell r="D1295">
            <v>18</v>
          </cell>
          <cell r="E1295">
            <v>0</v>
          </cell>
          <cell r="F1295">
            <v>126</v>
          </cell>
        </row>
        <row r="1296">
          <cell r="A1296">
            <v>10740</v>
          </cell>
          <cell r="B1296">
            <v>28</v>
          </cell>
          <cell r="C1296">
            <v>45.6</v>
          </cell>
          <cell r="D1296">
            <v>5</v>
          </cell>
          <cell r="E1296">
            <v>0.20000000298023224</v>
          </cell>
          <cell r="F1296">
            <v>182.39999932050705</v>
          </cell>
        </row>
        <row r="1297">
          <cell r="A1297">
            <v>10740</v>
          </cell>
          <cell r="B1297">
            <v>35</v>
          </cell>
          <cell r="C1297">
            <v>18</v>
          </cell>
          <cell r="D1297">
            <v>35</v>
          </cell>
          <cell r="E1297">
            <v>0.20000000298023224</v>
          </cell>
          <cell r="F1297">
            <v>503.99999812245369</v>
          </cell>
        </row>
        <row r="1298">
          <cell r="A1298">
            <v>10740</v>
          </cell>
          <cell r="B1298">
            <v>45</v>
          </cell>
          <cell r="C1298">
            <v>9.5</v>
          </cell>
          <cell r="D1298">
            <v>40</v>
          </cell>
          <cell r="E1298">
            <v>0.20000000298023224</v>
          </cell>
          <cell r="F1298">
            <v>303.99999886751175</v>
          </cell>
        </row>
        <row r="1299">
          <cell r="A1299">
            <v>10740</v>
          </cell>
          <cell r="B1299">
            <v>56</v>
          </cell>
          <cell r="C1299">
            <v>38</v>
          </cell>
          <cell r="D1299">
            <v>14</v>
          </cell>
          <cell r="E1299">
            <v>0.20000000298023224</v>
          </cell>
          <cell r="F1299">
            <v>425.59999841451645</v>
          </cell>
        </row>
        <row r="1300">
          <cell r="A1300">
            <v>10741</v>
          </cell>
          <cell r="B1300">
            <v>2</v>
          </cell>
          <cell r="C1300">
            <v>19</v>
          </cell>
          <cell r="D1300">
            <v>15</v>
          </cell>
          <cell r="E1300">
            <v>0.20000000298023224</v>
          </cell>
          <cell r="F1300">
            <v>227.99999915063381</v>
          </cell>
        </row>
        <row r="1301">
          <cell r="A1301">
            <v>10742</v>
          </cell>
          <cell r="B1301">
            <v>3</v>
          </cell>
          <cell r="C1301">
            <v>10</v>
          </cell>
          <cell r="D1301">
            <v>20</v>
          </cell>
          <cell r="E1301">
            <v>0</v>
          </cell>
          <cell r="F1301">
            <v>200</v>
          </cell>
        </row>
        <row r="1302">
          <cell r="A1302">
            <v>10742</v>
          </cell>
          <cell r="B1302">
            <v>60</v>
          </cell>
          <cell r="C1302">
            <v>34</v>
          </cell>
          <cell r="D1302">
            <v>50</v>
          </cell>
          <cell r="E1302">
            <v>0</v>
          </cell>
          <cell r="F1302">
            <v>1700</v>
          </cell>
        </row>
        <row r="1303">
          <cell r="A1303">
            <v>10742</v>
          </cell>
          <cell r="B1303">
            <v>72</v>
          </cell>
          <cell r="C1303">
            <v>34.799999999999997</v>
          </cell>
          <cell r="D1303">
            <v>35</v>
          </cell>
          <cell r="E1303">
            <v>0</v>
          </cell>
          <cell r="F1303">
            <v>1218</v>
          </cell>
        </row>
        <row r="1304">
          <cell r="A1304">
            <v>10743</v>
          </cell>
          <cell r="B1304">
            <v>46</v>
          </cell>
          <cell r="C1304">
            <v>12</v>
          </cell>
          <cell r="D1304">
            <v>28</v>
          </cell>
          <cell r="E1304">
            <v>5.000000074505806E-2</v>
          </cell>
          <cell r="F1304">
            <v>319.19999974966049</v>
          </cell>
        </row>
        <row r="1305">
          <cell r="A1305">
            <v>10744</v>
          </cell>
          <cell r="B1305">
            <v>40</v>
          </cell>
          <cell r="C1305">
            <v>18.399999999999999</v>
          </cell>
          <cell r="D1305">
            <v>50</v>
          </cell>
          <cell r="E1305">
            <v>0.20000000298023224</v>
          </cell>
          <cell r="F1305">
            <v>735.99999725818623</v>
          </cell>
        </row>
        <row r="1306">
          <cell r="A1306">
            <v>10745</v>
          </cell>
          <cell r="B1306">
            <v>18</v>
          </cell>
          <cell r="C1306">
            <v>62.5</v>
          </cell>
          <cell r="D1306">
            <v>24</v>
          </cell>
          <cell r="E1306">
            <v>0</v>
          </cell>
          <cell r="F1306">
            <v>1500</v>
          </cell>
        </row>
        <row r="1307">
          <cell r="A1307">
            <v>10745</v>
          </cell>
          <cell r="B1307">
            <v>44</v>
          </cell>
          <cell r="C1307">
            <v>19.45</v>
          </cell>
          <cell r="D1307">
            <v>16</v>
          </cell>
          <cell r="E1307">
            <v>0</v>
          </cell>
          <cell r="F1307">
            <v>311.2</v>
          </cell>
        </row>
        <row r="1308">
          <cell r="A1308">
            <v>10745</v>
          </cell>
          <cell r="B1308">
            <v>59</v>
          </cell>
          <cell r="C1308">
            <v>55</v>
          </cell>
          <cell r="D1308">
            <v>45</v>
          </cell>
          <cell r="E1308">
            <v>0</v>
          </cell>
          <cell r="F1308">
            <v>2475</v>
          </cell>
        </row>
        <row r="1309">
          <cell r="A1309">
            <v>10745</v>
          </cell>
          <cell r="B1309">
            <v>72</v>
          </cell>
          <cell r="C1309">
            <v>34.799999999999997</v>
          </cell>
          <cell r="D1309">
            <v>7</v>
          </cell>
          <cell r="E1309">
            <v>0</v>
          </cell>
          <cell r="F1309">
            <v>243.59999999999997</v>
          </cell>
        </row>
        <row r="1310">
          <cell r="A1310">
            <v>10746</v>
          </cell>
          <cell r="B1310">
            <v>13</v>
          </cell>
          <cell r="C1310">
            <v>6</v>
          </cell>
          <cell r="D1310">
            <v>6</v>
          </cell>
          <cell r="E1310">
            <v>0</v>
          </cell>
          <cell r="F1310">
            <v>36</v>
          </cell>
        </row>
        <row r="1311">
          <cell r="A1311">
            <v>10746</v>
          </cell>
          <cell r="B1311">
            <v>42</v>
          </cell>
          <cell r="C1311">
            <v>14</v>
          </cell>
          <cell r="D1311">
            <v>28</v>
          </cell>
          <cell r="E1311">
            <v>0</v>
          </cell>
          <cell r="F1311">
            <v>392</v>
          </cell>
        </row>
        <row r="1312">
          <cell r="A1312">
            <v>10746</v>
          </cell>
          <cell r="B1312">
            <v>62</v>
          </cell>
          <cell r="C1312">
            <v>49.3</v>
          </cell>
          <cell r="D1312">
            <v>9</v>
          </cell>
          <cell r="E1312">
            <v>0</v>
          </cell>
          <cell r="F1312">
            <v>443.7</v>
          </cell>
        </row>
        <row r="1313">
          <cell r="A1313">
            <v>10746</v>
          </cell>
          <cell r="B1313">
            <v>69</v>
          </cell>
          <cell r="C1313">
            <v>36</v>
          </cell>
          <cell r="D1313">
            <v>40</v>
          </cell>
          <cell r="E1313">
            <v>0</v>
          </cell>
          <cell r="F1313">
            <v>1440</v>
          </cell>
        </row>
        <row r="1314">
          <cell r="A1314">
            <v>10747</v>
          </cell>
          <cell r="B1314">
            <v>31</v>
          </cell>
          <cell r="C1314">
            <v>12.5</v>
          </cell>
          <cell r="D1314">
            <v>8</v>
          </cell>
          <cell r="E1314">
            <v>0</v>
          </cell>
          <cell r="F1314">
            <v>100</v>
          </cell>
        </row>
        <row r="1315">
          <cell r="A1315">
            <v>10747</v>
          </cell>
          <cell r="B1315">
            <v>41</v>
          </cell>
          <cell r="C1315">
            <v>9.65</v>
          </cell>
          <cell r="D1315">
            <v>35</v>
          </cell>
          <cell r="E1315">
            <v>0</v>
          </cell>
          <cell r="F1315">
            <v>337.75</v>
          </cell>
        </row>
        <row r="1316">
          <cell r="A1316">
            <v>10747</v>
          </cell>
          <cell r="B1316">
            <v>63</v>
          </cell>
          <cell r="C1316">
            <v>43.9</v>
          </cell>
          <cell r="D1316">
            <v>9</v>
          </cell>
          <cell r="E1316">
            <v>0</v>
          </cell>
          <cell r="F1316">
            <v>395.09999999999997</v>
          </cell>
        </row>
        <row r="1317">
          <cell r="A1317">
            <v>10747</v>
          </cell>
          <cell r="B1317">
            <v>69</v>
          </cell>
          <cell r="C1317">
            <v>36</v>
          </cell>
          <cell r="D1317">
            <v>30</v>
          </cell>
          <cell r="E1317">
            <v>0</v>
          </cell>
          <cell r="F1317">
            <v>1080</v>
          </cell>
        </row>
        <row r="1318">
          <cell r="A1318">
            <v>10748</v>
          </cell>
          <cell r="B1318">
            <v>23</v>
          </cell>
          <cell r="C1318">
            <v>9</v>
          </cell>
          <cell r="D1318">
            <v>44</v>
          </cell>
          <cell r="E1318">
            <v>0</v>
          </cell>
          <cell r="F1318">
            <v>396</v>
          </cell>
        </row>
        <row r="1319">
          <cell r="A1319">
            <v>10748</v>
          </cell>
          <cell r="B1319">
            <v>40</v>
          </cell>
          <cell r="C1319">
            <v>18.399999999999999</v>
          </cell>
          <cell r="D1319">
            <v>40</v>
          </cell>
          <cell r="E1319">
            <v>0</v>
          </cell>
          <cell r="F1319">
            <v>736</v>
          </cell>
        </row>
        <row r="1320">
          <cell r="A1320">
            <v>10748</v>
          </cell>
          <cell r="B1320">
            <v>56</v>
          </cell>
          <cell r="C1320">
            <v>38</v>
          </cell>
          <cell r="D1320">
            <v>28</v>
          </cell>
          <cell r="E1320">
            <v>0</v>
          </cell>
          <cell r="F1320">
            <v>1064</v>
          </cell>
        </row>
        <row r="1321">
          <cell r="A1321">
            <v>10749</v>
          </cell>
          <cell r="B1321">
            <v>56</v>
          </cell>
          <cell r="C1321">
            <v>38</v>
          </cell>
          <cell r="D1321">
            <v>15</v>
          </cell>
          <cell r="E1321">
            <v>0</v>
          </cell>
          <cell r="F1321">
            <v>570</v>
          </cell>
        </row>
        <row r="1322">
          <cell r="A1322">
            <v>10749</v>
          </cell>
          <cell r="B1322">
            <v>59</v>
          </cell>
          <cell r="C1322">
            <v>55</v>
          </cell>
          <cell r="D1322">
            <v>6</v>
          </cell>
          <cell r="E1322">
            <v>0</v>
          </cell>
          <cell r="F1322">
            <v>330</v>
          </cell>
        </row>
        <row r="1323">
          <cell r="A1323">
            <v>10749</v>
          </cell>
          <cell r="B1323">
            <v>76</v>
          </cell>
          <cell r="C1323">
            <v>18</v>
          </cell>
          <cell r="D1323">
            <v>10</v>
          </cell>
          <cell r="E1323">
            <v>0</v>
          </cell>
          <cell r="F1323">
            <v>180</v>
          </cell>
        </row>
        <row r="1324">
          <cell r="A1324">
            <v>10750</v>
          </cell>
          <cell r="B1324">
            <v>14</v>
          </cell>
          <cell r="C1324">
            <v>23.25</v>
          </cell>
          <cell r="D1324">
            <v>5</v>
          </cell>
          <cell r="E1324">
            <v>0.15000000596046448</v>
          </cell>
          <cell r="F1324">
            <v>98.812499307096004</v>
          </cell>
        </row>
        <row r="1325">
          <cell r="A1325">
            <v>10750</v>
          </cell>
          <cell r="B1325">
            <v>45</v>
          </cell>
          <cell r="C1325">
            <v>9.5</v>
          </cell>
          <cell r="D1325">
            <v>40</v>
          </cell>
          <cell r="E1325">
            <v>0.15000000596046448</v>
          </cell>
          <cell r="F1325">
            <v>322.9999977350235</v>
          </cell>
        </row>
        <row r="1326">
          <cell r="A1326">
            <v>10750</v>
          </cell>
          <cell r="B1326">
            <v>59</v>
          </cell>
          <cell r="C1326">
            <v>55</v>
          </cell>
          <cell r="D1326">
            <v>25</v>
          </cell>
          <cell r="E1326">
            <v>0.15000000596046448</v>
          </cell>
          <cell r="F1326">
            <v>1168.7499918043613</v>
          </cell>
        </row>
        <row r="1327">
          <cell r="A1327">
            <v>10751</v>
          </cell>
          <cell r="B1327">
            <v>26</v>
          </cell>
          <cell r="C1327">
            <v>31.23</v>
          </cell>
          <cell r="D1327">
            <v>12</v>
          </cell>
          <cell r="E1327">
            <v>0.10000000149011612</v>
          </cell>
          <cell r="F1327">
            <v>337.28399944156405</v>
          </cell>
        </row>
        <row r="1328">
          <cell r="A1328">
            <v>10751</v>
          </cell>
          <cell r="B1328">
            <v>30</v>
          </cell>
          <cell r="C1328">
            <v>25.89</v>
          </cell>
          <cell r="D1328">
            <v>30</v>
          </cell>
          <cell r="E1328">
            <v>0</v>
          </cell>
          <cell r="F1328">
            <v>776.7</v>
          </cell>
        </row>
        <row r="1329">
          <cell r="A1329">
            <v>10751</v>
          </cell>
          <cell r="B1329">
            <v>50</v>
          </cell>
          <cell r="C1329">
            <v>16.25</v>
          </cell>
          <cell r="D1329">
            <v>20</v>
          </cell>
          <cell r="E1329">
            <v>0.10000000149011612</v>
          </cell>
          <cell r="F1329">
            <v>292.49999951571226</v>
          </cell>
        </row>
        <row r="1330">
          <cell r="A1330">
            <v>10751</v>
          </cell>
          <cell r="B1330">
            <v>73</v>
          </cell>
          <cell r="C1330">
            <v>15</v>
          </cell>
          <cell r="D1330">
            <v>15</v>
          </cell>
          <cell r="E1330">
            <v>0</v>
          </cell>
          <cell r="F1330">
            <v>225</v>
          </cell>
        </row>
        <row r="1331">
          <cell r="A1331">
            <v>10752</v>
          </cell>
          <cell r="B1331">
            <v>1</v>
          </cell>
          <cell r="C1331">
            <v>18</v>
          </cell>
          <cell r="D1331">
            <v>8</v>
          </cell>
          <cell r="E1331">
            <v>0</v>
          </cell>
          <cell r="F1331">
            <v>144</v>
          </cell>
        </row>
        <row r="1332">
          <cell r="A1332">
            <v>10752</v>
          </cell>
          <cell r="B1332">
            <v>69</v>
          </cell>
          <cell r="C1332">
            <v>36</v>
          </cell>
          <cell r="D1332">
            <v>3</v>
          </cell>
          <cell r="E1332">
            <v>0</v>
          </cell>
          <cell r="F1332">
            <v>108</v>
          </cell>
        </row>
        <row r="1333">
          <cell r="A1333">
            <v>10753</v>
          </cell>
          <cell r="B1333">
            <v>45</v>
          </cell>
          <cell r="C1333">
            <v>9.5</v>
          </cell>
          <cell r="D1333">
            <v>4</v>
          </cell>
          <cell r="E1333">
            <v>0</v>
          </cell>
          <cell r="F1333">
            <v>38</v>
          </cell>
        </row>
        <row r="1334">
          <cell r="A1334">
            <v>10753</v>
          </cell>
          <cell r="B1334">
            <v>74</v>
          </cell>
          <cell r="C1334">
            <v>10</v>
          </cell>
          <cell r="D1334">
            <v>5</v>
          </cell>
          <cell r="E1334">
            <v>0</v>
          </cell>
          <cell r="F1334">
            <v>50</v>
          </cell>
        </row>
        <row r="1335">
          <cell r="A1335">
            <v>10754</v>
          </cell>
          <cell r="B1335">
            <v>40</v>
          </cell>
          <cell r="C1335">
            <v>18.399999999999999</v>
          </cell>
          <cell r="D1335">
            <v>3</v>
          </cell>
          <cell r="E1335">
            <v>0</v>
          </cell>
          <cell r="F1335">
            <v>55.199999999999996</v>
          </cell>
        </row>
        <row r="1336">
          <cell r="A1336">
            <v>10755</v>
          </cell>
          <cell r="B1336">
            <v>47</v>
          </cell>
          <cell r="C1336">
            <v>9.5</v>
          </cell>
          <cell r="D1336">
            <v>30</v>
          </cell>
          <cell r="E1336">
            <v>0.25</v>
          </cell>
          <cell r="F1336">
            <v>213.75</v>
          </cell>
        </row>
        <row r="1337">
          <cell r="A1337">
            <v>10755</v>
          </cell>
          <cell r="B1337">
            <v>56</v>
          </cell>
          <cell r="C1337">
            <v>38</v>
          </cell>
          <cell r="D1337">
            <v>30</v>
          </cell>
          <cell r="E1337">
            <v>0.25</v>
          </cell>
          <cell r="F1337">
            <v>855</v>
          </cell>
        </row>
        <row r="1338">
          <cell r="A1338">
            <v>10755</v>
          </cell>
          <cell r="B1338">
            <v>57</v>
          </cell>
          <cell r="C1338">
            <v>19.5</v>
          </cell>
          <cell r="D1338">
            <v>14</v>
          </cell>
          <cell r="E1338">
            <v>0.25</v>
          </cell>
          <cell r="F1338">
            <v>204.75</v>
          </cell>
        </row>
        <row r="1339">
          <cell r="A1339">
            <v>10755</v>
          </cell>
          <cell r="B1339">
            <v>69</v>
          </cell>
          <cell r="C1339">
            <v>36</v>
          </cell>
          <cell r="D1339">
            <v>25</v>
          </cell>
          <cell r="E1339">
            <v>0.25</v>
          </cell>
          <cell r="F1339">
            <v>675</v>
          </cell>
        </row>
        <row r="1340">
          <cell r="A1340">
            <v>10756</v>
          </cell>
          <cell r="B1340">
            <v>18</v>
          </cell>
          <cell r="C1340">
            <v>62.5</v>
          </cell>
          <cell r="D1340">
            <v>21</v>
          </cell>
          <cell r="E1340">
            <v>0.20000000298023224</v>
          </cell>
          <cell r="F1340">
            <v>1049.9999960884452</v>
          </cell>
        </row>
        <row r="1341">
          <cell r="A1341">
            <v>10756</v>
          </cell>
          <cell r="B1341">
            <v>36</v>
          </cell>
          <cell r="C1341">
            <v>19</v>
          </cell>
          <cell r="D1341">
            <v>20</v>
          </cell>
          <cell r="E1341">
            <v>0.20000000298023224</v>
          </cell>
          <cell r="F1341">
            <v>303.99999886751175</v>
          </cell>
        </row>
        <row r="1342">
          <cell r="A1342">
            <v>10756</v>
          </cell>
          <cell r="B1342">
            <v>68</v>
          </cell>
          <cell r="C1342">
            <v>12.5</v>
          </cell>
          <cell r="D1342">
            <v>6</v>
          </cell>
          <cell r="E1342">
            <v>0.20000000298023224</v>
          </cell>
          <cell r="F1342">
            <v>59.999999776482582</v>
          </cell>
        </row>
        <row r="1343">
          <cell r="A1343">
            <v>10756</v>
          </cell>
          <cell r="B1343">
            <v>69</v>
          </cell>
          <cell r="C1343">
            <v>36</v>
          </cell>
          <cell r="D1343">
            <v>20</v>
          </cell>
          <cell r="E1343">
            <v>0.20000000298023224</v>
          </cell>
          <cell r="F1343">
            <v>575.99999785423279</v>
          </cell>
        </row>
        <row r="1344">
          <cell r="A1344">
            <v>10757</v>
          </cell>
          <cell r="B1344">
            <v>34</v>
          </cell>
          <cell r="C1344">
            <v>14</v>
          </cell>
          <cell r="D1344">
            <v>30</v>
          </cell>
          <cell r="E1344">
            <v>0</v>
          </cell>
          <cell r="F1344">
            <v>420</v>
          </cell>
        </row>
        <row r="1345">
          <cell r="A1345">
            <v>10757</v>
          </cell>
          <cell r="B1345">
            <v>59</v>
          </cell>
          <cell r="C1345">
            <v>55</v>
          </cell>
          <cell r="D1345">
            <v>7</v>
          </cell>
          <cell r="E1345">
            <v>0</v>
          </cell>
          <cell r="F1345">
            <v>385</v>
          </cell>
        </row>
        <row r="1346">
          <cell r="A1346">
            <v>10757</v>
          </cell>
          <cell r="B1346">
            <v>62</v>
          </cell>
          <cell r="C1346">
            <v>49.3</v>
          </cell>
          <cell r="D1346">
            <v>30</v>
          </cell>
          <cell r="E1346">
            <v>0</v>
          </cell>
          <cell r="F1346">
            <v>1479</v>
          </cell>
        </row>
        <row r="1347">
          <cell r="A1347">
            <v>10757</v>
          </cell>
          <cell r="B1347">
            <v>64</v>
          </cell>
          <cell r="C1347">
            <v>33.25</v>
          </cell>
          <cell r="D1347">
            <v>24</v>
          </cell>
          <cell r="E1347">
            <v>0</v>
          </cell>
          <cell r="F1347">
            <v>798</v>
          </cell>
        </row>
        <row r="1348">
          <cell r="A1348">
            <v>10758</v>
          </cell>
          <cell r="B1348">
            <v>26</v>
          </cell>
          <cell r="C1348">
            <v>31.23</v>
          </cell>
          <cell r="D1348">
            <v>20</v>
          </cell>
          <cell r="E1348">
            <v>0</v>
          </cell>
          <cell r="F1348">
            <v>624.6</v>
          </cell>
        </row>
        <row r="1349">
          <cell r="A1349">
            <v>10758</v>
          </cell>
          <cell r="B1349">
            <v>52</v>
          </cell>
          <cell r="C1349">
            <v>7</v>
          </cell>
          <cell r="D1349">
            <v>60</v>
          </cell>
          <cell r="E1349">
            <v>0</v>
          </cell>
          <cell r="F1349">
            <v>420</v>
          </cell>
        </row>
        <row r="1350">
          <cell r="A1350">
            <v>10758</v>
          </cell>
          <cell r="B1350">
            <v>70</v>
          </cell>
          <cell r="C1350">
            <v>15</v>
          </cell>
          <cell r="D1350">
            <v>40</v>
          </cell>
          <cell r="E1350">
            <v>0</v>
          </cell>
          <cell r="F1350">
            <v>600</v>
          </cell>
        </row>
        <row r="1351">
          <cell r="A1351">
            <v>10759</v>
          </cell>
          <cell r="B1351">
            <v>32</v>
          </cell>
          <cell r="C1351">
            <v>32</v>
          </cell>
          <cell r="D1351">
            <v>10</v>
          </cell>
          <cell r="E1351">
            <v>0</v>
          </cell>
          <cell r="F1351">
            <v>320</v>
          </cell>
        </row>
        <row r="1352">
          <cell r="A1352">
            <v>10760</v>
          </cell>
          <cell r="B1352">
            <v>25</v>
          </cell>
          <cell r="C1352">
            <v>14</v>
          </cell>
          <cell r="D1352">
            <v>12</v>
          </cell>
          <cell r="E1352">
            <v>0.25</v>
          </cell>
          <cell r="F1352">
            <v>126</v>
          </cell>
        </row>
        <row r="1353">
          <cell r="A1353">
            <v>10760</v>
          </cell>
          <cell r="B1353">
            <v>27</v>
          </cell>
          <cell r="C1353">
            <v>43.9</v>
          </cell>
          <cell r="D1353">
            <v>40</v>
          </cell>
          <cell r="E1353">
            <v>0</v>
          </cell>
          <cell r="F1353">
            <v>1756</v>
          </cell>
        </row>
        <row r="1354">
          <cell r="A1354">
            <v>10760</v>
          </cell>
          <cell r="B1354">
            <v>43</v>
          </cell>
          <cell r="C1354">
            <v>46</v>
          </cell>
          <cell r="D1354">
            <v>30</v>
          </cell>
          <cell r="E1354">
            <v>0.25</v>
          </cell>
          <cell r="F1354">
            <v>1035</v>
          </cell>
        </row>
        <row r="1355">
          <cell r="A1355">
            <v>10761</v>
          </cell>
          <cell r="B1355">
            <v>25</v>
          </cell>
          <cell r="C1355">
            <v>14</v>
          </cell>
          <cell r="D1355">
            <v>35</v>
          </cell>
          <cell r="E1355">
            <v>0.25</v>
          </cell>
          <cell r="F1355">
            <v>367.5</v>
          </cell>
        </row>
        <row r="1356">
          <cell r="A1356">
            <v>10761</v>
          </cell>
          <cell r="B1356">
            <v>75</v>
          </cell>
          <cell r="C1356">
            <v>7.75</v>
          </cell>
          <cell r="D1356">
            <v>18</v>
          </cell>
          <cell r="E1356">
            <v>0</v>
          </cell>
          <cell r="F1356">
            <v>139.5</v>
          </cell>
        </row>
        <row r="1357">
          <cell r="A1357">
            <v>10762</v>
          </cell>
          <cell r="B1357">
            <v>39</v>
          </cell>
          <cell r="C1357">
            <v>18</v>
          </cell>
          <cell r="D1357">
            <v>16</v>
          </cell>
          <cell r="E1357">
            <v>0</v>
          </cell>
          <cell r="F1357">
            <v>288</v>
          </cell>
        </row>
        <row r="1358">
          <cell r="A1358">
            <v>10762</v>
          </cell>
          <cell r="B1358">
            <v>47</v>
          </cell>
          <cell r="C1358">
            <v>9.5</v>
          </cell>
          <cell r="D1358">
            <v>30</v>
          </cell>
          <cell r="E1358">
            <v>0</v>
          </cell>
          <cell r="F1358">
            <v>285</v>
          </cell>
        </row>
        <row r="1359">
          <cell r="A1359">
            <v>10762</v>
          </cell>
          <cell r="B1359">
            <v>51</v>
          </cell>
          <cell r="C1359">
            <v>53</v>
          </cell>
          <cell r="D1359">
            <v>28</v>
          </cell>
          <cell r="E1359">
            <v>0</v>
          </cell>
          <cell r="F1359">
            <v>1484</v>
          </cell>
        </row>
        <row r="1360">
          <cell r="A1360">
            <v>10762</v>
          </cell>
          <cell r="B1360">
            <v>56</v>
          </cell>
          <cell r="C1360">
            <v>38</v>
          </cell>
          <cell r="D1360">
            <v>60</v>
          </cell>
          <cell r="E1360">
            <v>0</v>
          </cell>
          <cell r="F1360">
            <v>2280</v>
          </cell>
        </row>
        <row r="1361">
          <cell r="A1361">
            <v>10763</v>
          </cell>
          <cell r="B1361">
            <v>21</v>
          </cell>
          <cell r="C1361">
            <v>10</v>
          </cell>
          <cell r="D1361">
            <v>40</v>
          </cell>
          <cell r="E1361">
            <v>0</v>
          </cell>
          <cell r="F1361">
            <v>400</v>
          </cell>
        </row>
        <row r="1362">
          <cell r="A1362">
            <v>10763</v>
          </cell>
          <cell r="B1362">
            <v>22</v>
          </cell>
          <cell r="C1362">
            <v>21</v>
          </cell>
          <cell r="D1362">
            <v>6</v>
          </cell>
          <cell r="E1362">
            <v>0</v>
          </cell>
          <cell r="F1362">
            <v>126</v>
          </cell>
        </row>
        <row r="1363">
          <cell r="A1363">
            <v>10763</v>
          </cell>
          <cell r="B1363">
            <v>24</v>
          </cell>
          <cell r="C1363">
            <v>4.5</v>
          </cell>
          <cell r="D1363">
            <v>20</v>
          </cell>
          <cell r="E1363">
            <v>0</v>
          </cell>
          <cell r="F1363">
            <v>90</v>
          </cell>
        </row>
        <row r="1364">
          <cell r="A1364">
            <v>10764</v>
          </cell>
          <cell r="B1364">
            <v>3</v>
          </cell>
          <cell r="C1364">
            <v>10</v>
          </cell>
          <cell r="D1364">
            <v>20</v>
          </cell>
          <cell r="E1364">
            <v>0.10000000149011612</v>
          </cell>
          <cell r="F1364">
            <v>179.99999970197678</v>
          </cell>
        </row>
        <row r="1365">
          <cell r="A1365">
            <v>10764</v>
          </cell>
          <cell r="B1365">
            <v>39</v>
          </cell>
          <cell r="C1365">
            <v>18</v>
          </cell>
          <cell r="D1365">
            <v>130</v>
          </cell>
          <cell r="E1365">
            <v>0.10000000149011612</v>
          </cell>
          <cell r="F1365">
            <v>2105.9999965131283</v>
          </cell>
        </row>
        <row r="1366">
          <cell r="A1366">
            <v>10765</v>
          </cell>
          <cell r="B1366">
            <v>65</v>
          </cell>
          <cell r="C1366">
            <v>21.05</v>
          </cell>
          <cell r="D1366">
            <v>80</v>
          </cell>
          <cell r="E1366">
            <v>0.10000000149011612</v>
          </cell>
          <cell r="F1366">
            <v>1515.5999974906445</v>
          </cell>
        </row>
        <row r="1367">
          <cell r="A1367">
            <v>10766</v>
          </cell>
          <cell r="B1367">
            <v>2</v>
          </cell>
          <cell r="C1367">
            <v>19</v>
          </cell>
          <cell r="D1367">
            <v>40</v>
          </cell>
          <cell r="E1367">
            <v>0</v>
          </cell>
          <cell r="F1367">
            <v>760</v>
          </cell>
        </row>
        <row r="1368">
          <cell r="A1368">
            <v>10766</v>
          </cell>
          <cell r="B1368">
            <v>7</v>
          </cell>
          <cell r="C1368">
            <v>30</v>
          </cell>
          <cell r="D1368">
            <v>35</v>
          </cell>
          <cell r="E1368">
            <v>0</v>
          </cell>
          <cell r="F1368">
            <v>1050</v>
          </cell>
        </row>
        <row r="1369">
          <cell r="A1369">
            <v>10766</v>
          </cell>
          <cell r="B1369">
            <v>68</v>
          </cell>
          <cell r="C1369">
            <v>12.5</v>
          </cell>
          <cell r="D1369">
            <v>40</v>
          </cell>
          <cell r="E1369">
            <v>0</v>
          </cell>
          <cell r="F1369">
            <v>500</v>
          </cell>
        </row>
        <row r="1370">
          <cell r="A1370">
            <v>10767</v>
          </cell>
          <cell r="B1370">
            <v>42</v>
          </cell>
          <cell r="C1370">
            <v>14</v>
          </cell>
          <cell r="D1370">
            <v>2</v>
          </cell>
          <cell r="E1370">
            <v>0</v>
          </cell>
          <cell r="F1370">
            <v>28</v>
          </cell>
        </row>
        <row r="1371">
          <cell r="A1371">
            <v>10768</v>
          </cell>
          <cell r="B1371">
            <v>22</v>
          </cell>
          <cell r="C1371">
            <v>21</v>
          </cell>
          <cell r="D1371">
            <v>4</v>
          </cell>
          <cell r="E1371">
            <v>0</v>
          </cell>
          <cell r="F1371">
            <v>84</v>
          </cell>
        </row>
        <row r="1372">
          <cell r="A1372">
            <v>10768</v>
          </cell>
          <cell r="B1372">
            <v>31</v>
          </cell>
          <cell r="C1372">
            <v>12.5</v>
          </cell>
          <cell r="D1372">
            <v>50</v>
          </cell>
          <cell r="E1372">
            <v>0</v>
          </cell>
          <cell r="F1372">
            <v>625</v>
          </cell>
        </row>
        <row r="1373">
          <cell r="A1373">
            <v>10768</v>
          </cell>
          <cell r="B1373">
            <v>60</v>
          </cell>
          <cell r="C1373">
            <v>34</v>
          </cell>
          <cell r="D1373">
            <v>15</v>
          </cell>
          <cell r="E1373">
            <v>0</v>
          </cell>
          <cell r="F1373">
            <v>510</v>
          </cell>
        </row>
        <row r="1374">
          <cell r="A1374">
            <v>10768</v>
          </cell>
          <cell r="B1374">
            <v>71</v>
          </cell>
          <cell r="C1374">
            <v>21.5</v>
          </cell>
          <cell r="D1374">
            <v>12</v>
          </cell>
          <cell r="E1374">
            <v>0</v>
          </cell>
          <cell r="F1374">
            <v>258</v>
          </cell>
        </row>
        <row r="1375">
          <cell r="A1375">
            <v>10769</v>
          </cell>
          <cell r="B1375">
            <v>41</v>
          </cell>
          <cell r="C1375">
            <v>9.65</v>
          </cell>
          <cell r="D1375">
            <v>30</v>
          </cell>
          <cell r="E1375">
            <v>5.000000074505806E-2</v>
          </cell>
          <cell r="F1375">
            <v>275.02499978430569</v>
          </cell>
        </row>
        <row r="1376">
          <cell r="A1376">
            <v>10769</v>
          </cell>
          <cell r="B1376">
            <v>52</v>
          </cell>
          <cell r="C1376">
            <v>7</v>
          </cell>
          <cell r="D1376">
            <v>15</v>
          </cell>
          <cell r="E1376">
            <v>5.000000074505806E-2</v>
          </cell>
          <cell r="F1376">
            <v>99.749999921768904</v>
          </cell>
        </row>
        <row r="1377">
          <cell r="A1377">
            <v>10769</v>
          </cell>
          <cell r="B1377">
            <v>61</v>
          </cell>
          <cell r="C1377">
            <v>28.5</v>
          </cell>
          <cell r="D1377">
            <v>20</v>
          </cell>
          <cell r="E1377">
            <v>0</v>
          </cell>
          <cell r="F1377">
            <v>570</v>
          </cell>
        </row>
        <row r="1378">
          <cell r="A1378">
            <v>10769</v>
          </cell>
          <cell r="B1378">
            <v>62</v>
          </cell>
          <cell r="C1378">
            <v>49.3</v>
          </cell>
          <cell r="D1378">
            <v>15</v>
          </cell>
          <cell r="E1378">
            <v>0</v>
          </cell>
          <cell r="F1378">
            <v>739.5</v>
          </cell>
        </row>
        <row r="1379">
          <cell r="A1379">
            <v>10770</v>
          </cell>
          <cell r="B1379">
            <v>11</v>
          </cell>
          <cell r="C1379">
            <v>21</v>
          </cell>
          <cell r="D1379">
            <v>15</v>
          </cell>
          <cell r="E1379">
            <v>0.25</v>
          </cell>
          <cell r="F1379">
            <v>236.25</v>
          </cell>
        </row>
        <row r="1380">
          <cell r="A1380">
            <v>10771</v>
          </cell>
          <cell r="B1380">
            <v>71</v>
          </cell>
          <cell r="C1380">
            <v>21.5</v>
          </cell>
          <cell r="D1380">
            <v>16</v>
          </cell>
          <cell r="E1380">
            <v>0</v>
          </cell>
          <cell r="F1380">
            <v>344</v>
          </cell>
        </row>
        <row r="1381">
          <cell r="A1381">
            <v>10772</v>
          </cell>
          <cell r="B1381">
            <v>29</v>
          </cell>
          <cell r="C1381">
            <v>123.79</v>
          </cell>
          <cell r="D1381">
            <v>18</v>
          </cell>
          <cell r="E1381">
            <v>0</v>
          </cell>
          <cell r="F1381">
            <v>2228.2200000000003</v>
          </cell>
        </row>
        <row r="1382">
          <cell r="A1382">
            <v>10772</v>
          </cell>
          <cell r="B1382">
            <v>59</v>
          </cell>
          <cell r="C1382">
            <v>55</v>
          </cell>
          <cell r="D1382">
            <v>25</v>
          </cell>
          <cell r="E1382">
            <v>0</v>
          </cell>
          <cell r="F1382">
            <v>1375</v>
          </cell>
        </row>
        <row r="1383">
          <cell r="A1383">
            <v>10773</v>
          </cell>
          <cell r="B1383">
            <v>17</v>
          </cell>
          <cell r="C1383">
            <v>39</v>
          </cell>
          <cell r="D1383">
            <v>33</v>
          </cell>
          <cell r="E1383">
            <v>0</v>
          </cell>
          <cell r="F1383">
            <v>1287</v>
          </cell>
        </row>
        <row r="1384">
          <cell r="A1384">
            <v>10773</v>
          </cell>
          <cell r="B1384">
            <v>31</v>
          </cell>
          <cell r="C1384">
            <v>12.5</v>
          </cell>
          <cell r="D1384">
            <v>70</v>
          </cell>
          <cell r="E1384">
            <v>0.20000000298023224</v>
          </cell>
          <cell r="F1384">
            <v>699.99999739229679</v>
          </cell>
        </row>
        <row r="1385">
          <cell r="A1385">
            <v>10773</v>
          </cell>
          <cell r="B1385">
            <v>75</v>
          </cell>
          <cell r="C1385">
            <v>7.75</v>
          </cell>
          <cell r="D1385">
            <v>7</v>
          </cell>
          <cell r="E1385">
            <v>0.20000000298023224</v>
          </cell>
          <cell r="F1385">
            <v>43.399999838322401</v>
          </cell>
        </row>
        <row r="1386">
          <cell r="A1386">
            <v>10774</v>
          </cell>
          <cell r="B1386">
            <v>31</v>
          </cell>
          <cell r="C1386">
            <v>12.5</v>
          </cell>
          <cell r="D1386">
            <v>2</v>
          </cell>
          <cell r="E1386">
            <v>0.25</v>
          </cell>
          <cell r="F1386">
            <v>18.75</v>
          </cell>
        </row>
        <row r="1387">
          <cell r="A1387">
            <v>10774</v>
          </cell>
          <cell r="B1387">
            <v>66</v>
          </cell>
          <cell r="C1387">
            <v>17</v>
          </cell>
          <cell r="D1387">
            <v>50</v>
          </cell>
          <cell r="E1387">
            <v>0</v>
          </cell>
          <cell r="F1387">
            <v>850</v>
          </cell>
        </row>
        <row r="1388">
          <cell r="A1388">
            <v>10775</v>
          </cell>
          <cell r="B1388">
            <v>10</v>
          </cell>
          <cell r="C1388">
            <v>31</v>
          </cell>
          <cell r="D1388">
            <v>6</v>
          </cell>
          <cell r="E1388">
            <v>0</v>
          </cell>
          <cell r="F1388">
            <v>186</v>
          </cell>
        </row>
        <row r="1389">
          <cell r="A1389">
            <v>10775</v>
          </cell>
          <cell r="B1389">
            <v>67</v>
          </cell>
          <cell r="C1389">
            <v>14</v>
          </cell>
          <cell r="D1389">
            <v>3</v>
          </cell>
          <cell r="E1389">
            <v>0</v>
          </cell>
          <cell r="F1389">
            <v>42</v>
          </cell>
        </row>
        <row r="1390">
          <cell r="A1390">
            <v>10776</v>
          </cell>
          <cell r="B1390">
            <v>31</v>
          </cell>
          <cell r="C1390">
            <v>12.5</v>
          </cell>
          <cell r="D1390">
            <v>16</v>
          </cell>
          <cell r="E1390">
            <v>5.000000074505806E-2</v>
          </cell>
          <cell r="F1390">
            <v>189.99999985098839</v>
          </cell>
        </row>
        <row r="1391">
          <cell r="A1391">
            <v>10776</v>
          </cell>
          <cell r="B1391">
            <v>42</v>
          </cell>
          <cell r="C1391">
            <v>14</v>
          </cell>
          <cell r="D1391">
            <v>12</v>
          </cell>
          <cell r="E1391">
            <v>5.000000074505806E-2</v>
          </cell>
          <cell r="F1391">
            <v>159.59999987483025</v>
          </cell>
        </row>
        <row r="1392">
          <cell r="A1392">
            <v>10776</v>
          </cell>
          <cell r="B1392">
            <v>45</v>
          </cell>
          <cell r="C1392">
            <v>9.5</v>
          </cell>
          <cell r="D1392">
            <v>27</v>
          </cell>
          <cell r="E1392">
            <v>5.000000074505806E-2</v>
          </cell>
          <cell r="F1392">
            <v>243.67499980889261</v>
          </cell>
        </row>
        <row r="1393">
          <cell r="A1393">
            <v>10776</v>
          </cell>
          <cell r="B1393">
            <v>51</v>
          </cell>
          <cell r="C1393">
            <v>53</v>
          </cell>
          <cell r="D1393">
            <v>120</v>
          </cell>
          <cell r="E1393">
            <v>5.000000074505806E-2</v>
          </cell>
          <cell r="F1393">
            <v>6041.9999952614307</v>
          </cell>
        </row>
        <row r="1394">
          <cell r="A1394">
            <v>10777</v>
          </cell>
          <cell r="B1394">
            <v>42</v>
          </cell>
          <cell r="C1394">
            <v>14</v>
          </cell>
          <cell r="D1394">
            <v>20</v>
          </cell>
          <cell r="E1394">
            <v>0.20000000298023224</v>
          </cell>
          <cell r="F1394">
            <v>223.99999916553497</v>
          </cell>
        </row>
        <row r="1395">
          <cell r="A1395">
            <v>10778</v>
          </cell>
          <cell r="B1395">
            <v>41</v>
          </cell>
          <cell r="C1395">
            <v>9.65</v>
          </cell>
          <cell r="D1395">
            <v>10</v>
          </cell>
          <cell r="E1395">
            <v>0</v>
          </cell>
          <cell r="F1395">
            <v>96.5</v>
          </cell>
        </row>
        <row r="1396">
          <cell r="A1396">
            <v>10779</v>
          </cell>
          <cell r="B1396">
            <v>16</v>
          </cell>
          <cell r="C1396">
            <v>17.45</v>
          </cell>
          <cell r="D1396">
            <v>20</v>
          </cell>
          <cell r="E1396">
            <v>0</v>
          </cell>
          <cell r="F1396">
            <v>349</v>
          </cell>
        </row>
        <row r="1397">
          <cell r="A1397">
            <v>10779</v>
          </cell>
          <cell r="B1397">
            <v>62</v>
          </cell>
          <cell r="C1397">
            <v>49.3</v>
          </cell>
          <cell r="D1397">
            <v>20</v>
          </cell>
          <cell r="E1397">
            <v>0</v>
          </cell>
          <cell r="F1397">
            <v>986</v>
          </cell>
        </row>
        <row r="1398">
          <cell r="A1398">
            <v>10780</v>
          </cell>
          <cell r="B1398">
            <v>70</v>
          </cell>
          <cell r="C1398">
            <v>15</v>
          </cell>
          <cell r="D1398">
            <v>35</v>
          </cell>
          <cell r="E1398">
            <v>0</v>
          </cell>
          <cell r="F1398">
            <v>525</v>
          </cell>
        </row>
        <row r="1399">
          <cell r="A1399">
            <v>10780</v>
          </cell>
          <cell r="B1399">
            <v>77</v>
          </cell>
          <cell r="C1399">
            <v>13</v>
          </cell>
          <cell r="D1399">
            <v>15</v>
          </cell>
          <cell r="E1399">
            <v>0</v>
          </cell>
          <cell r="F1399">
            <v>195</v>
          </cell>
        </row>
        <row r="1400">
          <cell r="A1400">
            <v>10781</v>
          </cell>
          <cell r="B1400">
            <v>54</v>
          </cell>
          <cell r="C1400">
            <v>7.45</v>
          </cell>
          <cell r="D1400">
            <v>3</v>
          </cell>
          <cell r="E1400">
            <v>0.20000000298023224</v>
          </cell>
          <cell r="F1400">
            <v>17.879999933391812</v>
          </cell>
        </row>
        <row r="1401">
          <cell r="A1401">
            <v>10781</v>
          </cell>
          <cell r="B1401">
            <v>56</v>
          </cell>
          <cell r="C1401">
            <v>38</v>
          </cell>
          <cell r="D1401">
            <v>20</v>
          </cell>
          <cell r="E1401">
            <v>0.20000000298023224</v>
          </cell>
          <cell r="F1401">
            <v>607.9999977350235</v>
          </cell>
        </row>
        <row r="1402">
          <cell r="A1402">
            <v>10781</v>
          </cell>
          <cell r="B1402">
            <v>74</v>
          </cell>
          <cell r="C1402">
            <v>10</v>
          </cell>
          <cell r="D1402">
            <v>35</v>
          </cell>
          <cell r="E1402">
            <v>0</v>
          </cell>
          <cell r="F1402">
            <v>350</v>
          </cell>
        </row>
        <row r="1403">
          <cell r="A1403">
            <v>10782</v>
          </cell>
          <cell r="B1403">
            <v>31</v>
          </cell>
          <cell r="C1403">
            <v>12.5</v>
          </cell>
          <cell r="D1403">
            <v>1</v>
          </cell>
          <cell r="E1403">
            <v>0</v>
          </cell>
          <cell r="F1403">
            <v>12.5</v>
          </cell>
        </row>
        <row r="1404">
          <cell r="A1404">
            <v>10783</v>
          </cell>
          <cell r="B1404">
            <v>31</v>
          </cell>
          <cell r="C1404">
            <v>12.5</v>
          </cell>
          <cell r="D1404">
            <v>10</v>
          </cell>
          <cell r="E1404">
            <v>0</v>
          </cell>
          <cell r="F1404">
            <v>125</v>
          </cell>
        </row>
        <row r="1405">
          <cell r="A1405">
            <v>10783</v>
          </cell>
          <cell r="B1405">
            <v>38</v>
          </cell>
          <cell r="C1405">
            <v>263.5</v>
          </cell>
          <cell r="D1405">
            <v>5</v>
          </cell>
          <cell r="E1405">
            <v>0</v>
          </cell>
          <cell r="F1405">
            <v>1317.5</v>
          </cell>
        </row>
        <row r="1406">
          <cell r="A1406">
            <v>10784</v>
          </cell>
          <cell r="B1406">
            <v>36</v>
          </cell>
          <cell r="C1406">
            <v>19</v>
          </cell>
          <cell r="D1406">
            <v>30</v>
          </cell>
          <cell r="E1406">
            <v>0</v>
          </cell>
          <cell r="F1406">
            <v>570</v>
          </cell>
        </row>
        <row r="1407">
          <cell r="A1407">
            <v>10784</v>
          </cell>
          <cell r="B1407">
            <v>39</v>
          </cell>
          <cell r="C1407">
            <v>18</v>
          </cell>
          <cell r="D1407">
            <v>2</v>
          </cell>
          <cell r="E1407">
            <v>0.15000000596046448</v>
          </cell>
          <cell r="F1407">
            <v>30.599999785423279</v>
          </cell>
        </row>
        <row r="1408">
          <cell r="A1408">
            <v>10784</v>
          </cell>
          <cell r="B1408">
            <v>72</v>
          </cell>
          <cell r="C1408">
            <v>34.799999999999997</v>
          </cell>
          <cell r="D1408">
            <v>30</v>
          </cell>
          <cell r="E1408">
            <v>0.15000000596046448</v>
          </cell>
          <cell r="F1408">
            <v>887.39999377727509</v>
          </cell>
        </row>
        <row r="1409">
          <cell r="A1409">
            <v>10785</v>
          </cell>
          <cell r="B1409">
            <v>10</v>
          </cell>
          <cell r="C1409">
            <v>31</v>
          </cell>
          <cell r="D1409">
            <v>10</v>
          </cell>
          <cell r="E1409">
            <v>0</v>
          </cell>
          <cell r="F1409">
            <v>310</v>
          </cell>
        </row>
        <row r="1410">
          <cell r="A1410">
            <v>10785</v>
          </cell>
          <cell r="B1410">
            <v>75</v>
          </cell>
          <cell r="C1410">
            <v>7.75</v>
          </cell>
          <cell r="D1410">
            <v>10</v>
          </cell>
          <cell r="E1410">
            <v>0</v>
          </cell>
          <cell r="F1410">
            <v>77.5</v>
          </cell>
        </row>
        <row r="1411">
          <cell r="A1411">
            <v>10786</v>
          </cell>
          <cell r="B1411">
            <v>8</v>
          </cell>
          <cell r="C1411">
            <v>40</v>
          </cell>
          <cell r="D1411">
            <v>30</v>
          </cell>
          <cell r="E1411">
            <v>0.20000000298023224</v>
          </cell>
          <cell r="F1411">
            <v>959.99999642372131</v>
          </cell>
        </row>
        <row r="1412">
          <cell r="A1412">
            <v>10786</v>
          </cell>
          <cell r="B1412">
            <v>30</v>
          </cell>
          <cell r="C1412">
            <v>25.89</v>
          </cell>
          <cell r="D1412">
            <v>15</v>
          </cell>
          <cell r="E1412">
            <v>0.20000000298023224</v>
          </cell>
          <cell r="F1412">
            <v>310.67999884262684</v>
          </cell>
        </row>
        <row r="1413">
          <cell r="A1413">
            <v>10786</v>
          </cell>
          <cell r="B1413">
            <v>75</v>
          </cell>
          <cell r="C1413">
            <v>7.75</v>
          </cell>
          <cell r="D1413">
            <v>42</v>
          </cell>
          <cell r="E1413">
            <v>0.20000000298023224</v>
          </cell>
          <cell r="F1413">
            <v>260.39999902993441</v>
          </cell>
        </row>
        <row r="1414">
          <cell r="A1414">
            <v>10787</v>
          </cell>
          <cell r="B1414">
            <v>2</v>
          </cell>
          <cell r="C1414">
            <v>19</v>
          </cell>
          <cell r="D1414">
            <v>15</v>
          </cell>
          <cell r="E1414">
            <v>5.000000074505806E-2</v>
          </cell>
          <cell r="F1414">
            <v>270.74999978765845</v>
          </cell>
        </row>
        <row r="1415">
          <cell r="A1415">
            <v>10787</v>
          </cell>
          <cell r="B1415">
            <v>29</v>
          </cell>
          <cell r="C1415">
            <v>123.79</v>
          </cell>
          <cell r="D1415">
            <v>20</v>
          </cell>
          <cell r="E1415">
            <v>5.000000074505806E-2</v>
          </cell>
          <cell r="F1415">
            <v>2352.0099981553853</v>
          </cell>
        </row>
        <row r="1416">
          <cell r="A1416">
            <v>10788</v>
          </cell>
          <cell r="B1416">
            <v>19</v>
          </cell>
          <cell r="C1416">
            <v>9.1999999999999993</v>
          </cell>
          <cell r="D1416">
            <v>50</v>
          </cell>
          <cell r="E1416">
            <v>5.000000074505806E-2</v>
          </cell>
          <cell r="F1416">
            <v>436.99999965727324</v>
          </cell>
        </row>
        <row r="1417">
          <cell r="A1417">
            <v>10788</v>
          </cell>
          <cell r="B1417">
            <v>75</v>
          </cell>
          <cell r="C1417">
            <v>7.75</v>
          </cell>
          <cell r="D1417">
            <v>40</v>
          </cell>
          <cell r="E1417">
            <v>5.000000074505806E-2</v>
          </cell>
          <cell r="F1417">
            <v>294.499999769032</v>
          </cell>
        </row>
        <row r="1418">
          <cell r="A1418">
            <v>10789</v>
          </cell>
          <cell r="B1418">
            <v>18</v>
          </cell>
          <cell r="C1418">
            <v>62.5</v>
          </cell>
          <cell r="D1418">
            <v>30</v>
          </cell>
          <cell r="E1418">
            <v>0</v>
          </cell>
          <cell r="F1418">
            <v>1875</v>
          </cell>
        </row>
        <row r="1419">
          <cell r="A1419">
            <v>10789</v>
          </cell>
          <cell r="B1419">
            <v>35</v>
          </cell>
          <cell r="C1419">
            <v>18</v>
          </cell>
          <cell r="D1419">
            <v>15</v>
          </cell>
          <cell r="E1419">
            <v>0</v>
          </cell>
          <cell r="F1419">
            <v>270</v>
          </cell>
        </row>
        <row r="1420">
          <cell r="A1420">
            <v>10789</v>
          </cell>
          <cell r="B1420">
            <v>63</v>
          </cell>
          <cell r="C1420">
            <v>43.9</v>
          </cell>
          <cell r="D1420">
            <v>30</v>
          </cell>
          <cell r="E1420">
            <v>0</v>
          </cell>
          <cell r="F1420">
            <v>1317</v>
          </cell>
        </row>
        <row r="1421">
          <cell r="A1421">
            <v>10789</v>
          </cell>
          <cell r="B1421">
            <v>68</v>
          </cell>
          <cell r="C1421">
            <v>12.5</v>
          </cell>
          <cell r="D1421">
            <v>18</v>
          </cell>
          <cell r="E1421">
            <v>0</v>
          </cell>
          <cell r="F1421">
            <v>225</v>
          </cell>
        </row>
        <row r="1422">
          <cell r="A1422">
            <v>10790</v>
          </cell>
          <cell r="B1422">
            <v>7</v>
          </cell>
          <cell r="C1422">
            <v>30</v>
          </cell>
          <cell r="D1422">
            <v>3</v>
          </cell>
          <cell r="E1422">
            <v>0.15000000596046448</v>
          </cell>
          <cell r="F1422">
            <v>76.499999463558197</v>
          </cell>
        </row>
        <row r="1423">
          <cell r="A1423">
            <v>10790</v>
          </cell>
          <cell r="B1423">
            <v>56</v>
          </cell>
          <cell r="C1423">
            <v>38</v>
          </cell>
          <cell r="D1423">
            <v>20</v>
          </cell>
          <cell r="E1423">
            <v>0.15000000596046448</v>
          </cell>
          <cell r="F1423">
            <v>645.999995470047</v>
          </cell>
        </row>
        <row r="1424">
          <cell r="A1424">
            <v>10791</v>
          </cell>
          <cell r="B1424">
            <v>29</v>
          </cell>
          <cell r="C1424">
            <v>123.79</v>
          </cell>
          <cell r="D1424">
            <v>14</v>
          </cell>
          <cell r="E1424">
            <v>5.000000074505806E-2</v>
          </cell>
          <cell r="F1424">
            <v>1646.4069987087698</v>
          </cell>
        </row>
        <row r="1425">
          <cell r="A1425">
            <v>10791</v>
          </cell>
          <cell r="B1425">
            <v>41</v>
          </cell>
          <cell r="C1425">
            <v>9.65</v>
          </cell>
          <cell r="D1425">
            <v>20</v>
          </cell>
          <cell r="E1425">
            <v>5.000000074505806E-2</v>
          </cell>
          <cell r="F1425">
            <v>183.34999985620379</v>
          </cell>
        </row>
        <row r="1426">
          <cell r="A1426">
            <v>10792</v>
          </cell>
          <cell r="B1426">
            <v>2</v>
          </cell>
          <cell r="C1426">
            <v>19</v>
          </cell>
          <cell r="D1426">
            <v>10</v>
          </cell>
          <cell r="E1426">
            <v>0</v>
          </cell>
          <cell r="F1426">
            <v>190</v>
          </cell>
        </row>
        <row r="1427">
          <cell r="A1427">
            <v>10792</v>
          </cell>
          <cell r="B1427">
            <v>54</v>
          </cell>
          <cell r="C1427">
            <v>7.45</v>
          </cell>
          <cell r="D1427">
            <v>3</v>
          </cell>
          <cell r="E1427">
            <v>0</v>
          </cell>
          <cell r="F1427">
            <v>22.35</v>
          </cell>
        </row>
        <row r="1428">
          <cell r="A1428">
            <v>10792</v>
          </cell>
          <cell r="B1428">
            <v>68</v>
          </cell>
          <cell r="C1428">
            <v>12.5</v>
          </cell>
          <cell r="D1428">
            <v>15</v>
          </cell>
          <cell r="E1428">
            <v>0</v>
          </cell>
          <cell r="F1428">
            <v>187.5</v>
          </cell>
        </row>
        <row r="1429">
          <cell r="A1429">
            <v>10793</v>
          </cell>
          <cell r="B1429">
            <v>41</v>
          </cell>
          <cell r="C1429">
            <v>9.65</v>
          </cell>
          <cell r="D1429">
            <v>14</v>
          </cell>
          <cell r="E1429">
            <v>0</v>
          </cell>
          <cell r="F1429">
            <v>135.1</v>
          </cell>
        </row>
        <row r="1430">
          <cell r="A1430">
            <v>10793</v>
          </cell>
          <cell r="B1430">
            <v>52</v>
          </cell>
          <cell r="C1430">
            <v>7</v>
          </cell>
          <cell r="D1430">
            <v>8</v>
          </cell>
          <cell r="E1430">
            <v>0</v>
          </cell>
          <cell r="F1430">
            <v>56</v>
          </cell>
        </row>
        <row r="1431">
          <cell r="A1431">
            <v>10794</v>
          </cell>
          <cell r="B1431">
            <v>14</v>
          </cell>
          <cell r="C1431">
            <v>23.25</v>
          </cell>
          <cell r="D1431">
            <v>15</v>
          </cell>
          <cell r="E1431">
            <v>0.20000000298023224</v>
          </cell>
          <cell r="F1431">
            <v>278.99999896064401</v>
          </cell>
        </row>
        <row r="1432">
          <cell r="A1432">
            <v>10794</v>
          </cell>
          <cell r="B1432">
            <v>54</v>
          </cell>
          <cell r="C1432">
            <v>7.45</v>
          </cell>
          <cell r="D1432">
            <v>6</v>
          </cell>
          <cell r="E1432">
            <v>0.20000000298023224</v>
          </cell>
          <cell r="F1432">
            <v>35.759999866783623</v>
          </cell>
        </row>
        <row r="1433">
          <cell r="A1433">
            <v>10795</v>
          </cell>
          <cell r="B1433">
            <v>16</v>
          </cell>
          <cell r="C1433">
            <v>17.45</v>
          </cell>
          <cell r="D1433">
            <v>65</v>
          </cell>
          <cell r="E1433">
            <v>0</v>
          </cell>
          <cell r="F1433">
            <v>1134.25</v>
          </cell>
        </row>
        <row r="1434">
          <cell r="A1434">
            <v>10795</v>
          </cell>
          <cell r="B1434">
            <v>17</v>
          </cell>
          <cell r="C1434">
            <v>39</v>
          </cell>
          <cell r="D1434">
            <v>35</v>
          </cell>
          <cell r="E1434">
            <v>0.25</v>
          </cell>
          <cell r="F1434">
            <v>1023.75</v>
          </cell>
        </row>
        <row r="1435">
          <cell r="A1435">
            <v>10796</v>
          </cell>
          <cell r="B1435">
            <v>26</v>
          </cell>
          <cell r="C1435">
            <v>31.23</v>
          </cell>
          <cell r="D1435">
            <v>21</v>
          </cell>
          <cell r="E1435">
            <v>0.20000000298023224</v>
          </cell>
          <cell r="F1435">
            <v>524.66399804547427</v>
          </cell>
        </row>
        <row r="1436">
          <cell r="A1436">
            <v>10796</v>
          </cell>
          <cell r="B1436">
            <v>44</v>
          </cell>
          <cell r="C1436">
            <v>19.45</v>
          </cell>
          <cell r="D1436">
            <v>10</v>
          </cell>
          <cell r="E1436">
            <v>0</v>
          </cell>
          <cell r="F1436">
            <v>194.5</v>
          </cell>
        </row>
        <row r="1437">
          <cell r="A1437">
            <v>10796</v>
          </cell>
          <cell r="B1437">
            <v>64</v>
          </cell>
          <cell r="C1437">
            <v>33.25</v>
          </cell>
          <cell r="D1437">
            <v>35</v>
          </cell>
          <cell r="E1437">
            <v>0.20000000298023224</v>
          </cell>
          <cell r="F1437">
            <v>930.99999653175473</v>
          </cell>
        </row>
        <row r="1438">
          <cell r="A1438">
            <v>10796</v>
          </cell>
          <cell r="B1438">
            <v>69</v>
          </cell>
          <cell r="C1438">
            <v>36</v>
          </cell>
          <cell r="D1438">
            <v>24</v>
          </cell>
          <cell r="E1438">
            <v>0.20000000298023224</v>
          </cell>
          <cell r="F1438">
            <v>691.19999742507935</v>
          </cell>
        </row>
        <row r="1439">
          <cell r="A1439">
            <v>10797</v>
          </cell>
          <cell r="B1439">
            <v>11</v>
          </cell>
          <cell r="C1439">
            <v>21</v>
          </cell>
          <cell r="D1439">
            <v>20</v>
          </cell>
          <cell r="E1439">
            <v>0</v>
          </cell>
          <cell r="F1439">
            <v>420</v>
          </cell>
        </row>
        <row r="1440">
          <cell r="A1440">
            <v>10798</v>
          </cell>
          <cell r="B1440">
            <v>62</v>
          </cell>
          <cell r="C1440">
            <v>49.3</v>
          </cell>
          <cell r="D1440">
            <v>2</v>
          </cell>
          <cell r="E1440">
            <v>0</v>
          </cell>
          <cell r="F1440">
            <v>98.6</v>
          </cell>
        </row>
        <row r="1441">
          <cell r="A1441">
            <v>10798</v>
          </cell>
          <cell r="B1441">
            <v>72</v>
          </cell>
          <cell r="C1441">
            <v>34.799999999999997</v>
          </cell>
          <cell r="D1441">
            <v>10</v>
          </cell>
          <cell r="E1441">
            <v>0</v>
          </cell>
          <cell r="F1441">
            <v>348</v>
          </cell>
        </row>
        <row r="1442">
          <cell r="A1442">
            <v>10799</v>
          </cell>
          <cell r="B1442">
            <v>13</v>
          </cell>
          <cell r="C1442">
            <v>6</v>
          </cell>
          <cell r="D1442">
            <v>20</v>
          </cell>
          <cell r="E1442">
            <v>0.15000000596046448</v>
          </cell>
          <cell r="F1442">
            <v>101.99999928474426</v>
          </cell>
        </row>
        <row r="1443">
          <cell r="A1443">
            <v>10799</v>
          </cell>
          <cell r="B1443">
            <v>24</v>
          </cell>
          <cell r="C1443">
            <v>4.5</v>
          </cell>
          <cell r="D1443">
            <v>20</v>
          </cell>
          <cell r="E1443">
            <v>0.15000000596046448</v>
          </cell>
          <cell r="F1443">
            <v>76.499999463558197</v>
          </cell>
        </row>
        <row r="1444">
          <cell r="A1444">
            <v>10799</v>
          </cell>
          <cell r="B1444">
            <v>59</v>
          </cell>
          <cell r="C1444">
            <v>55</v>
          </cell>
          <cell r="D1444">
            <v>25</v>
          </cell>
          <cell r="E1444">
            <v>0</v>
          </cell>
          <cell r="F1444">
            <v>1375</v>
          </cell>
        </row>
        <row r="1445">
          <cell r="A1445">
            <v>10800</v>
          </cell>
          <cell r="B1445">
            <v>11</v>
          </cell>
          <cell r="C1445">
            <v>21</v>
          </cell>
          <cell r="D1445">
            <v>50</v>
          </cell>
          <cell r="E1445">
            <v>0.10000000149011612</v>
          </cell>
          <cell r="F1445">
            <v>944.99999843537807</v>
          </cell>
        </row>
        <row r="1446">
          <cell r="A1446">
            <v>10800</v>
          </cell>
          <cell r="B1446">
            <v>51</v>
          </cell>
          <cell r="C1446">
            <v>53</v>
          </cell>
          <cell r="D1446">
            <v>10</v>
          </cell>
          <cell r="E1446">
            <v>0.10000000149011612</v>
          </cell>
          <cell r="F1446">
            <v>476.99999921023846</v>
          </cell>
        </row>
        <row r="1447">
          <cell r="A1447">
            <v>10800</v>
          </cell>
          <cell r="B1447">
            <v>54</v>
          </cell>
          <cell r="C1447">
            <v>7.45</v>
          </cell>
          <cell r="D1447">
            <v>7</v>
          </cell>
          <cell r="E1447">
            <v>0.10000000149011612</v>
          </cell>
          <cell r="F1447">
            <v>46.934999922290444</v>
          </cell>
        </row>
        <row r="1448">
          <cell r="A1448">
            <v>10801</v>
          </cell>
          <cell r="B1448">
            <v>17</v>
          </cell>
          <cell r="C1448">
            <v>39</v>
          </cell>
          <cell r="D1448">
            <v>40</v>
          </cell>
          <cell r="E1448">
            <v>0.25</v>
          </cell>
          <cell r="F1448">
            <v>1170</v>
          </cell>
        </row>
        <row r="1449">
          <cell r="A1449">
            <v>10801</v>
          </cell>
          <cell r="B1449">
            <v>29</v>
          </cell>
          <cell r="C1449">
            <v>123.79</v>
          </cell>
          <cell r="D1449">
            <v>20</v>
          </cell>
          <cell r="E1449">
            <v>0.25</v>
          </cell>
          <cell r="F1449">
            <v>1856.8500000000001</v>
          </cell>
        </row>
        <row r="1450">
          <cell r="A1450">
            <v>10802</v>
          </cell>
          <cell r="B1450">
            <v>30</v>
          </cell>
          <cell r="C1450">
            <v>25.89</v>
          </cell>
          <cell r="D1450">
            <v>25</v>
          </cell>
          <cell r="E1450">
            <v>0.25</v>
          </cell>
          <cell r="F1450">
            <v>485.4375</v>
          </cell>
        </row>
        <row r="1451">
          <cell r="A1451">
            <v>10802</v>
          </cell>
          <cell r="B1451">
            <v>51</v>
          </cell>
          <cell r="C1451">
            <v>53</v>
          </cell>
          <cell r="D1451">
            <v>30</v>
          </cell>
          <cell r="E1451">
            <v>0.25</v>
          </cell>
          <cell r="F1451">
            <v>1192.5</v>
          </cell>
        </row>
        <row r="1452">
          <cell r="A1452">
            <v>10802</v>
          </cell>
          <cell r="B1452">
            <v>55</v>
          </cell>
          <cell r="C1452">
            <v>24</v>
          </cell>
          <cell r="D1452">
            <v>60</v>
          </cell>
          <cell r="E1452">
            <v>0.25</v>
          </cell>
          <cell r="F1452">
            <v>1080</v>
          </cell>
        </row>
        <row r="1453">
          <cell r="A1453">
            <v>10802</v>
          </cell>
          <cell r="B1453">
            <v>62</v>
          </cell>
          <cell r="C1453">
            <v>49.3</v>
          </cell>
          <cell r="D1453">
            <v>5</v>
          </cell>
          <cell r="E1453">
            <v>0.25</v>
          </cell>
          <cell r="F1453">
            <v>184.875</v>
          </cell>
        </row>
        <row r="1454">
          <cell r="A1454">
            <v>10803</v>
          </cell>
          <cell r="B1454">
            <v>19</v>
          </cell>
          <cell r="C1454">
            <v>9.1999999999999993</v>
          </cell>
          <cell r="D1454">
            <v>24</v>
          </cell>
          <cell r="E1454">
            <v>5.000000074505806E-2</v>
          </cell>
          <cell r="F1454">
            <v>209.75999983549116</v>
          </cell>
        </row>
        <row r="1455">
          <cell r="A1455">
            <v>10803</v>
          </cell>
          <cell r="B1455">
            <v>25</v>
          </cell>
          <cell r="C1455">
            <v>14</v>
          </cell>
          <cell r="D1455">
            <v>15</v>
          </cell>
          <cell r="E1455">
            <v>5.000000074505806E-2</v>
          </cell>
          <cell r="F1455">
            <v>199.49999984353781</v>
          </cell>
        </row>
        <row r="1456">
          <cell r="A1456">
            <v>10803</v>
          </cell>
          <cell r="B1456">
            <v>59</v>
          </cell>
          <cell r="C1456">
            <v>55</v>
          </cell>
          <cell r="D1456">
            <v>15</v>
          </cell>
          <cell r="E1456">
            <v>5.000000074505806E-2</v>
          </cell>
          <cell r="F1456">
            <v>783.7499993853271</v>
          </cell>
        </row>
        <row r="1457">
          <cell r="A1457">
            <v>10804</v>
          </cell>
          <cell r="B1457">
            <v>10</v>
          </cell>
          <cell r="C1457">
            <v>31</v>
          </cell>
          <cell r="D1457">
            <v>36</v>
          </cell>
          <cell r="E1457">
            <v>0</v>
          </cell>
          <cell r="F1457">
            <v>1116</v>
          </cell>
        </row>
        <row r="1458">
          <cell r="A1458">
            <v>10804</v>
          </cell>
          <cell r="B1458">
            <v>28</v>
          </cell>
          <cell r="C1458">
            <v>45.6</v>
          </cell>
          <cell r="D1458">
            <v>24</v>
          </cell>
          <cell r="E1458">
            <v>0</v>
          </cell>
          <cell r="F1458">
            <v>1094.4000000000001</v>
          </cell>
        </row>
        <row r="1459">
          <cell r="A1459">
            <v>10804</v>
          </cell>
          <cell r="B1459">
            <v>49</v>
          </cell>
          <cell r="C1459">
            <v>20</v>
          </cell>
          <cell r="D1459">
            <v>4</v>
          </cell>
          <cell r="E1459">
            <v>0.15000000596046448</v>
          </cell>
          <cell r="F1459">
            <v>67.999999523162842</v>
          </cell>
        </row>
        <row r="1460">
          <cell r="A1460">
            <v>10805</v>
          </cell>
          <cell r="B1460">
            <v>34</v>
          </cell>
          <cell r="C1460">
            <v>14</v>
          </cell>
          <cell r="D1460">
            <v>10</v>
          </cell>
          <cell r="E1460">
            <v>0</v>
          </cell>
          <cell r="F1460">
            <v>140</v>
          </cell>
        </row>
        <row r="1461">
          <cell r="A1461">
            <v>10805</v>
          </cell>
          <cell r="B1461">
            <v>38</v>
          </cell>
          <cell r="C1461">
            <v>263.5</v>
          </cell>
          <cell r="D1461">
            <v>10</v>
          </cell>
          <cell r="E1461">
            <v>0</v>
          </cell>
          <cell r="F1461">
            <v>2635</v>
          </cell>
        </row>
        <row r="1462">
          <cell r="A1462">
            <v>10806</v>
          </cell>
          <cell r="B1462">
            <v>2</v>
          </cell>
          <cell r="C1462">
            <v>19</v>
          </cell>
          <cell r="D1462">
            <v>20</v>
          </cell>
          <cell r="E1462">
            <v>0.25</v>
          </cell>
          <cell r="F1462">
            <v>285</v>
          </cell>
        </row>
        <row r="1463">
          <cell r="A1463">
            <v>10806</v>
          </cell>
          <cell r="B1463">
            <v>65</v>
          </cell>
          <cell r="C1463">
            <v>21.05</v>
          </cell>
          <cell r="D1463">
            <v>2</v>
          </cell>
          <cell r="E1463">
            <v>0</v>
          </cell>
          <cell r="F1463">
            <v>42.1</v>
          </cell>
        </row>
        <row r="1464">
          <cell r="A1464">
            <v>10806</v>
          </cell>
          <cell r="B1464">
            <v>74</v>
          </cell>
          <cell r="C1464">
            <v>10</v>
          </cell>
          <cell r="D1464">
            <v>15</v>
          </cell>
          <cell r="E1464">
            <v>0.25</v>
          </cell>
          <cell r="F1464">
            <v>112.5</v>
          </cell>
        </row>
        <row r="1465">
          <cell r="A1465">
            <v>10807</v>
          </cell>
          <cell r="B1465">
            <v>40</v>
          </cell>
          <cell r="C1465">
            <v>18.399999999999999</v>
          </cell>
          <cell r="D1465">
            <v>1</v>
          </cell>
          <cell r="E1465">
            <v>0</v>
          </cell>
          <cell r="F1465">
            <v>18.399999999999999</v>
          </cell>
        </row>
        <row r="1466">
          <cell r="A1466">
            <v>10808</v>
          </cell>
          <cell r="B1466">
            <v>56</v>
          </cell>
          <cell r="C1466">
            <v>38</v>
          </cell>
          <cell r="D1466">
            <v>20</v>
          </cell>
          <cell r="E1466">
            <v>0.15000000596046448</v>
          </cell>
          <cell r="F1466">
            <v>645.999995470047</v>
          </cell>
        </row>
        <row r="1467">
          <cell r="A1467">
            <v>10808</v>
          </cell>
          <cell r="B1467">
            <v>76</v>
          </cell>
          <cell r="C1467">
            <v>18</v>
          </cell>
          <cell r="D1467">
            <v>50</v>
          </cell>
          <cell r="E1467">
            <v>0.15000000596046448</v>
          </cell>
          <cell r="F1467">
            <v>764.99999463558197</v>
          </cell>
        </row>
        <row r="1468">
          <cell r="A1468">
            <v>10809</v>
          </cell>
          <cell r="B1468">
            <v>52</v>
          </cell>
          <cell r="C1468">
            <v>7</v>
          </cell>
          <cell r="D1468">
            <v>20</v>
          </cell>
          <cell r="E1468">
            <v>0</v>
          </cell>
          <cell r="F1468">
            <v>140</v>
          </cell>
        </row>
        <row r="1469">
          <cell r="A1469">
            <v>10810</v>
          </cell>
          <cell r="B1469">
            <v>13</v>
          </cell>
          <cell r="C1469">
            <v>6</v>
          </cell>
          <cell r="D1469">
            <v>7</v>
          </cell>
          <cell r="E1469">
            <v>0</v>
          </cell>
          <cell r="F1469">
            <v>42</v>
          </cell>
        </row>
        <row r="1470">
          <cell r="A1470">
            <v>10810</v>
          </cell>
          <cell r="B1470">
            <v>25</v>
          </cell>
          <cell r="C1470">
            <v>14</v>
          </cell>
          <cell r="D1470">
            <v>5</v>
          </cell>
          <cell r="E1470">
            <v>0</v>
          </cell>
          <cell r="F1470">
            <v>70</v>
          </cell>
        </row>
        <row r="1471">
          <cell r="A1471">
            <v>10810</v>
          </cell>
          <cell r="B1471">
            <v>70</v>
          </cell>
          <cell r="C1471">
            <v>15</v>
          </cell>
          <cell r="D1471">
            <v>5</v>
          </cell>
          <cell r="E1471">
            <v>0</v>
          </cell>
          <cell r="F1471">
            <v>75</v>
          </cell>
        </row>
        <row r="1472">
          <cell r="A1472">
            <v>10811</v>
          </cell>
          <cell r="B1472">
            <v>19</v>
          </cell>
          <cell r="C1472">
            <v>9.1999999999999993</v>
          </cell>
          <cell r="D1472">
            <v>15</v>
          </cell>
          <cell r="E1472">
            <v>0</v>
          </cell>
          <cell r="F1472">
            <v>138</v>
          </cell>
        </row>
        <row r="1473">
          <cell r="A1473">
            <v>10811</v>
          </cell>
          <cell r="B1473">
            <v>23</v>
          </cell>
          <cell r="C1473">
            <v>9</v>
          </cell>
          <cell r="D1473">
            <v>18</v>
          </cell>
          <cell r="E1473">
            <v>0</v>
          </cell>
          <cell r="F1473">
            <v>162</v>
          </cell>
        </row>
        <row r="1474">
          <cell r="A1474">
            <v>10811</v>
          </cell>
          <cell r="B1474">
            <v>40</v>
          </cell>
          <cell r="C1474">
            <v>18.399999999999999</v>
          </cell>
          <cell r="D1474">
            <v>30</v>
          </cell>
          <cell r="E1474">
            <v>0</v>
          </cell>
          <cell r="F1474">
            <v>552</v>
          </cell>
        </row>
        <row r="1475">
          <cell r="A1475">
            <v>10812</v>
          </cell>
          <cell r="B1475">
            <v>31</v>
          </cell>
          <cell r="C1475">
            <v>12.5</v>
          </cell>
          <cell r="D1475">
            <v>16</v>
          </cell>
          <cell r="E1475">
            <v>0.10000000149011612</v>
          </cell>
          <cell r="F1475">
            <v>179.99999970197678</v>
          </cell>
        </row>
        <row r="1476">
          <cell r="A1476">
            <v>10812</v>
          </cell>
          <cell r="B1476">
            <v>72</v>
          </cell>
          <cell r="C1476">
            <v>34.799999999999997</v>
          </cell>
          <cell r="D1476">
            <v>40</v>
          </cell>
          <cell r="E1476">
            <v>0.10000000149011612</v>
          </cell>
          <cell r="F1476">
            <v>1252.7999979257584</v>
          </cell>
        </row>
        <row r="1477">
          <cell r="A1477">
            <v>10812</v>
          </cell>
          <cell r="B1477">
            <v>77</v>
          </cell>
          <cell r="C1477">
            <v>13</v>
          </cell>
          <cell r="D1477">
            <v>20</v>
          </cell>
          <cell r="E1477">
            <v>0</v>
          </cell>
          <cell r="F1477">
            <v>260</v>
          </cell>
        </row>
        <row r="1478">
          <cell r="A1478">
            <v>10813</v>
          </cell>
          <cell r="B1478">
            <v>2</v>
          </cell>
          <cell r="C1478">
            <v>19</v>
          </cell>
          <cell r="D1478">
            <v>12</v>
          </cell>
          <cell r="E1478">
            <v>0.20000000298023224</v>
          </cell>
          <cell r="F1478">
            <v>182.39999932050705</v>
          </cell>
        </row>
        <row r="1479">
          <cell r="A1479">
            <v>10813</v>
          </cell>
          <cell r="B1479">
            <v>46</v>
          </cell>
          <cell r="C1479">
            <v>12</v>
          </cell>
          <cell r="D1479">
            <v>35</v>
          </cell>
          <cell r="E1479">
            <v>0</v>
          </cell>
          <cell r="F1479">
            <v>420</v>
          </cell>
        </row>
        <row r="1480">
          <cell r="A1480">
            <v>10814</v>
          </cell>
          <cell r="B1480">
            <v>41</v>
          </cell>
          <cell r="C1480">
            <v>9.65</v>
          </cell>
          <cell r="D1480">
            <v>20</v>
          </cell>
          <cell r="E1480">
            <v>0</v>
          </cell>
          <cell r="F1480">
            <v>193</v>
          </cell>
        </row>
        <row r="1481">
          <cell r="A1481">
            <v>10814</v>
          </cell>
          <cell r="B1481">
            <v>43</v>
          </cell>
          <cell r="C1481">
            <v>46</v>
          </cell>
          <cell r="D1481">
            <v>20</v>
          </cell>
          <cell r="E1481">
            <v>0.15000000596046448</v>
          </cell>
          <cell r="F1481">
            <v>781.99999451637268</v>
          </cell>
        </row>
        <row r="1482">
          <cell r="A1482">
            <v>10814</v>
          </cell>
          <cell r="B1482">
            <v>48</v>
          </cell>
          <cell r="C1482">
            <v>12.75</v>
          </cell>
          <cell r="D1482">
            <v>8</v>
          </cell>
          <cell r="E1482">
            <v>0.15000000596046448</v>
          </cell>
          <cell r="F1482">
            <v>86.699999392032623</v>
          </cell>
        </row>
        <row r="1483">
          <cell r="A1483">
            <v>10814</v>
          </cell>
          <cell r="B1483">
            <v>61</v>
          </cell>
          <cell r="C1483">
            <v>28.5</v>
          </cell>
          <cell r="D1483">
            <v>30</v>
          </cell>
          <cell r="E1483">
            <v>0.15000000596046448</v>
          </cell>
          <cell r="F1483">
            <v>726.74999490380287</v>
          </cell>
        </row>
        <row r="1484">
          <cell r="A1484">
            <v>10815</v>
          </cell>
          <cell r="B1484">
            <v>33</v>
          </cell>
          <cell r="C1484">
            <v>2.5</v>
          </cell>
          <cell r="D1484">
            <v>16</v>
          </cell>
          <cell r="E1484">
            <v>0</v>
          </cell>
          <cell r="F1484">
            <v>40</v>
          </cell>
        </row>
        <row r="1485">
          <cell r="A1485">
            <v>10816</v>
          </cell>
          <cell r="B1485">
            <v>38</v>
          </cell>
          <cell r="C1485">
            <v>263.5</v>
          </cell>
          <cell r="D1485">
            <v>30</v>
          </cell>
          <cell r="E1485">
            <v>5.000000074505806E-2</v>
          </cell>
          <cell r="F1485">
            <v>7509.749994110316</v>
          </cell>
        </row>
        <row r="1486">
          <cell r="A1486">
            <v>10816</v>
          </cell>
          <cell r="B1486">
            <v>62</v>
          </cell>
          <cell r="C1486">
            <v>49.3</v>
          </cell>
          <cell r="D1486">
            <v>20</v>
          </cell>
          <cell r="E1486">
            <v>5.000000074505806E-2</v>
          </cell>
          <cell r="F1486">
            <v>936.69999926537275</v>
          </cell>
        </row>
        <row r="1487">
          <cell r="A1487">
            <v>10817</v>
          </cell>
          <cell r="B1487">
            <v>26</v>
          </cell>
          <cell r="C1487">
            <v>31.23</v>
          </cell>
          <cell r="D1487">
            <v>40</v>
          </cell>
          <cell r="E1487">
            <v>0.15000000596046448</v>
          </cell>
          <cell r="F1487">
            <v>1061.8199925541878</v>
          </cell>
        </row>
        <row r="1488">
          <cell r="A1488">
            <v>10817</v>
          </cell>
          <cell r="B1488">
            <v>38</v>
          </cell>
          <cell r="C1488">
            <v>263.5</v>
          </cell>
          <cell r="D1488">
            <v>30</v>
          </cell>
          <cell r="E1488">
            <v>0</v>
          </cell>
          <cell r="F1488">
            <v>7905</v>
          </cell>
        </row>
        <row r="1489">
          <cell r="A1489">
            <v>10817</v>
          </cell>
          <cell r="B1489">
            <v>40</v>
          </cell>
          <cell r="C1489">
            <v>18.399999999999999</v>
          </cell>
          <cell r="D1489">
            <v>60</v>
          </cell>
          <cell r="E1489">
            <v>0.15000000596046448</v>
          </cell>
          <cell r="F1489">
            <v>938.39999341964722</v>
          </cell>
        </row>
        <row r="1490">
          <cell r="A1490">
            <v>10817</v>
          </cell>
          <cell r="B1490">
            <v>62</v>
          </cell>
          <cell r="C1490">
            <v>49.3</v>
          </cell>
          <cell r="D1490">
            <v>25</v>
          </cell>
          <cell r="E1490">
            <v>0.15000000596046448</v>
          </cell>
          <cell r="F1490">
            <v>1047.6249926537275</v>
          </cell>
        </row>
        <row r="1491">
          <cell r="A1491">
            <v>10818</v>
          </cell>
          <cell r="B1491">
            <v>32</v>
          </cell>
          <cell r="C1491">
            <v>32</v>
          </cell>
          <cell r="D1491">
            <v>20</v>
          </cell>
          <cell r="E1491">
            <v>0</v>
          </cell>
          <cell r="F1491">
            <v>640</v>
          </cell>
        </row>
        <row r="1492">
          <cell r="A1492">
            <v>10818</v>
          </cell>
          <cell r="B1492">
            <v>41</v>
          </cell>
          <cell r="C1492">
            <v>9.65</v>
          </cell>
          <cell r="D1492">
            <v>20</v>
          </cell>
          <cell r="E1492">
            <v>0</v>
          </cell>
          <cell r="F1492">
            <v>193</v>
          </cell>
        </row>
        <row r="1493">
          <cell r="A1493">
            <v>10819</v>
          </cell>
          <cell r="B1493">
            <v>43</v>
          </cell>
          <cell r="C1493">
            <v>46</v>
          </cell>
          <cell r="D1493">
            <v>7</v>
          </cell>
          <cell r="E1493">
            <v>0</v>
          </cell>
          <cell r="F1493">
            <v>322</v>
          </cell>
        </row>
        <row r="1494">
          <cell r="A1494">
            <v>10819</v>
          </cell>
          <cell r="B1494">
            <v>75</v>
          </cell>
          <cell r="C1494">
            <v>7.75</v>
          </cell>
          <cell r="D1494">
            <v>20</v>
          </cell>
          <cell r="E1494">
            <v>0</v>
          </cell>
          <cell r="F1494">
            <v>155</v>
          </cell>
        </row>
        <row r="1495">
          <cell r="A1495">
            <v>10820</v>
          </cell>
          <cell r="B1495">
            <v>56</v>
          </cell>
          <cell r="C1495">
            <v>38</v>
          </cell>
          <cell r="D1495">
            <v>30</v>
          </cell>
          <cell r="E1495">
            <v>0</v>
          </cell>
          <cell r="F1495">
            <v>1140</v>
          </cell>
        </row>
        <row r="1496">
          <cell r="A1496">
            <v>10821</v>
          </cell>
          <cell r="B1496">
            <v>35</v>
          </cell>
          <cell r="C1496">
            <v>18</v>
          </cell>
          <cell r="D1496">
            <v>20</v>
          </cell>
          <cell r="E1496">
            <v>0</v>
          </cell>
          <cell r="F1496">
            <v>360</v>
          </cell>
        </row>
        <row r="1497">
          <cell r="A1497">
            <v>10821</v>
          </cell>
          <cell r="B1497">
            <v>51</v>
          </cell>
          <cell r="C1497">
            <v>53</v>
          </cell>
          <cell r="D1497">
            <v>6</v>
          </cell>
          <cell r="E1497">
            <v>0</v>
          </cell>
          <cell r="F1497">
            <v>318</v>
          </cell>
        </row>
        <row r="1498">
          <cell r="A1498">
            <v>10822</v>
          </cell>
          <cell r="B1498">
            <v>62</v>
          </cell>
          <cell r="C1498">
            <v>49.3</v>
          </cell>
          <cell r="D1498">
            <v>3</v>
          </cell>
          <cell r="E1498">
            <v>0</v>
          </cell>
          <cell r="F1498">
            <v>147.89999999999998</v>
          </cell>
        </row>
        <row r="1499">
          <cell r="A1499">
            <v>10822</v>
          </cell>
          <cell r="B1499">
            <v>70</v>
          </cell>
          <cell r="C1499">
            <v>15</v>
          </cell>
          <cell r="D1499">
            <v>6</v>
          </cell>
          <cell r="E1499">
            <v>0</v>
          </cell>
          <cell r="F1499">
            <v>90</v>
          </cell>
        </row>
        <row r="1500">
          <cell r="A1500">
            <v>10823</v>
          </cell>
          <cell r="B1500">
            <v>11</v>
          </cell>
          <cell r="C1500">
            <v>21</v>
          </cell>
          <cell r="D1500">
            <v>20</v>
          </cell>
          <cell r="E1500">
            <v>0.10000000149011612</v>
          </cell>
          <cell r="F1500">
            <v>377.99999937415123</v>
          </cell>
        </row>
        <row r="1501">
          <cell r="A1501">
            <v>10823</v>
          </cell>
          <cell r="B1501">
            <v>57</v>
          </cell>
          <cell r="C1501">
            <v>19.5</v>
          </cell>
          <cell r="D1501">
            <v>15</v>
          </cell>
          <cell r="E1501">
            <v>0</v>
          </cell>
          <cell r="F1501">
            <v>292.5</v>
          </cell>
        </row>
        <row r="1502">
          <cell r="A1502">
            <v>10823</v>
          </cell>
          <cell r="B1502">
            <v>59</v>
          </cell>
          <cell r="C1502">
            <v>55</v>
          </cell>
          <cell r="D1502">
            <v>40</v>
          </cell>
          <cell r="E1502">
            <v>0.10000000149011612</v>
          </cell>
          <cell r="F1502">
            <v>1979.9999967217445</v>
          </cell>
        </row>
        <row r="1503">
          <cell r="A1503">
            <v>10823</v>
          </cell>
          <cell r="B1503">
            <v>77</v>
          </cell>
          <cell r="C1503">
            <v>13</v>
          </cell>
          <cell r="D1503">
            <v>15</v>
          </cell>
          <cell r="E1503">
            <v>0.10000000149011612</v>
          </cell>
          <cell r="F1503">
            <v>175.49999970942736</v>
          </cell>
        </row>
        <row r="1504">
          <cell r="A1504">
            <v>10824</v>
          </cell>
          <cell r="B1504">
            <v>41</v>
          </cell>
          <cell r="C1504">
            <v>9.65</v>
          </cell>
          <cell r="D1504">
            <v>12</v>
          </cell>
          <cell r="E1504">
            <v>0</v>
          </cell>
          <cell r="F1504">
            <v>115.80000000000001</v>
          </cell>
        </row>
        <row r="1505">
          <cell r="A1505">
            <v>10824</v>
          </cell>
          <cell r="B1505">
            <v>70</v>
          </cell>
          <cell r="C1505">
            <v>15</v>
          </cell>
          <cell r="D1505">
            <v>9</v>
          </cell>
          <cell r="E1505">
            <v>0</v>
          </cell>
          <cell r="F1505">
            <v>135</v>
          </cell>
        </row>
        <row r="1506">
          <cell r="A1506">
            <v>10825</v>
          </cell>
          <cell r="B1506">
            <v>26</v>
          </cell>
          <cell r="C1506">
            <v>31.23</v>
          </cell>
          <cell r="D1506">
            <v>12</v>
          </cell>
          <cell r="E1506">
            <v>0</v>
          </cell>
          <cell r="F1506">
            <v>374.76</v>
          </cell>
        </row>
        <row r="1507">
          <cell r="A1507">
            <v>10825</v>
          </cell>
          <cell r="B1507">
            <v>53</v>
          </cell>
          <cell r="C1507">
            <v>32.799999999999997</v>
          </cell>
          <cell r="D1507">
            <v>20</v>
          </cell>
          <cell r="E1507">
            <v>0</v>
          </cell>
          <cell r="F1507">
            <v>656</v>
          </cell>
        </row>
        <row r="1508">
          <cell r="A1508">
            <v>10826</v>
          </cell>
          <cell r="B1508">
            <v>31</v>
          </cell>
          <cell r="C1508">
            <v>12.5</v>
          </cell>
          <cell r="D1508">
            <v>35</v>
          </cell>
          <cell r="E1508">
            <v>0</v>
          </cell>
          <cell r="F1508">
            <v>437.5</v>
          </cell>
        </row>
        <row r="1509">
          <cell r="A1509">
            <v>10826</v>
          </cell>
          <cell r="B1509">
            <v>57</v>
          </cell>
          <cell r="C1509">
            <v>19.5</v>
          </cell>
          <cell r="D1509">
            <v>15</v>
          </cell>
          <cell r="E1509">
            <v>0</v>
          </cell>
          <cell r="F1509">
            <v>292.5</v>
          </cell>
        </row>
        <row r="1510">
          <cell r="A1510">
            <v>10827</v>
          </cell>
          <cell r="B1510">
            <v>10</v>
          </cell>
          <cell r="C1510">
            <v>31</v>
          </cell>
          <cell r="D1510">
            <v>15</v>
          </cell>
          <cell r="E1510">
            <v>0</v>
          </cell>
          <cell r="F1510">
            <v>465</v>
          </cell>
        </row>
        <row r="1511">
          <cell r="A1511">
            <v>10827</v>
          </cell>
          <cell r="B1511">
            <v>39</v>
          </cell>
          <cell r="C1511">
            <v>18</v>
          </cell>
          <cell r="D1511">
            <v>21</v>
          </cell>
          <cell r="E1511">
            <v>0</v>
          </cell>
          <cell r="F1511">
            <v>378</v>
          </cell>
        </row>
        <row r="1512">
          <cell r="A1512">
            <v>10828</v>
          </cell>
          <cell r="B1512">
            <v>20</v>
          </cell>
          <cell r="C1512">
            <v>81</v>
          </cell>
          <cell r="D1512">
            <v>5</v>
          </cell>
          <cell r="E1512">
            <v>0</v>
          </cell>
          <cell r="F1512">
            <v>405</v>
          </cell>
        </row>
        <row r="1513">
          <cell r="A1513">
            <v>10828</v>
          </cell>
          <cell r="B1513">
            <v>38</v>
          </cell>
          <cell r="C1513">
            <v>263.5</v>
          </cell>
          <cell r="D1513">
            <v>2</v>
          </cell>
          <cell r="E1513">
            <v>0</v>
          </cell>
          <cell r="F1513">
            <v>527</v>
          </cell>
        </row>
        <row r="1514">
          <cell r="A1514">
            <v>10829</v>
          </cell>
          <cell r="B1514">
            <v>2</v>
          </cell>
          <cell r="C1514">
            <v>19</v>
          </cell>
          <cell r="D1514">
            <v>10</v>
          </cell>
          <cell r="E1514">
            <v>0</v>
          </cell>
          <cell r="F1514">
            <v>190</v>
          </cell>
        </row>
        <row r="1515">
          <cell r="A1515">
            <v>10829</v>
          </cell>
          <cell r="B1515">
            <v>8</v>
          </cell>
          <cell r="C1515">
            <v>40</v>
          </cell>
          <cell r="D1515">
            <v>20</v>
          </cell>
          <cell r="E1515">
            <v>0</v>
          </cell>
          <cell r="F1515">
            <v>800</v>
          </cell>
        </row>
        <row r="1516">
          <cell r="A1516">
            <v>10829</v>
          </cell>
          <cell r="B1516">
            <v>13</v>
          </cell>
          <cell r="C1516">
            <v>6</v>
          </cell>
          <cell r="D1516">
            <v>10</v>
          </cell>
          <cell r="E1516">
            <v>0</v>
          </cell>
          <cell r="F1516">
            <v>60</v>
          </cell>
        </row>
        <row r="1517">
          <cell r="A1517">
            <v>10829</v>
          </cell>
          <cell r="B1517">
            <v>60</v>
          </cell>
          <cell r="C1517">
            <v>34</v>
          </cell>
          <cell r="D1517">
            <v>21</v>
          </cell>
          <cell r="E1517">
            <v>0</v>
          </cell>
          <cell r="F1517">
            <v>714</v>
          </cell>
        </row>
        <row r="1518">
          <cell r="A1518">
            <v>10830</v>
          </cell>
          <cell r="B1518">
            <v>6</v>
          </cell>
          <cell r="C1518">
            <v>25</v>
          </cell>
          <cell r="D1518">
            <v>6</v>
          </cell>
          <cell r="E1518">
            <v>0</v>
          </cell>
          <cell r="F1518">
            <v>150</v>
          </cell>
        </row>
        <row r="1519">
          <cell r="A1519">
            <v>10830</v>
          </cell>
          <cell r="B1519">
            <v>39</v>
          </cell>
          <cell r="C1519">
            <v>18</v>
          </cell>
          <cell r="D1519">
            <v>28</v>
          </cell>
          <cell r="E1519">
            <v>0</v>
          </cell>
          <cell r="F1519">
            <v>504</v>
          </cell>
        </row>
        <row r="1520">
          <cell r="A1520">
            <v>10830</v>
          </cell>
          <cell r="B1520">
            <v>60</v>
          </cell>
          <cell r="C1520">
            <v>34</v>
          </cell>
          <cell r="D1520">
            <v>30</v>
          </cell>
          <cell r="E1520">
            <v>0</v>
          </cell>
          <cell r="F1520">
            <v>1020</v>
          </cell>
        </row>
        <row r="1521">
          <cell r="A1521">
            <v>10830</v>
          </cell>
          <cell r="B1521">
            <v>68</v>
          </cell>
          <cell r="C1521">
            <v>12.5</v>
          </cell>
          <cell r="D1521">
            <v>24</v>
          </cell>
          <cell r="E1521">
            <v>0</v>
          </cell>
          <cell r="F1521">
            <v>300</v>
          </cell>
        </row>
        <row r="1522">
          <cell r="A1522">
            <v>10831</v>
          </cell>
          <cell r="B1522">
            <v>19</v>
          </cell>
          <cell r="C1522">
            <v>9.1999999999999993</v>
          </cell>
          <cell r="D1522">
            <v>2</v>
          </cell>
          <cell r="E1522">
            <v>0</v>
          </cell>
          <cell r="F1522">
            <v>18.399999999999999</v>
          </cell>
        </row>
        <row r="1523">
          <cell r="A1523">
            <v>10831</v>
          </cell>
          <cell r="B1523">
            <v>35</v>
          </cell>
          <cell r="C1523">
            <v>18</v>
          </cell>
          <cell r="D1523">
            <v>8</v>
          </cell>
          <cell r="E1523">
            <v>0</v>
          </cell>
          <cell r="F1523">
            <v>144</v>
          </cell>
        </row>
        <row r="1524">
          <cell r="A1524">
            <v>10831</v>
          </cell>
          <cell r="B1524">
            <v>38</v>
          </cell>
          <cell r="C1524">
            <v>263.5</v>
          </cell>
          <cell r="D1524">
            <v>8</v>
          </cell>
          <cell r="E1524">
            <v>0</v>
          </cell>
          <cell r="F1524">
            <v>2108</v>
          </cell>
        </row>
        <row r="1525">
          <cell r="A1525">
            <v>10831</v>
          </cell>
          <cell r="B1525">
            <v>43</v>
          </cell>
          <cell r="C1525">
            <v>46</v>
          </cell>
          <cell r="D1525">
            <v>9</v>
          </cell>
          <cell r="E1525">
            <v>0</v>
          </cell>
          <cell r="F1525">
            <v>414</v>
          </cell>
        </row>
        <row r="1526">
          <cell r="A1526">
            <v>10832</v>
          </cell>
          <cell r="B1526">
            <v>13</v>
          </cell>
          <cell r="C1526">
            <v>6</v>
          </cell>
          <cell r="D1526">
            <v>3</v>
          </cell>
          <cell r="E1526">
            <v>0.20000000298023224</v>
          </cell>
          <cell r="F1526">
            <v>14.39999994635582</v>
          </cell>
        </row>
        <row r="1527">
          <cell r="A1527">
            <v>10832</v>
          </cell>
          <cell r="B1527">
            <v>25</v>
          </cell>
          <cell r="C1527">
            <v>14</v>
          </cell>
          <cell r="D1527">
            <v>10</v>
          </cell>
          <cell r="E1527">
            <v>0.20000000298023224</v>
          </cell>
          <cell r="F1527">
            <v>111.99999958276749</v>
          </cell>
        </row>
        <row r="1528">
          <cell r="A1528">
            <v>10832</v>
          </cell>
          <cell r="B1528">
            <v>44</v>
          </cell>
          <cell r="C1528">
            <v>19.45</v>
          </cell>
          <cell r="D1528">
            <v>16</v>
          </cell>
          <cell r="E1528">
            <v>0.20000000298023224</v>
          </cell>
          <cell r="F1528">
            <v>248.95999907255171</v>
          </cell>
        </row>
        <row r="1529">
          <cell r="A1529">
            <v>10832</v>
          </cell>
          <cell r="B1529">
            <v>64</v>
          </cell>
          <cell r="C1529">
            <v>33.25</v>
          </cell>
          <cell r="D1529">
            <v>3</v>
          </cell>
          <cell r="E1529">
            <v>0</v>
          </cell>
          <cell r="F1529">
            <v>99.75</v>
          </cell>
        </row>
        <row r="1530">
          <cell r="A1530">
            <v>10833</v>
          </cell>
          <cell r="B1530">
            <v>7</v>
          </cell>
          <cell r="C1530">
            <v>30</v>
          </cell>
          <cell r="D1530">
            <v>20</v>
          </cell>
          <cell r="E1530">
            <v>0.10000000149011612</v>
          </cell>
          <cell r="F1530">
            <v>539.99999910593033</v>
          </cell>
        </row>
        <row r="1531">
          <cell r="A1531">
            <v>10833</v>
          </cell>
          <cell r="B1531">
            <v>31</v>
          </cell>
          <cell r="C1531">
            <v>12.5</v>
          </cell>
          <cell r="D1531">
            <v>9</v>
          </cell>
          <cell r="E1531">
            <v>0.10000000149011612</v>
          </cell>
          <cell r="F1531">
            <v>101.24999983236194</v>
          </cell>
        </row>
        <row r="1532">
          <cell r="A1532">
            <v>10833</v>
          </cell>
          <cell r="B1532">
            <v>53</v>
          </cell>
          <cell r="C1532">
            <v>32.799999999999997</v>
          </cell>
          <cell r="D1532">
            <v>9</v>
          </cell>
          <cell r="E1532">
            <v>0.10000000149011612</v>
          </cell>
          <cell r="F1532">
            <v>265.67999956011772</v>
          </cell>
        </row>
        <row r="1533">
          <cell r="A1533">
            <v>10834</v>
          </cell>
          <cell r="B1533">
            <v>29</v>
          </cell>
          <cell r="C1533">
            <v>123.79</v>
          </cell>
          <cell r="D1533">
            <v>8</v>
          </cell>
          <cell r="E1533">
            <v>5.000000074505806E-2</v>
          </cell>
          <cell r="F1533">
            <v>940.80399926215409</v>
          </cell>
        </row>
        <row r="1534">
          <cell r="A1534">
            <v>10834</v>
          </cell>
          <cell r="B1534">
            <v>30</v>
          </cell>
          <cell r="C1534">
            <v>25.89</v>
          </cell>
          <cell r="D1534">
            <v>20</v>
          </cell>
          <cell r="E1534">
            <v>5.000000074505806E-2</v>
          </cell>
          <cell r="F1534">
            <v>491.90999961420891</v>
          </cell>
        </row>
        <row r="1535">
          <cell r="A1535">
            <v>10835</v>
          </cell>
          <cell r="B1535">
            <v>59</v>
          </cell>
          <cell r="C1535">
            <v>55</v>
          </cell>
          <cell r="D1535">
            <v>15</v>
          </cell>
          <cell r="E1535">
            <v>0</v>
          </cell>
          <cell r="F1535">
            <v>825</v>
          </cell>
        </row>
        <row r="1536">
          <cell r="A1536">
            <v>10835</v>
          </cell>
          <cell r="B1536">
            <v>77</v>
          </cell>
          <cell r="C1536">
            <v>13</v>
          </cell>
          <cell r="D1536">
            <v>2</v>
          </cell>
          <cell r="E1536">
            <v>0.20000000298023224</v>
          </cell>
          <cell r="F1536">
            <v>20.799999922513962</v>
          </cell>
        </row>
        <row r="1537">
          <cell r="A1537">
            <v>10836</v>
          </cell>
          <cell r="B1537">
            <v>22</v>
          </cell>
          <cell r="C1537">
            <v>21</v>
          </cell>
          <cell r="D1537">
            <v>52</v>
          </cell>
          <cell r="E1537">
            <v>0</v>
          </cell>
          <cell r="F1537">
            <v>1092</v>
          </cell>
        </row>
        <row r="1538">
          <cell r="A1538">
            <v>10836</v>
          </cell>
          <cell r="B1538">
            <v>35</v>
          </cell>
          <cell r="C1538">
            <v>18</v>
          </cell>
          <cell r="D1538">
            <v>6</v>
          </cell>
          <cell r="E1538">
            <v>0</v>
          </cell>
          <cell r="F1538">
            <v>108</v>
          </cell>
        </row>
        <row r="1539">
          <cell r="A1539">
            <v>10836</v>
          </cell>
          <cell r="B1539">
            <v>57</v>
          </cell>
          <cell r="C1539">
            <v>19.5</v>
          </cell>
          <cell r="D1539">
            <v>24</v>
          </cell>
          <cell r="E1539">
            <v>0</v>
          </cell>
          <cell r="F1539">
            <v>468</v>
          </cell>
        </row>
        <row r="1540">
          <cell r="A1540">
            <v>10836</v>
          </cell>
          <cell r="B1540">
            <v>60</v>
          </cell>
          <cell r="C1540">
            <v>34</v>
          </cell>
          <cell r="D1540">
            <v>60</v>
          </cell>
          <cell r="E1540">
            <v>0</v>
          </cell>
          <cell r="F1540">
            <v>2040</v>
          </cell>
        </row>
        <row r="1541">
          <cell r="A1541">
            <v>10836</v>
          </cell>
          <cell r="B1541">
            <v>64</v>
          </cell>
          <cell r="C1541">
            <v>33.25</v>
          </cell>
          <cell r="D1541">
            <v>30</v>
          </cell>
          <cell r="E1541">
            <v>0</v>
          </cell>
          <cell r="F1541">
            <v>997.5</v>
          </cell>
        </row>
        <row r="1542">
          <cell r="A1542">
            <v>10837</v>
          </cell>
          <cell r="B1542">
            <v>13</v>
          </cell>
          <cell r="C1542">
            <v>6</v>
          </cell>
          <cell r="D1542">
            <v>6</v>
          </cell>
          <cell r="E1542">
            <v>0</v>
          </cell>
          <cell r="F1542">
            <v>36</v>
          </cell>
        </row>
        <row r="1543">
          <cell r="A1543">
            <v>10837</v>
          </cell>
          <cell r="B1543">
            <v>40</v>
          </cell>
          <cell r="C1543">
            <v>18.399999999999999</v>
          </cell>
          <cell r="D1543">
            <v>25</v>
          </cell>
          <cell r="E1543">
            <v>0</v>
          </cell>
          <cell r="F1543">
            <v>459.99999999999994</v>
          </cell>
        </row>
        <row r="1544">
          <cell r="A1544">
            <v>10837</v>
          </cell>
          <cell r="B1544">
            <v>47</v>
          </cell>
          <cell r="C1544">
            <v>9.5</v>
          </cell>
          <cell r="D1544">
            <v>40</v>
          </cell>
          <cell r="E1544">
            <v>0.25</v>
          </cell>
          <cell r="F1544">
            <v>285</v>
          </cell>
        </row>
        <row r="1545">
          <cell r="A1545">
            <v>10837</v>
          </cell>
          <cell r="B1545">
            <v>76</v>
          </cell>
          <cell r="C1545">
            <v>18</v>
          </cell>
          <cell r="D1545">
            <v>21</v>
          </cell>
          <cell r="E1545">
            <v>0.25</v>
          </cell>
          <cell r="F1545">
            <v>283.5</v>
          </cell>
        </row>
        <row r="1546">
          <cell r="A1546">
            <v>10838</v>
          </cell>
          <cell r="B1546">
            <v>1</v>
          </cell>
          <cell r="C1546">
            <v>18</v>
          </cell>
          <cell r="D1546">
            <v>4</v>
          </cell>
          <cell r="E1546">
            <v>0.25</v>
          </cell>
          <cell r="F1546">
            <v>54</v>
          </cell>
        </row>
        <row r="1547">
          <cell r="A1547">
            <v>10838</v>
          </cell>
          <cell r="B1547">
            <v>18</v>
          </cell>
          <cell r="C1547">
            <v>62.5</v>
          </cell>
          <cell r="D1547">
            <v>25</v>
          </cell>
          <cell r="E1547">
            <v>0.25</v>
          </cell>
          <cell r="F1547">
            <v>1171.875</v>
          </cell>
        </row>
        <row r="1548">
          <cell r="A1548">
            <v>10838</v>
          </cell>
          <cell r="B1548">
            <v>36</v>
          </cell>
          <cell r="C1548">
            <v>19</v>
          </cell>
          <cell r="D1548">
            <v>50</v>
          </cell>
          <cell r="E1548">
            <v>0.25</v>
          </cell>
          <cell r="F1548">
            <v>712.5</v>
          </cell>
        </row>
        <row r="1549">
          <cell r="A1549">
            <v>10839</v>
          </cell>
          <cell r="B1549">
            <v>58</v>
          </cell>
          <cell r="C1549">
            <v>13.25</v>
          </cell>
          <cell r="D1549">
            <v>30</v>
          </cell>
          <cell r="E1549">
            <v>0.10000000149011612</v>
          </cell>
          <cell r="F1549">
            <v>357.74999940767884</v>
          </cell>
        </row>
        <row r="1550">
          <cell r="A1550">
            <v>10839</v>
          </cell>
          <cell r="B1550">
            <v>72</v>
          </cell>
          <cell r="C1550">
            <v>34.799999999999997</v>
          </cell>
          <cell r="D1550">
            <v>15</v>
          </cell>
          <cell r="E1550">
            <v>0.10000000149011612</v>
          </cell>
          <cell r="F1550">
            <v>469.79999922215939</v>
          </cell>
        </row>
        <row r="1551">
          <cell r="A1551">
            <v>10840</v>
          </cell>
          <cell r="B1551">
            <v>25</v>
          </cell>
          <cell r="C1551">
            <v>14</v>
          </cell>
          <cell r="D1551">
            <v>6</v>
          </cell>
          <cell r="E1551">
            <v>0.20000000298023224</v>
          </cell>
          <cell r="F1551">
            <v>67.199999749660492</v>
          </cell>
        </row>
        <row r="1552">
          <cell r="A1552">
            <v>10840</v>
          </cell>
          <cell r="B1552">
            <v>39</v>
          </cell>
          <cell r="C1552">
            <v>18</v>
          </cell>
          <cell r="D1552">
            <v>10</v>
          </cell>
          <cell r="E1552">
            <v>0.20000000298023224</v>
          </cell>
          <cell r="F1552">
            <v>143.9999994635582</v>
          </cell>
        </row>
        <row r="1553">
          <cell r="A1553">
            <v>10841</v>
          </cell>
          <cell r="B1553">
            <v>10</v>
          </cell>
          <cell r="C1553">
            <v>31</v>
          </cell>
          <cell r="D1553">
            <v>16</v>
          </cell>
          <cell r="E1553">
            <v>0</v>
          </cell>
          <cell r="F1553">
            <v>496</v>
          </cell>
        </row>
        <row r="1554">
          <cell r="A1554">
            <v>10841</v>
          </cell>
          <cell r="B1554">
            <v>56</v>
          </cell>
          <cell r="C1554">
            <v>38</v>
          </cell>
          <cell r="D1554">
            <v>30</v>
          </cell>
          <cell r="E1554">
            <v>0</v>
          </cell>
          <cell r="F1554">
            <v>1140</v>
          </cell>
        </row>
        <row r="1555">
          <cell r="A1555">
            <v>10841</v>
          </cell>
          <cell r="B1555">
            <v>59</v>
          </cell>
          <cell r="C1555">
            <v>55</v>
          </cell>
          <cell r="D1555">
            <v>50</v>
          </cell>
          <cell r="E1555">
            <v>0</v>
          </cell>
          <cell r="F1555">
            <v>2750</v>
          </cell>
        </row>
        <row r="1556">
          <cell r="A1556">
            <v>10841</v>
          </cell>
          <cell r="B1556">
            <v>77</v>
          </cell>
          <cell r="C1556">
            <v>13</v>
          </cell>
          <cell r="D1556">
            <v>15</v>
          </cell>
          <cell r="E1556">
            <v>0</v>
          </cell>
          <cell r="F1556">
            <v>195</v>
          </cell>
        </row>
        <row r="1557">
          <cell r="A1557">
            <v>10842</v>
          </cell>
          <cell r="B1557">
            <v>11</v>
          </cell>
          <cell r="C1557">
            <v>21</v>
          </cell>
          <cell r="D1557">
            <v>15</v>
          </cell>
          <cell r="E1557">
            <v>0</v>
          </cell>
          <cell r="F1557">
            <v>315</v>
          </cell>
        </row>
        <row r="1558">
          <cell r="A1558">
            <v>10842</v>
          </cell>
          <cell r="B1558">
            <v>43</v>
          </cell>
          <cell r="C1558">
            <v>46</v>
          </cell>
          <cell r="D1558">
            <v>5</v>
          </cell>
          <cell r="E1558">
            <v>0</v>
          </cell>
          <cell r="F1558">
            <v>230</v>
          </cell>
        </row>
        <row r="1559">
          <cell r="A1559">
            <v>10842</v>
          </cell>
          <cell r="B1559">
            <v>68</v>
          </cell>
          <cell r="C1559">
            <v>12.5</v>
          </cell>
          <cell r="D1559">
            <v>20</v>
          </cell>
          <cell r="E1559">
            <v>0</v>
          </cell>
          <cell r="F1559">
            <v>250</v>
          </cell>
        </row>
        <row r="1560">
          <cell r="A1560">
            <v>10842</v>
          </cell>
          <cell r="B1560">
            <v>70</v>
          </cell>
          <cell r="C1560">
            <v>15</v>
          </cell>
          <cell r="D1560">
            <v>12</v>
          </cell>
          <cell r="E1560">
            <v>0</v>
          </cell>
          <cell r="F1560">
            <v>180</v>
          </cell>
        </row>
        <row r="1561">
          <cell r="A1561">
            <v>10843</v>
          </cell>
          <cell r="B1561">
            <v>51</v>
          </cell>
          <cell r="C1561">
            <v>53</v>
          </cell>
          <cell r="D1561">
            <v>4</v>
          </cell>
          <cell r="E1561">
            <v>0.25</v>
          </cell>
          <cell r="F1561">
            <v>159</v>
          </cell>
        </row>
        <row r="1562">
          <cell r="A1562">
            <v>10844</v>
          </cell>
          <cell r="B1562">
            <v>22</v>
          </cell>
          <cell r="C1562">
            <v>21</v>
          </cell>
          <cell r="D1562">
            <v>35</v>
          </cell>
          <cell r="E1562">
            <v>0</v>
          </cell>
          <cell r="F1562">
            <v>735</v>
          </cell>
        </row>
        <row r="1563">
          <cell r="A1563">
            <v>10845</v>
          </cell>
          <cell r="B1563">
            <v>23</v>
          </cell>
          <cell r="C1563">
            <v>9</v>
          </cell>
          <cell r="D1563">
            <v>70</v>
          </cell>
          <cell r="E1563">
            <v>0.10000000149011612</v>
          </cell>
          <cell r="F1563">
            <v>566.99999906122684</v>
          </cell>
        </row>
        <row r="1564">
          <cell r="A1564">
            <v>10845</v>
          </cell>
          <cell r="B1564">
            <v>35</v>
          </cell>
          <cell r="C1564">
            <v>18</v>
          </cell>
          <cell r="D1564">
            <v>25</v>
          </cell>
          <cell r="E1564">
            <v>0.10000000149011612</v>
          </cell>
          <cell r="F1564">
            <v>404.99999932944775</v>
          </cell>
        </row>
        <row r="1565">
          <cell r="A1565">
            <v>10845</v>
          </cell>
          <cell r="B1565">
            <v>42</v>
          </cell>
          <cell r="C1565">
            <v>14</v>
          </cell>
          <cell r="D1565">
            <v>42</v>
          </cell>
          <cell r="E1565">
            <v>0.10000000149011612</v>
          </cell>
          <cell r="F1565">
            <v>529.19999912381172</v>
          </cell>
        </row>
        <row r="1566">
          <cell r="A1566">
            <v>10845</v>
          </cell>
          <cell r="B1566">
            <v>58</v>
          </cell>
          <cell r="C1566">
            <v>13.25</v>
          </cell>
          <cell r="D1566">
            <v>60</v>
          </cell>
          <cell r="E1566">
            <v>0.10000000149011612</v>
          </cell>
          <cell r="F1566">
            <v>715.49999881535769</v>
          </cell>
        </row>
        <row r="1567">
          <cell r="A1567">
            <v>10845</v>
          </cell>
          <cell r="B1567">
            <v>64</v>
          </cell>
          <cell r="C1567">
            <v>33.25</v>
          </cell>
          <cell r="D1567">
            <v>48</v>
          </cell>
          <cell r="E1567">
            <v>0</v>
          </cell>
          <cell r="F1567">
            <v>1596</v>
          </cell>
        </row>
        <row r="1568">
          <cell r="A1568">
            <v>10846</v>
          </cell>
          <cell r="B1568">
            <v>4</v>
          </cell>
          <cell r="C1568">
            <v>22</v>
          </cell>
          <cell r="D1568">
            <v>21</v>
          </cell>
          <cell r="E1568">
            <v>0</v>
          </cell>
          <cell r="F1568">
            <v>462</v>
          </cell>
        </row>
        <row r="1569">
          <cell r="A1569">
            <v>10846</v>
          </cell>
          <cell r="B1569">
            <v>70</v>
          </cell>
          <cell r="C1569">
            <v>15</v>
          </cell>
          <cell r="D1569">
            <v>30</v>
          </cell>
          <cell r="E1569">
            <v>0</v>
          </cell>
          <cell r="F1569">
            <v>450</v>
          </cell>
        </row>
        <row r="1570">
          <cell r="A1570">
            <v>10846</v>
          </cell>
          <cell r="B1570">
            <v>74</v>
          </cell>
          <cell r="C1570">
            <v>10</v>
          </cell>
          <cell r="D1570">
            <v>20</v>
          </cell>
          <cell r="E1570">
            <v>0</v>
          </cell>
          <cell r="F1570">
            <v>200</v>
          </cell>
        </row>
        <row r="1571">
          <cell r="A1571">
            <v>10847</v>
          </cell>
          <cell r="B1571">
            <v>1</v>
          </cell>
          <cell r="C1571">
            <v>18</v>
          </cell>
          <cell r="D1571">
            <v>80</v>
          </cell>
          <cell r="E1571">
            <v>0.20000000298023224</v>
          </cell>
          <cell r="F1571">
            <v>1151.9999957084656</v>
          </cell>
        </row>
        <row r="1572">
          <cell r="A1572">
            <v>10847</v>
          </cell>
          <cell r="B1572">
            <v>19</v>
          </cell>
          <cell r="C1572">
            <v>9.1999999999999993</v>
          </cell>
          <cell r="D1572">
            <v>12</v>
          </cell>
          <cell r="E1572">
            <v>0.20000000298023224</v>
          </cell>
          <cell r="F1572">
            <v>88.319999670982355</v>
          </cell>
        </row>
        <row r="1573">
          <cell r="A1573">
            <v>10847</v>
          </cell>
          <cell r="B1573">
            <v>37</v>
          </cell>
          <cell r="C1573">
            <v>26</v>
          </cell>
          <cell r="D1573">
            <v>60</v>
          </cell>
          <cell r="E1573">
            <v>0.20000000298023224</v>
          </cell>
          <cell r="F1573">
            <v>1247.9999953508377</v>
          </cell>
        </row>
        <row r="1574">
          <cell r="A1574">
            <v>10847</v>
          </cell>
          <cell r="B1574">
            <v>45</v>
          </cell>
          <cell r="C1574">
            <v>9.5</v>
          </cell>
          <cell r="D1574">
            <v>36</v>
          </cell>
          <cell r="E1574">
            <v>0.20000000298023224</v>
          </cell>
          <cell r="F1574">
            <v>273.59999898076057</v>
          </cell>
        </row>
        <row r="1575">
          <cell r="A1575">
            <v>10847</v>
          </cell>
          <cell r="B1575">
            <v>60</v>
          </cell>
          <cell r="C1575">
            <v>34</v>
          </cell>
          <cell r="D1575">
            <v>45</v>
          </cell>
          <cell r="E1575">
            <v>0.20000000298023224</v>
          </cell>
          <cell r="F1575">
            <v>1223.9999954402447</v>
          </cell>
        </row>
        <row r="1576">
          <cell r="A1576">
            <v>10847</v>
          </cell>
          <cell r="B1576">
            <v>71</v>
          </cell>
          <cell r="C1576">
            <v>21.5</v>
          </cell>
          <cell r="D1576">
            <v>55</v>
          </cell>
          <cell r="E1576">
            <v>0.20000000298023224</v>
          </cell>
          <cell r="F1576">
            <v>945.99999647587538</v>
          </cell>
        </row>
        <row r="1577">
          <cell r="A1577">
            <v>10848</v>
          </cell>
          <cell r="B1577">
            <v>5</v>
          </cell>
          <cell r="C1577">
            <v>21.35</v>
          </cell>
          <cell r="D1577">
            <v>30</v>
          </cell>
          <cell r="E1577">
            <v>0</v>
          </cell>
          <cell r="F1577">
            <v>640.5</v>
          </cell>
        </row>
        <row r="1578">
          <cell r="A1578">
            <v>10848</v>
          </cell>
          <cell r="B1578">
            <v>9</v>
          </cell>
          <cell r="C1578">
            <v>97</v>
          </cell>
          <cell r="D1578">
            <v>3</v>
          </cell>
          <cell r="E1578">
            <v>0</v>
          </cell>
          <cell r="F1578">
            <v>291</v>
          </cell>
        </row>
        <row r="1579">
          <cell r="A1579">
            <v>10849</v>
          </cell>
          <cell r="B1579">
            <v>3</v>
          </cell>
          <cell r="C1579">
            <v>10</v>
          </cell>
          <cell r="D1579">
            <v>49</v>
          </cell>
          <cell r="E1579">
            <v>0</v>
          </cell>
          <cell r="F1579">
            <v>490</v>
          </cell>
        </row>
        <row r="1580">
          <cell r="A1580">
            <v>10849</v>
          </cell>
          <cell r="B1580">
            <v>26</v>
          </cell>
          <cell r="C1580">
            <v>31.23</v>
          </cell>
          <cell r="D1580">
            <v>18</v>
          </cell>
          <cell r="E1580">
            <v>0.15000000596046448</v>
          </cell>
          <cell r="F1580">
            <v>477.81899664938447</v>
          </cell>
        </row>
        <row r="1581">
          <cell r="A1581">
            <v>10850</v>
          </cell>
          <cell r="B1581">
            <v>25</v>
          </cell>
          <cell r="C1581">
            <v>14</v>
          </cell>
          <cell r="D1581">
            <v>20</v>
          </cell>
          <cell r="E1581">
            <v>0.15000000596046448</v>
          </cell>
          <cell r="F1581">
            <v>237.99999833106995</v>
          </cell>
        </row>
        <row r="1582">
          <cell r="A1582">
            <v>10850</v>
          </cell>
          <cell r="B1582">
            <v>33</v>
          </cell>
          <cell r="C1582">
            <v>2.5</v>
          </cell>
          <cell r="D1582">
            <v>4</v>
          </cell>
          <cell r="E1582">
            <v>0.15000000596046448</v>
          </cell>
          <cell r="F1582">
            <v>8.4999999403953552</v>
          </cell>
        </row>
        <row r="1583">
          <cell r="A1583">
            <v>10850</v>
          </cell>
          <cell r="B1583">
            <v>70</v>
          </cell>
          <cell r="C1583">
            <v>15</v>
          </cell>
          <cell r="D1583">
            <v>30</v>
          </cell>
          <cell r="E1583">
            <v>0.15000000596046448</v>
          </cell>
          <cell r="F1583">
            <v>382.49999731779099</v>
          </cell>
        </row>
        <row r="1584">
          <cell r="A1584">
            <v>10851</v>
          </cell>
          <cell r="B1584">
            <v>2</v>
          </cell>
          <cell r="C1584">
            <v>19</v>
          </cell>
          <cell r="D1584">
            <v>5</v>
          </cell>
          <cell r="E1584">
            <v>5.000000074505806E-2</v>
          </cell>
          <cell r="F1584">
            <v>90.249999929219484</v>
          </cell>
        </row>
        <row r="1585">
          <cell r="A1585">
            <v>10851</v>
          </cell>
          <cell r="B1585">
            <v>25</v>
          </cell>
          <cell r="C1585">
            <v>14</v>
          </cell>
          <cell r="D1585">
            <v>10</v>
          </cell>
          <cell r="E1585">
            <v>5.000000074505806E-2</v>
          </cell>
          <cell r="F1585">
            <v>132.99999989569187</v>
          </cell>
        </row>
        <row r="1586">
          <cell r="A1586">
            <v>10851</v>
          </cell>
          <cell r="B1586">
            <v>57</v>
          </cell>
          <cell r="C1586">
            <v>19.5</v>
          </cell>
          <cell r="D1586">
            <v>10</v>
          </cell>
          <cell r="E1586">
            <v>5.000000074505806E-2</v>
          </cell>
          <cell r="F1586">
            <v>185.24999985471368</v>
          </cell>
        </row>
        <row r="1587">
          <cell r="A1587">
            <v>10851</v>
          </cell>
          <cell r="B1587">
            <v>59</v>
          </cell>
          <cell r="C1587">
            <v>55</v>
          </cell>
          <cell r="D1587">
            <v>42</v>
          </cell>
          <cell r="E1587">
            <v>5.000000074505806E-2</v>
          </cell>
          <cell r="F1587">
            <v>2194.4999982789159</v>
          </cell>
        </row>
        <row r="1588">
          <cell r="A1588">
            <v>10852</v>
          </cell>
          <cell r="B1588">
            <v>2</v>
          </cell>
          <cell r="C1588">
            <v>19</v>
          </cell>
          <cell r="D1588">
            <v>15</v>
          </cell>
          <cell r="E1588">
            <v>0</v>
          </cell>
          <cell r="F1588">
            <v>285</v>
          </cell>
        </row>
        <row r="1589">
          <cell r="A1589">
            <v>10852</v>
          </cell>
          <cell r="B1589">
            <v>17</v>
          </cell>
          <cell r="C1589">
            <v>39</v>
          </cell>
          <cell r="D1589">
            <v>6</v>
          </cell>
          <cell r="E1589">
            <v>0</v>
          </cell>
          <cell r="F1589">
            <v>234</v>
          </cell>
        </row>
        <row r="1590">
          <cell r="A1590">
            <v>10852</v>
          </cell>
          <cell r="B1590">
            <v>62</v>
          </cell>
          <cell r="C1590">
            <v>49.3</v>
          </cell>
          <cell r="D1590">
            <v>50</v>
          </cell>
          <cell r="E1590">
            <v>0</v>
          </cell>
          <cell r="F1590">
            <v>2465</v>
          </cell>
        </row>
        <row r="1591">
          <cell r="A1591">
            <v>10853</v>
          </cell>
          <cell r="B1591">
            <v>18</v>
          </cell>
          <cell r="C1591">
            <v>62.5</v>
          </cell>
          <cell r="D1591">
            <v>10</v>
          </cell>
          <cell r="E1591">
            <v>0</v>
          </cell>
          <cell r="F1591">
            <v>625</v>
          </cell>
        </row>
        <row r="1592">
          <cell r="A1592">
            <v>10854</v>
          </cell>
          <cell r="B1592">
            <v>10</v>
          </cell>
          <cell r="C1592">
            <v>31</v>
          </cell>
          <cell r="D1592">
            <v>100</v>
          </cell>
          <cell r="E1592">
            <v>0.15000000596046448</v>
          </cell>
          <cell r="F1592">
            <v>2634.9999815225601</v>
          </cell>
        </row>
        <row r="1593">
          <cell r="A1593">
            <v>10854</v>
          </cell>
          <cell r="B1593">
            <v>13</v>
          </cell>
          <cell r="C1593">
            <v>6</v>
          </cell>
          <cell r="D1593">
            <v>65</v>
          </cell>
          <cell r="E1593">
            <v>0.15000000596046448</v>
          </cell>
          <cell r="F1593">
            <v>331.49999767541885</v>
          </cell>
        </row>
        <row r="1594">
          <cell r="A1594">
            <v>10855</v>
          </cell>
          <cell r="B1594">
            <v>16</v>
          </cell>
          <cell r="C1594">
            <v>17.45</v>
          </cell>
          <cell r="D1594">
            <v>50</v>
          </cell>
          <cell r="E1594">
            <v>0</v>
          </cell>
          <cell r="F1594">
            <v>872.5</v>
          </cell>
        </row>
        <row r="1595">
          <cell r="A1595">
            <v>10855</v>
          </cell>
          <cell r="B1595">
            <v>31</v>
          </cell>
          <cell r="C1595">
            <v>12.5</v>
          </cell>
          <cell r="D1595">
            <v>14</v>
          </cell>
          <cell r="E1595">
            <v>0</v>
          </cell>
          <cell r="F1595">
            <v>175</v>
          </cell>
        </row>
        <row r="1596">
          <cell r="A1596">
            <v>10855</v>
          </cell>
          <cell r="B1596">
            <v>56</v>
          </cell>
          <cell r="C1596">
            <v>38</v>
          </cell>
          <cell r="D1596">
            <v>24</v>
          </cell>
          <cell r="E1596">
            <v>0</v>
          </cell>
          <cell r="F1596">
            <v>912</v>
          </cell>
        </row>
        <row r="1597">
          <cell r="A1597">
            <v>10855</v>
          </cell>
          <cell r="B1597">
            <v>65</v>
          </cell>
          <cell r="C1597">
            <v>21.05</v>
          </cell>
          <cell r="D1597">
            <v>15</v>
          </cell>
          <cell r="E1597">
            <v>0.15000000596046448</v>
          </cell>
          <cell r="F1597">
            <v>268.38749811798334</v>
          </cell>
        </row>
        <row r="1598">
          <cell r="A1598">
            <v>10856</v>
          </cell>
          <cell r="B1598">
            <v>2</v>
          </cell>
          <cell r="C1598">
            <v>19</v>
          </cell>
          <cell r="D1598">
            <v>20</v>
          </cell>
          <cell r="E1598">
            <v>0</v>
          </cell>
          <cell r="F1598">
            <v>380</v>
          </cell>
        </row>
        <row r="1599">
          <cell r="A1599">
            <v>10856</v>
          </cell>
          <cell r="B1599">
            <v>42</v>
          </cell>
          <cell r="C1599">
            <v>14</v>
          </cell>
          <cell r="D1599">
            <v>20</v>
          </cell>
          <cell r="E1599">
            <v>0</v>
          </cell>
          <cell r="F1599">
            <v>280</v>
          </cell>
        </row>
        <row r="1600">
          <cell r="A1600">
            <v>10857</v>
          </cell>
          <cell r="B1600">
            <v>3</v>
          </cell>
          <cell r="C1600">
            <v>10</v>
          </cell>
          <cell r="D1600">
            <v>30</v>
          </cell>
          <cell r="E1600">
            <v>0</v>
          </cell>
          <cell r="F1600">
            <v>300</v>
          </cell>
        </row>
        <row r="1601">
          <cell r="A1601">
            <v>10857</v>
          </cell>
          <cell r="B1601">
            <v>26</v>
          </cell>
          <cell r="C1601">
            <v>31.23</v>
          </cell>
          <cell r="D1601">
            <v>35</v>
          </cell>
          <cell r="E1601">
            <v>0.25</v>
          </cell>
          <cell r="F1601">
            <v>819.78749999999991</v>
          </cell>
        </row>
        <row r="1602">
          <cell r="A1602">
            <v>10857</v>
          </cell>
          <cell r="B1602">
            <v>29</v>
          </cell>
          <cell r="C1602">
            <v>123.79</v>
          </cell>
          <cell r="D1602">
            <v>10</v>
          </cell>
          <cell r="E1602">
            <v>0.25</v>
          </cell>
          <cell r="F1602">
            <v>928.42500000000007</v>
          </cell>
        </row>
        <row r="1603">
          <cell r="A1603">
            <v>10858</v>
          </cell>
          <cell r="B1603">
            <v>7</v>
          </cell>
          <cell r="C1603">
            <v>30</v>
          </cell>
          <cell r="D1603">
            <v>5</v>
          </cell>
          <cell r="E1603">
            <v>0</v>
          </cell>
          <cell r="F1603">
            <v>150</v>
          </cell>
        </row>
        <row r="1604">
          <cell r="A1604">
            <v>10858</v>
          </cell>
          <cell r="B1604">
            <v>27</v>
          </cell>
          <cell r="C1604">
            <v>43.9</v>
          </cell>
          <cell r="D1604">
            <v>10</v>
          </cell>
          <cell r="E1604">
            <v>0</v>
          </cell>
          <cell r="F1604">
            <v>439</v>
          </cell>
        </row>
        <row r="1605">
          <cell r="A1605">
            <v>10858</v>
          </cell>
          <cell r="B1605">
            <v>70</v>
          </cell>
          <cell r="C1605">
            <v>15</v>
          </cell>
          <cell r="D1605">
            <v>4</v>
          </cell>
          <cell r="E1605">
            <v>0</v>
          </cell>
          <cell r="F1605">
            <v>60</v>
          </cell>
        </row>
        <row r="1606">
          <cell r="A1606">
            <v>10859</v>
          </cell>
          <cell r="B1606">
            <v>24</v>
          </cell>
          <cell r="C1606">
            <v>4.5</v>
          </cell>
          <cell r="D1606">
            <v>40</v>
          </cell>
          <cell r="E1606">
            <v>0.25</v>
          </cell>
          <cell r="F1606">
            <v>135</v>
          </cell>
        </row>
        <row r="1607">
          <cell r="A1607">
            <v>10859</v>
          </cell>
          <cell r="B1607">
            <v>54</v>
          </cell>
          <cell r="C1607">
            <v>7.45</v>
          </cell>
          <cell r="D1607">
            <v>35</v>
          </cell>
          <cell r="E1607">
            <v>0.25</v>
          </cell>
          <cell r="F1607">
            <v>195.5625</v>
          </cell>
        </row>
        <row r="1608">
          <cell r="A1608">
            <v>10859</v>
          </cell>
          <cell r="B1608">
            <v>64</v>
          </cell>
          <cell r="C1608">
            <v>33.25</v>
          </cell>
          <cell r="D1608">
            <v>30</v>
          </cell>
          <cell r="E1608">
            <v>0.25</v>
          </cell>
          <cell r="F1608">
            <v>748.125</v>
          </cell>
        </row>
        <row r="1609">
          <cell r="A1609">
            <v>10860</v>
          </cell>
          <cell r="B1609">
            <v>51</v>
          </cell>
          <cell r="C1609">
            <v>53</v>
          </cell>
          <cell r="D1609">
            <v>3</v>
          </cell>
          <cell r="E1609">
            <v>0</v>
          </cell>
          <cell r="F1609">
            <v>159</v>
          </cell>
        </row>
        <row r="1610">
          <cell r="A1610">
            <v>10860</v>
          </cell>
          <cell r="B1610">
            <v>76</v>
          </cell>
          <cell r="C1610">
            <v>18</v>
          </cell>
          <cell r="D1610">
            <v>20</v>
          </cell>
          <cell r="E1610">
            <v>0</v>
          </cell>
          <cell r="F1610">
            <v>360</v>
          </cell>
        </row>
        <row r="1611">
          <cell r="A1611">
            <v>10861</v>
          </cell>
          <cell r="B1611">
            <v>17</v>
          </cell>
          <cell r="C1611">
            <v>39</v>
          </cell>
          <cell r="D1611">
            <v>42</v>
          </cell>
          <cell r="E1611">
            <v>0</v>
          </cell>
          <cell r="F1611">
            <v>1638</v>
          </cell>
        </row>
        <row r="1612">
          <cell r="A1612">
            <v>10861</v>
          </cell>
          <cell r="B1612">
            <v>18</v>
          </cell>
          <cell r="C1612">
            <v>62.5</v>
          </cell>
          <cell r="D1612">
            <v>20</v>
          </cell>
          <cell r="E1612">
            <v>0</v>
          </cell>
          <cell r="F1612">
            <v>1250</v>
          </cell>
        </row>
        <row r="1613">
          <cell r="A1613">
            <v>10861</v>
          </cell>
          <cell r="B1613">
            <v>21</v>
          </cell>
          <cell r="C1613">
            <v>10</v>
          </cell>
          <cell r="D1613">
            <v>40</v>
          </cell>
          <cell r="E1613">
            <v>0</v>
          </cell>
          <cell r="F1613">
            <v>400</v>
          </cell>
        </row>
        <row r="1614">
          <cell r="A1614">
            <v>10861</v>
          </cell>
          <cell r="B1614">
            <v>33</v>
          </cell>
          <cell r="C1614">
            <v>2.5</v>
          </cell>
          <cell r="D1614">
            <v>35</v>
          </cell>
          <cell r="E1614">
            <v>0</v>
          </cell>
          <cell r="F1614">
            <v>87.5</v>
          </cell>
        </row>
        <row r="1615">
          <cell r="A1615">
            <v>10861</v>
          </cell>
          <cell r="B1615">
            <v>62</v>
          </cell>
          <cell r="C1615">
            <v>49.3</v>
          </cell>
          <cell r="D1615">
            <v>3</v>
          </cell>
          <cell r="E1615">
            <v>0</v>
          </cell>
          <cell r="F1615">
            <v>147.89999999999998</v>
          </cell>
        </row>
        <row r="1616">
          <cell r="A1616">
            <v>10862</v>
          </cell>
          <cell r="B1616">
            <v>11</v>
          </cell>
          <cell r="C1616">
            <v>21</v>
          </cell>
          <cell r="D1616">
            <v>25</v>
          </cell>
          <cell r="E1616">
            <v>0</v>
          </cell>
          <cell r="F1616">
            <v>525</v>
          </cell>
        </row>
        <row r="1617">
          <cell r="A1617">
            <v>10862</v>
          </cell>
          <cell r="B1617">
            <v>52</v>
          </cell>
          <cell r="C1617">
            <v>7</v>
          </cell>
          <cell r="D1617">
            <v>8</v>
          </cell>
          <cell r="E1617">
            <v>0</v>
          </cell>
          <cell r="F1617">
            <v>56</v>
          </cell>
        </row>
        <row r="1618">
          <cell r="A1618">
            <v>10863</v>
          </cell>
          <cell r="B1618">
            <v>1</v>
          </cell>
          <cell r="C1618">
            <v>18</v>
          </cell>
          <cell r="D1618">
            <v>20</v>
          </cell>
          <cell r="E1618">
            <v>0.15000000596046448</v>
          </cell>
          <cell r="F1618">
            <v>305.99999785423279</v>
          </cell>
        </row>
        <row r="1619">
          <cell r="A1619">
            <v>10863</v>
          </cell>
          <cell r="B1619">
            <v>58</v>
          </cell>
          <cell r="C1619">
            <v>13.25</v>
          </cell>
          <cell r="D1619">
            <v>12</v>
          </cell>
          <cell r="E1619">
            <v>0.15000000596046448</v>
          </cell>
          <cell r="F1619">
            <v>135.14999905228615</v>
          </cell>
        </row>
        <row r="1620">
          <cell r="A1620">
            <v>10864</v>
          </cell>
          <cell r="B1620">
            <v>35</v>
          </cell>
          <cell r="C1620">
            <v>18</v>
          </cell>
          <cell r="D1620">
            <v>4</v>
          </cell>
          <cell r="E1620">
            <v>0</v>
          </cell>
          <cell r="F1620">
            <v>72</v>
          </cell>
        </row>
        <row r="1621">
          <cell r="A1621">
            <v>10864</v>
          </cell>
          <cell r="B1621">
            <v>67</v>
          </cell>
          <cell r="C1621">
            <v>14</v>
          </cell>
          <cell r="D1621">
            <v>15</v>
          </cell>
          <cell r="E1621">
            <v>0</v>
          </cell>
          <cell r="F1621">
            <v>210</v>
          </cell>
        </row>
        <row r="1622">
          <cell r="A1622">
            <v>10865</v>
          </cell>
          <cell r="B1622">
            <v>38</v>
          </cell>
          <cell r="C1622">
            <v>263.5</v>
          </cell>
          <cell r="D1622">
            <v>60</v>
          </cell>
          <cell r="E1622">
            <v>5.000000074505806E-2</v>
          </cell>
          <cell r="F1622">
            <v>15019.499988220632</v>
          </cell>
        </row>
        <row r="1623">
          <cell r="A1623">
            <v>10865</v>
          </cell>
          <cell r="B1623">
            <v>39</v>
          </cell>
          <cell r="C1623">
            <v>18</v>
          </cell>
          <cell r="D1623">
            <v>80</v>
          </cell>
          <cell r="E1623">
            <v>5.000000074505806E-2</v>
          </cell>
          <cell r="F1623">
            <v>1367.9999989271164</v>
          </cell>
        </row>
        <row r="1624">
          <cell r="A1624">
            <v>10866</v>
          </cell>
          <cell r="B1624">
            <v>2</v>
          </cell>
          <cell r="C1624">
            <v>19</v>
          </cell>
          <cell r="D1624">
            <v>21</v>
          </cell>
          <cell r="E1624">
            <v>0.25</v>
          </cell>
          <cell r="F1624">
            <v>299.25</v>
          </cell>
        </row>
        <row r="1625">
          <cell r="A1625">
            <v>10866</v>
          </cell>
          <cell r="B1625">
            <v>24</v>
          </cell>
          <cell r="C1625">
            <v>4.5</v>
          </cell>
          <cell r="D1625">
            <v>6</v>
          </cell>
          <cell r="E1625">
            <v>0.25</v>
          </cell>
          <cell r="F1625">
            <v>20.25</v>
          </cell>
        </row>
        <row r="1626">
          <cell r="A1626">
            <v>10866</v>
          </cell>
          <cell r="B1626">
            <v>30</v>
          </cell>
          <cell r="C1626">
            <v>25.89</v>
          </cell>
          <cell r="D1626">
            <v>40</v>
          </cell>
          <cell r="E1626">
            <v>0.25</v>
          </cell>
          <cell r="F1626">
            <v>776.69999999999993</v>
          </cell>
        </row>
        <row r="1627">
          <cell r="A1627">
            <v>10867</v>
          </cell>
          <cell r="B1627">
            <v>53</v>
          </cell>
          <cell r="C1627">
            <v>32.799999999999997</v>
          </cell>
          <cell r="D1627">
            <v>3</v>
          </cell>
          <cell r="E1627">
            <v>0</v>
          </cell>
          <cell r="F1627">
            <v>98.399999999999991</v>
          </cell>
        </row>
        <row r="1628">
          <cell r="A1628">
            <v>10868</v>
          </cell>
          <cell r="B1628">
            <v>26</v>
          </cell>
          <cell r="C1628">
            <v>31.23</v>
          </cell>
          <cell r="D1628">
            <v>20</v>
          </cell>
          <cell r="E1628">
            <v>0</v>
          </cell>
          <cell r="F1628">
            <v>624.6</v>
          </cell>
        </row>
        <row r="1629">
          <cell r="A1629">
            <v>10868</v>
          </cell>
          <cell r="B1629">
            <v>35</v>
          </cell>
          <cell r="C1629">
            <v>18</v>
          </cell>
          <cell r="D1629">
            <v>30</v>
          </cell>
          <cell r="E1629">
            <v>0</v>
          </cell>
          <cell r="F1629">
            <v>540</v>
          </cell>
        </row>
        <row r="1630">
          <cell r="A1630">
            <v>10868</v>
          </cell>
          <cell r="B1630">
            <v>49</v>
          </cell>
          <cell r="C1630">
            <v>20</v>
          </cell>
          <cell r="D1630">
            <v>42</v>
          </cell>
          <cell r="E1630">
            <v>0.10000000149011612</v>
          </cell>
          <cell r="F1630">
            <v>755.99999874830246</v>
          </cell>
        </row>
        <row r="1631">
          <cell r="A1631">
            <v>10869</v>
          </cell>
          <cell r="B1631">
            <v>1</v>
          </cell>
          <cell r="C1631">
            <v>18</v>
          </cell>
          <cell r="D1631">
            <v>40</v>
          </cell>
          <cell r="E1631">
            <v>0</v>
          </cell>
          <cell r="F1631">
            <v>720</v>
          </cell>
        </row>
        <row r="1632">
          <cell r="A1632">
            <v>10869</v>
          </cell>
          <cell r="B1632">
            <v>11</v>
          </cell>
          <cell r="C1632">
            <v>21</v>
          </cell>
          <cell r="D1632">
            <v>10</v>
          </cell>
          <cell r="E1632">
            <v>0</v>
          </cell>
          <cell r="F1632">
            <v>210</v>
          </cell>
        </row>
        <row r="1633">
          <cell r="A1633">
            <v>10869</v>
          </cell>
          <cell r="B1633">
            <v>23</v>
          </cell>
          <cell r="C1633">
            <v>9</v>
          </cell>
          <cell r="D1633">
            <v>50</v>
          </cell>
          <cell r="E1633">
            <v>0</v>
          </cell>
          <cell r="F1633">
            <v>450</v>
          </cell>
        </row>
        <row r="1634">
          <cell r="A1634">
            <v>10869</v>
          </cell>
          <cell r="B1634">
            <v>68</v>
          </cell>
          <cell r="C1634">
            <v>12.5</v>
          </cell>
          <cell r="D1634">
            <v>20</v>
          </cell>
          <cell r="E1634">
            <v>0</v>
          </cell>
          <cell r="F1634">
            <v>250</v>
          </cell>
        </row>
        <row r="1635">
          <cell r="A1635">
            <v>10870</v>
          </cell>
          <cell r="B1635">
            <v>35</v>
          </cell>
          <cell r="C1635">
            <v>18</v>
          </cell>
          <cell r="D1635">
            <v>3</v>
          </cell>
          <cell r="E1635">
            <v>0</v>
          </cell>
          <cell r="F1635">
            <v>54</v>
          </cell>
        </row>
        <row r="1636">
          <cell r="A1636">
            <v>10870</v>
          </cell>
          <cell r="B1636">
            <v>51</v>
          </cell>
          <cell r="C1636">
            <v>53</v>
          </cell>
          <cell r="D1636">
            <v>2</v>
          </cell>
          <cell r="E1636">
            <v>0</v>
          </cell>
          <cell r="F1636">
            <v>106</v>
          </cell>
        </row>
        <row r="1637">
          <cell r="A1637">
            <v>10871</v>
          </cell>
          <cell r="B1637">
            <v>6</v>
          </cell>
          <cell r="C1637">
            <v>25</v>
          </cell>
          <cell r="D1637">
            <v>50</v>
          </cell>
          <cell r="E1637">
            <v>5.000000074505806E-2</v>
          </cell>
          <cell r="F1637">
            <v>1187.4999990686774</v>
          </cell>
        </row>
        <row r="1638">
          <cell r="A1638">
            <v>10871</v>
          </cell>
          <cell r="B1638">
            <v>16</v>
          </cell>
          <cell r="C1638">
            <v>17.45</v>
          </cell>
          <cell r="D1638">
            <v>12</v>
          </cell>
          <cell r="E1638">
            <v>5.000000074505806E-2</v>
          </cell>
          <cell r="F1638">
            <v>198.92999984398483</v>
          </cell>
        </row>
        <row r="1639">
          <cell r="A1639">
            <v>10871</v>
          </cell>
          <cell r="B1639">
            <v>17</v>
          </cell>
          <cell r="C1639">
            <v>39</v>
          </cell>
          <cell r="D1639">
            <v>16</v>
          </cell>
          <cell r="E1639">
            <v>5.000000074505806E-2</v>
          </cell>
          <cell r="F1639">
            <v>592.79999953508377</v>
          </cell>
        </row>
        <row r="1640">
          <cell r="A1640">
            <v>10872</v>
          </cell>
          <cell r="B1640">
            <v>55</v>
          </cell>
          <cell r="C1640">
            <v>24</v>
          </cell>
          <cell r="D1640">
            <v>10</v>
          </cell>
          <cell r="E1640">
            <v>5.000000074505806E-2</v>
          </cell>
          <cell r="F1640">
            <v>227.99999982118607</v>
          </cell>
        </row>
        <row r="1641">
          <cell r="A1641">
            <v>10872</v>
          </cell>
          <cell r="B1641">
            <v>62</v>
          </cell>
          <cell r="C1641">
            <v>49.3</v>
          </cell>
          <cell r="D1641">
            <v>20</v>
          </cell>
          <cell r="E1641">
            <v>5.000000074505806E-2</v>
          </cell>
          <cell r="F1641">
            <v>936.69999926537275</v>
          </cell>
        </row>
        <row r="1642">
          <cell r="A1642">
            <v>10872</v>
          </cell>
          <cell r="B1642">
            <v>64</v>
          </cell>
          <cell r="C1642">
            <v>33.25</v>
          </cell>
          <cell r="D1642">
            <v>15</v>
          </cell>
          <cell r="E1642">
            <v>5.000000074505806E-2</v>
          </cell>
          <cell r="F1642">
            <v>473.81249962840229</v>
          </cell>
        </row>
        <row r="1643">
          <cell r="A1643">
            <v>10872</v>
          </cell>
          <cell r="B1643">
            <v>65</v>
          </cell>
          <cell r="C1643">
            <v>21.05</v>
          </cell>
          <cell r="D1643">
            <v>21</v>
          </cell>
          <cell r="E1643">
            <v>5.000000074505806E-2</v>
          </cell>
          <cell r="F1643">
            <v>419.94749967064712</v>
          </cell>
        </row>
        <row r="1644">
          <cell r="A1644">
            <v>10873</v>
          </cell>
          <cell r="B1644">
            <v>21</v>
          </cell>
          <cell r="C1644">
            <v>10</v>
          </cell>
          <cell r="D1644">
            <v>20</v>
          </cell>
          <cell r="E1644">
            <v>0</v>
          </cell>
          <cell r="F1644">
            <v>200</v>
          </cell>
        </row>
        <row r="1645">
          <cell r="A1645">
            <v>10873</v>
          </cell>
          <cell r="B1645">
            <v>28</v>
          </cell>
          <cell r="C1645">
            <v>45.6</v>
          </cell>
          <cell r="D1645">
            <v>3</v>
          </cell>
          <cell r="E1645">
            <v>0</v>
          </cell>
          <cell r="F1645">
            <v>136.80000000000001</v>
          </cell>
        </row>
        <row r="1646">
          <cell r="A1646">
            <v>10874</v>
          </cell>
          <cell r="B1646">
            <v>10</v>
          </cell>
          <cell r="C1646">
            <v>31</v>
          </cell>
          <cell r="D1646">
            <v>10</v>
          </cell>
          <cell r="E1646">
            <v>0</v>
          </cell>
          <cell r="F1646">
            <v>310</v>
          </cell>
        </row>
        <row r="1647">
          <cell r="A1647">
            <v>10875</v>
          </cell>
          <cell r="B1647">
            <v>19</v>
          </cell>
          <cell r="C1647">
            <v>9.1999999999999993</v>
          </cell>
          <cell r="D1647">
            <v>25</v>
          </cell>
          <cell r="E1647">
            <v>0</v>
          </cell>
          <cell r="F1647">
            <v>229.99999999999997</v>
          </cell>
        </row>
        <row r="1648">
          <cell r="A1648">
            <v>10875</v>
          </cell>
          <cell r="B1648">
            <v>47</v>
          </cell>
          <cell r="C1648">
            <v>9.5</v>
          </cell>
          <cell r="D1648">
            <v>21</v>
          </cell>
          <cell r="E1648">
            <v>0.10000000149011612</v>
          </cell>
          <cell r="F1648">
            <v>179.54999970272183</v>
          </cell>
        </row>
        <row r="1649">
          <cell r="A1649">
            <v>10875</v>
          </cell>
          <cell r="B1649">
            <v>49</v>
          </cell>
          <cell r="C1649">
            <v>20</v>
          </cell>
          <cell r="D1649">
            <v>15</v>
          </cell>
          <cell r="E1649">
            <v>0</v>
          </cell>
          <cell r="F1649">
            <v>300</v>
          </cell>
        </row>
        <row r="1650">
          <cell r="A1650">
            <v>10876</v>
          </cell>
          <cell r="B1650">
            <v>46</v>
          </cell>
          <cell r="C1650">
            <v>12</v>
          </cell>
          <cell r="D1650">
            <v>21</v>
          </cell>
          <cell r="E1650">
            <v>0</v>
          </cell>
          <cell r="F1650">
            <v>252</v>
          </cell>
        </row>
        <row r="1651">
          <cell r="A1651">
            <v>10876</v>
          </cell>
          <cell r="B1651">
            <v>64</v>
          </cell>
          <cell r="C1651">
            <v>33.25</v>
          </cell>
          <cell r="D1651">
            <v>20</v>
          </cell>
          <cell r="E1651">
            <v>0</v>
          </cell>
          <cell r="F1651">
            <v>665</v>
          </cell>
        </row>
        <row r="1652">
          <cell r="A1652">
            <v>10877</v>
          </cell>
          <cell r="B1652">
            <v>16</v>
          </cell>
          <cell r="C1652">
            <v>17.45</v>
          </cell>
          <cell r="D1652">
            <v>30</v>
          </cell>
          <cell r="E1652">
            <v>0.25</v>
          </cell>
          <cell r="F1652">
            <v>392.625</v>
          </cell>
        </row>
        <row r="1653">
          <cell r="A1653">
            <v>10877</v>
          </cell>
          <cell r="B1653">
            <v>18</v>
          </cell>
          <cell r="C1653">
            <v>62.5</v>
          </cell>
          <cell r="D1653">
            <v>25</v>
          </cell>
          <cell r="E1653">
            <v>0</v>
          </cell>
          <cell r="F1653">
            <v>1562.5</v>
          </cell>
        </row>
        <row r="1654">
          <cell r="A1654">
            <v>10878</v>
          </cell>
          <cell r="B1654">
            <v>20</v>
          </cell>
          <cell r="C1654">
            <v>81</v>
          </cell>
          <cell r="D1654">
            <v>20</v>
          </cell>
          <cell r="E1654">
            <v>5.000000074505806E-2</v>
          </cell>
          <cell r="F1654">
            <v>1538.9999987930059</v>
          </cell>
        </row>
        <row r="1655">
          <cell r="A1655">
            <v>10879</v>
          </cell>
          <cell r="B1655">
            <v>40</v>
          </cell>
          <cell r="C1655">
            <v>18.399999999999999</v>
          </cell>
          <cell r="D1655">
            <v>12</v>
          </cell>
          <cell r="E1655">
            <v>0</v>
          </cell>
          <cell r="F1655">
            <v>220.79999999999998</v>
          </cell>
        </row>
        <row r="1656">
          <cell r="A1656">
            <v>10879</v>
          </cell>
          <cell r="B1656">
            <v>65</v>
          </cell>
          <cell r="C1656">
            <v>21.05</v>
          </cell>
          <cell r="D1656">
            <v>10</v>
          </cell>
          <cell r="E1656">
            <v>0</v>
          </cell>
          <cell r="F1656">
            <v>210.5</v>
          </cell>
        </row>
        <row r="1657">
          <cell r="A1657">
            <v>10879</v>
          </cell>
          <cell r="B1657">
            <v>76</v>
          </cell>
          <cell r="C1657">
            <v>18</v>
          </cell>
          <cell r="D1657">
            <v>10</v>
          </cell>
          <cell r="E1657">
            <v>0</v>
          </cell>
          <cell r="F1657">
            <v>180</v>
          </cell>
        </row>
        <row r="1658">
          <cell r="A1658">
            <v>10880</v>
          </cell>
          <cell r="B1658">
            <v>23</v>
          </cell>
          <cell r="C1658">
            <v>9</v>
          </cell>
          <cell r="D1658">
            <v>30</v>
          </cell>
          <cell r="E1658">
            <v>0.20000000298023224</v>
          </cell>
          <cell r="F1658">
            <v>215.9999991953373</v>
          </cell>
        </row>
        <row r="1659">
          <cell r="A1659">
            <v>10880</v>
          </cell>
          <cell r="B1659">
            <v>61</v>
          </cell>
          <cell r="C1659">
            <v>28.5</v>
          </cell>
          <cell r="D1659">
            <v>30</v>
          </cell>
          <cell r="E1659">
            <v>0.20000000298023224</v>
          </cell>
          <cell r="F1659">
            <v>683.99999745190144</v>
          </cell>
        </row>
        <row r="1660">
          <cell r="A1660">
            <v>10880</v>
          </cell>
          <cell r="B1660">
            <v>70</v>
          </cell>
          <cell r="C1660">
            <v>15</v>
          </cell>
          <cell r="D1660">
            <v>50</v>
          </cell>
          <cell r="E1660">
            <v>0.20000000298023224</v>
          </cell>
          <cell r="F1660">
            <v>599.99999776482582</v>
          </cell>
        </row>
        <row r="1661">
          <cell r="A1661">
            <v>10881</v>
          </cell>
          <cell r="B1661">
            <v>73</v>
          </cell>
          <cell r="C1661">
            <v>15</v>
          </cell>
          <cell r="D1661">
            <v>10</v>
          </cell>
          <cell r="E1661">
            <v>0</v>
          </cell>
          <cell r="F1661">
            <v>150</v>
          </cell>
        </row>
        <row r="1662">
          <cell r="A1662">
            <v>10882</v>
          </cell>
          <cell r="B1662">
            <v>42</v>
          </cell>
          <cell r="C1662">
            <v>14</v>
          </cell>
          <cell r="D1662">
            <v>25</v>
          </cell>
          <cell r="E1662">
            <v>0</v>
          </cell>
          <cell r="F1662">
            <v>350</v>
          </cell>
        </row>
        <row r="1663">
          <cell r="A1663">
            <v>10882</v>
          </cell>
          <cell r="B1663">
            <v>49</v>
          </cell>
          <cell r="C1663">
            <v>20</v>
          </cell>
          <cell r="D1663">
            <v>20</v>
          </cell>
          <cell r="E1663">
            <v>0.15000000596046448</v>
          </cell>
          <cell r="F1663">
            <v>339.99999761581421</v>
          </cell>
        </row>
        <row r="1664">
          <cell r="A1664">
            <v>10882</v>
          </cell>
          <cell r="B1664">
            <v>54</v>
          </cell>
          <cell r="C1664">
            <v>7.45</v>
          </cell>
          <cell r="D1664">
            <v>32</v>
          </cell>
          <cell r="E1664">
            <v>0.15000000596046448</v>
          </cell>
          <cell r="F1664">
            <v>202.63999857902527</v>
          </cell>
        </row>
        <row r="1665">
          <cell r="A1665">
            <v>10883</v>
          </cell>
          <cell r="B1665">
            <v>24</v>
          </cell>
          <cell r="C1665">
            <v>4.5</v>
          </cell>
          <cell r="D1665">
            <v>8</v>
          </cell>
          <cell r="E1665">
            <v>0</v>
          </cell>
          <cell r="F1665">
            <v>36</v>
          </cell>
        </row>
        <row r="1666">
          <cell r="A1666">
            <v>10884</v>
          </cell>
          <cell r="B1666">
            <v>21</v>
          </cell>
          <cell r="C1666">
            <v>10</v>
          </cell>
          <cell r="D1666">
            <v>40</v>
          </cell>
          <cell r="E1666">
            <v>5.000000074505806E-2</v>
          </cell>
          <cell r="F1666">
            <v>379.99999970197678</v>
          </cell>
        </row>
        <row r="1667">
          <cell r="A1667">
            <v>10884</v>
          </cell>
          <cell r="B1667">
            <v>56</v>
          </cell>
          <cell r="C1667">
            <v>38</v>
          </cell>
          <cell r="D1667">
            <v>21</v>
          </cell>
          <cell r="E1667">
            <v>5.000000074505806E-2</v>
          </cell>
          <cell r="F1667">
            <v>758.09999940544367</v>
          </cell>
        </row>
        <row r="1668">
          <cell r="A1668">
            <v>10884</v>
          </cell>
          <cell r="B1668">
            <v>65</v>
          </cell>
          <cell r="C1668">
            <v>21.05</v>
          </cell>
          <cell r="D1668">
            <v>12</v>
          </cell>
          <cell r="E1668">
            <v>5.000000074505806E-2</v>
          </cell>
          <cell r="F1668">
            <v>239.96999981179835</v>
          </cell>
        </row>
        <row r="1669">
          <cell r="A1669">
            <v>10885</v>
          </cell>
          <cell r="B1669">
            <v>2</v>
          </cell>
          <cell r="C1669">
            <v>19</v>
          </cell>
          <cell r="D1669">
            <v>20</v>
          </cell>
          <cell r="E1669">
            <v>0</v>
          </cell>
          <cell r="F1669">
            <v>380</v>
          </cell>
        </row>
        <row r="1670">
          <cell r="A1670">
            <v>10885</v>
          </cell>
          <cell r="B1670">
            <v>24</v>
          </cell>
          <cell r="C1670">
            <v>4.5</v>
          </cell>
          <cell r="D1670">
            <v>12</v>
          </cell>
          <cell r="E1670">
            <v>0</v>
          </cell>
          <cell r="F1670">
            <v>54</v>
          </cell>
        </row>
        <row r="1671">
          <cell r="A1671">
            <v>10885</v>
          </cell>
          <cell r="B1671">
            <v>70</v>
          </cell>
          <cell r="C1671">
            <v>15</v>
          </cell>
          <cell r="D1671">
            <v>30</v>
          </cell>
          <cell r="E1671">
            <v>0</v>
          </cell>
          <cell r="F1671">
            <v>450</v>
          </cell>
        </row>
        <row r="1672">
          <cell r="A1672">
            <v>10885</v>
          </cell>
          <cell r="B1672">
            <v>77</v>
          </cell>
          <cell r="C1672">
            <v>13</v>
          </cell>
          <cell r="D1672">
            <v>25</v>
          </cell>
          <cell r="E1672">
            <v>0</v>
          </cell>
          <cell r="F1672">
            <v>325</v>
          </cell>
        </row>
        <row r="1673">
          <cell r="A1673">
            <v>10886</v>
          </cell>
          <cell r="B1673">
            <v>10</v>
          </cell>
          <cell r="C1673">
            <v>31</v>
          </cell>
          <cell r="D1673">
            <v>70</v>
          </cell>
          <cell r="E1673">
            <v>0</v>
          </cell>
          <cell r="F1673">
            <v>2170</v>
          </cell>
        </row>
        <row r="1674">
          <cell r="A1674">
            <v>10886</v>
          </cell>
          <cell r="B1674">
            <v>31</v>
          </cell>
          <cell r="C1674">
            <v>12.5</v>
          </cell>
          <cell r="D1674">
            <v>35</v>
          </cell>
          <cell r="E1674">
            <v>0</v>
          </cell>
          <cell r="F1674">
            <v>437.5</v>
          </cell>
        </row>
        <row r="1675">
          <cell r="A1675">
            <v>10886</v>
          </cell>
          <cell r="B1675">
            <v>77</v>
          </cell>
          <cell r="C1675">
            <v>13</v>
          </cell>
          <cell r="D1675">
            <v>40</v>
          </cell>
          <cell r="E1675">
            <v>0</v>
          </cell>
          <cell r="F1675">
            <v>520</v>
          </cell>
        </row>
        <row r="1676">
          <cell r="A1676">
            <v>10887</v>
          </cell>
          <cell r="B1676">
            <v>25</v>
          </cell>
          <cell r="C1676">
            <v>14</v>
          </cell>
          <cell r="D1676">
            <v>5</v>
          </cell>
          <cell r="E1676">
            <v>0</v>
          </cell>
          <cell r="F1676">
            <v>70</v>
          </cell>
        </row>
        <row r="1677">
          <cell r="A1677">
            <v>10888</v>
          </cell>
          <cell r="B1677">
            <v>2</v>
          </cell>
          <cell r="C1677">
            <v>19</v>
          </cell>
          <cell r="D1677">
            <v>20</v>
          </cell>
          <cell r="E1677">
            <v>0</v>
          </cell>
          <cell r="F1677">
            <v>380</v>
          </cell>
        </row>
        <row r="1678">
          <cell r="A1678">
            <v>10888</v>
          </cell>
          <cell r="B1678">
            <v>68</v>
          </cell>
          <cell r="C1678">
            <v>12.5</v>
          </cell>
          <cell r="D1678">
            <v>18</v>
          </cell>
          <cell r="E1678">
            <v>0</v>
          </cell>
          <cell r="F1678">
            <v>225</v>
          </cell>
        </row>
        <row r="1679">
          <cell r="A1679">
            <v>10889</v>
          </cell>
          <cell r="B1679">
            <v>11</v>
          </cell>
          <cell r="C1679">
            <v>21</v>
          </cell>
          <cell r="D1679">
            <v>40</v>
          </cell>
          <cell r="E1679">
            <v>0</v>
          </cell>
          <cell r="F1679">
            <v>840</v>
          </cell>
        </row>
        <row r="1680">
          <cell r="A1680">
            <v>10889</v>
          </cell>
          <cell r="B1680">
            <v>38</v>
          </cell>
          <cell r="C1680">
            <v>263.5</v>
          </cell>
          <cell r="D1680">
            <v>40</v>
          </cell>
          <cell r="E1680">
            <v>0</v>
          </cell>
          <cell r="F1680">
            <v>10540</v>
          </cell>
        </row>
        <row r="1681">
          <cell r="A1681">
            <v>10890</v>
          </cell>
          <cell r="B1681">
            <v>17</v>
          </cell>
          <cell r="C1681">
            <v>39</v>
          </cell>
          <cell r="D1681">
            <v>15</v>
          </cell>
          <cell r="E1681">
            <v>0</v>
          </cell>
          <cell r="F1681">
            <v>585</v>
          </cell>
        </row>
        <row r="1682">
          <cell r="A1682">
            <v>10890</v>
          </cell>
          <cell r="B1682">
            <v>34</v>
          </cell>
          <cell r="C1682">
            <v>14</v>
          </cell>
          <cell r="D1682">
            <v>10</v>
          </cell>
          <cell r="E1682">
            <v>0</v>
          </cell>
          <cell r="F1682">
            <v>140</v>
          </cell>
        </row>
        <row r="1683">
          <cell r="A1683">
            <v>10890</v>
          </cell>
          <cell r="B1683">
            <v>41</v>
          </cell>
          <cell r="C1683">
            <v>9.65</v>
          </cell>
          <cell r="D1683">
            <v>14</v>
          </cell>
          <cell r="E1683">
            <v>0</v>
          </cell>
          <cell r="F1683">
            <v>135.1</v>
          </cell>
        </row>
        <row r="1684">
          <cell r="A1684">
            <v>10891</v>
          </cell>
          <cell r="B1684">
            <v>30</v>
          </cell>
          <cell r="C1684">
            <v>25.89</v>
          </cell>
          <cell r="D1684">
            <v>15</v>
          </cell>
          <cell r="E1684">
            <v>5.000000074505806E-2</v>
          </cell>
          <cell r="F1684">
            <v>368.93249971065671</v>
          </cell>
        </row>
        <row r="1685">
          <cell r="A1685">
            <v>10892</v>
          </cell>
          <cell r="B1685">
            <v>59</v>
          </cell>
          <cell r="C1685">
            <v>55</v>
          </cell>
          <cell r="D1685">
            <v>40</v>
          </cell>
          <cell r="E1685">
            <v>5.000000074505806E-2</v>
          </cell>
          <cell r="F1685">
            <v>2089.9999983608723</v>
          </cell>
        </row>
        <row r="1686">
          <cell r="A1686">
            <v>10893</v>
          </cell>
          <cell r="B1686">
            <v>8</v>
          </cell>
          <cell r="C1686">
            <v>40</v>
          </cell>
          <cell r="D1686">
            <v>30</v>
          </cell>
          <cell r="E1686">
            <v>0</v>
          </cell>
          <cell r="F1686">
            <v>1200</v>
          </cell>
        </row>
        <row r="1687">
          <cell r="A1687">
            <v>10893</v>
          </cell>
          <cell r="B1687">
            <v>24</v>
          </cell>
          <cell r="C1687">
            <v>4.5</v>
          </cell>
          <cell r="D1687">
            <v>10</v>
          </cell>
          <cell r="E1687">
            <v>0</v>
          </cell>
          <cell r="F1687">
            <v>45</v>
          </cell>
        </row>
        <row r="1688">
          <cell r="A1688">
            <v>10893</v>
          </cell>
          <cell r="B1688">
            <v>29</v>
          </cell>
          <cell r="C1688">
            <v>123.79</v>
          </cell>
          <cell r="D1688">
            <v>24</v>
          </cell>
          <cell r="E1688">
            <v>0</v>
          </cell>
          <cell r="F1688">
            <v>2970.96</v>
          </cell>
        </row>
        <row r="1689">
          <cell r="A1689">
            <v>10893</v>
          </cell>
          <cell r="B1689">
            <v>30</v>
          </cell>
          <cell r="C1689">
            <v>25.89</v>
          </cell>
          <cell r="D1689">
            <v>35</v>
          </cell>
          <cell r="E1689">
            <v>0</v>
          </cell>
          <cell r="F1689">
            <v>906.15</v>
          </cell>
        </row>
        <row r="1690">
          <cell r="A1690">
            <v>10893</v>
          </cell>
          <cell r="B1690">
            <v>36</v>
          </cell>
          <cell r="C1690">
            <v>19</v>
          </cell>
          <cell r="D1690">
            <v>20</v>
          </cell>
          <cell r="E1690">
            <v>0</v>
          </cell>
          <cell r="F1690">
            <v>380</v>
          </cell>
        </row>
        <row r="1691">
          <cell r="A1691">
            <v>10894</v>
          </cell>
          <cell r="B1691">
            <v>13</v>
          </cell>
          <cell r="C1691">
            <v>6</v>
          </cell>
          <cell r="D1691">
            <v>28</v>
          </cell>
          <cell r="E1691">
            <v>5.000000074505806E-2</v>
          </cell>
          <cell r="F1691">
            <v>159.59999987483025</v>
          </cell>
        </row>
        <row r="1692">
          <cell r="A1692">
            <v>10894</v>
          </cell>
          <cell r="B1692">
            <v>69</v>
          </cell>
          <cell r="C1692">
            <v>36</v>
          </cell>
          <cell r="D1692">
            <v>50</v>
          </cell>
          <cell r="E1692">
            <v>5.000000074505806E-2</v>
          </cell>
          <cell r="F1692">
            <v>1709.9999986588955</v>
          </cell>
        </row>
        <row r="1693">
          <cell r="A1693">
            <v>10894</v>
          </cell>
          <cell r="B1693">
            <v>75</v>
          </cell>
          <cell r="C1693">
            <v>7.75</v>
          </cell>
          <cell r="D1693">
            <v>120</v>
          </cell>
          <cell r="E1693">
            <v>5.000000074505806E-2</v>
          </cell>
          <cell r="F1693">
            <v>883.499999307096</v>
          </cell>
        </row>
        <row r="1694">
          <cell r="A1694">
            <v>10895</v>
          </cell>
          <cell r="B1694">
            <v>24</v>
          </cell>
          <cell r="C1694">
            <v>4.5</v>
          </cell>
          <cell r="D1694">
            <v>110</v>
          </cell>
          <cell r="E1694">
            <v>0</v>
          </cell>
          <cell r="F1694">
            <v>495</v>
          </cell>
        </row>
        <row r="1695">
          <cell r="A1695">
            <v>10895</v>
          </cell>
          <cell r="B1695">
            <v>39</v>
          </cell>
          <cell r="C1695">
            <v>18</v>
          </cell>
          <cell r="D1695">
            <v>45</v>
          </cell>
          <cell r="E1695">
            <v>0</v>
          </cell>
          <cell r="F1695">
            <v>810</v>
          </cell>
        </row>
        <row r="1696">
          <cell r="A1696">
            <v>10895</v>
          </cell>
          <cell r="B1696">
            <v>40</v>
          </cell>
          <cell r="C1696">
            <v>18.399999999999999</v>
          </cell>
          <cell r="D1696">
            <v>91</v>
          </cell>
          <cell r="E1696">
            <v>0</v>
          </cell>
          <cell r="F1696">
            <v>1674.3999999999999</v>
          </cell>
        </row>
        <row r="1697">
          <cell r="A1697">
            <v>10895</v>
          </cell>
          <cell r="B1697">
            <v>60</v>
          </cell>
          <cell r="C1697">
            <v>34</v>
          </cell>
          <cell r="D1697">
            <v>100</v>
          </cell>
          <cell r="E1697">
            <v>0</v>
          </cell>
          <cell r="F1697">
            <v>3400</v>
          </cell>
        </row>
        <row r="1698">
          <cell r="A1698">
            <v>10896</v>
          </cell>
          <cell r="B1698">
            <v>45</v>
          </cell>
          <cell r="C1698">
            <v>9.5</v>
          </cell>
          <cell r="D1698">
            <v>15</v>
          </cell>
          <cell r="E1698">
            <v>0</v>
          </cell>
          <cell r="F1698">
            <v>142.5</v>
          </cell>
        </row>
        <row r="1699">
          <cell r="A1699">
            <v>10896</v>
          </cell>
          <cell r="B1699">
            <v>56</v>
          </cell>
          <cell r="C1699">
            <v>38</v>
          </cell>
          <cell r="D1699">
            <v>16</v>
          </cell>
          <cell r="E1699">
            <v>0</v>
          </cell>
          <cell r="F1699">
            <v>608</v>
          </cell>
        </row>
        <row r="1700">
          <cell r="A1700">
            <v>10897</v>
          </cell>
          <cell r="B1700">
            <v>29</v>
          </cell>
          <cell r="C1700">
            <v>123.79</v>
          </cell>
          <cell r="D1700">
            <v>80</v>
          </cell>
          <cell r="E1700">
            <v>0</v>
          </cell>
          <cell r="F1700">
            <v>9903.2000000000007</v>
          </cell>
        </row>
        <row r="1701">
          <cell r="A1701">
            <v>10897</v>
          </cell>
          <cell r="B1701">
            <v>30</v>
          </cell>
          <cell r="C1701">
            <v>25.89</v>
          </cell>
          <cell r="D1701">
            <v>36</v>
          </cell>
          <cell r="E1701">
            <v>0</v>
          </cell>
          <cell r="F1701">
            <v>932.04</v>
          </cell>
        </row>
        <row r="1702">
          <cell r="A1702">
            <v>10898</v>
          </cell>
          <cell r="B1702">
            <v>13</v>
          </cell>
          <cell r="C1702">
            <v>6</v>
          </cell>
          <cell r="D1702">
            <v>5</v>
          </cell>
          <cell r="E1702">
            <v>0</v>
          </cell>
          <cell r="F1702">
            <v>30</v>
          </cell>
        </row>
        <row r="1703">
          <cell r="A1703">
            <v>10899</v>
          </cell>
          <cell r="B1703">
            <v>39</v>
          </cell>
          <cell r="C1703">
            <v>18</v>
          </cell>
          <cell r="D1703">
            <v>8</v>
          </cell>
          <cell r="E1703">
            <v>0.15000000596046448</v>
          </cell>
          <cell r="F1703">
            <v>122.39999914169312</v>
          </cell>
        </row>
        <row r="1704">
          <cell r="A1704">
            <v>10900</v>
          </cell>
          <cell r="B1704">
            <v>70</v>
          </cell>
          <cell r="C1704">
            <v>15</v>
          </cell>
          <cell r="D1704">
            <v>3</v>
          </cell>
          <cell r="E1704">
            <v>0.25</v>
          </cell>
          <cell r="F1704">
            <v>33.75</v>
          </cell>
        </row>
        <row r="1705">
          <cell r="A1705">
            <v>10901</v>
          </cell>
          <cell r="B1705">
            <v>41</v>
          </cell>
          <cell r="C1705">
            <v>9.65</v>
          </cell>
          <cell r="D1705">
            <v>30</v>
          </cell>
          <cell r="E1705">
            <v>0</v>
          </cell>
          <cell r="F1705">
            <v>289.5</v>
          </cell>
        </row>
        <row r="1706">
          <cell r="A1706">
            <v>10901</v>
          </cell>
          <cell r="B1706">
            <v>71</v>
          </cell>
          <cell r="C1706">
            <v>21.5</v>
          </cell>
          <cell r="D1706">
            <v>30</v>
          </cell>
          <cell r="E1706">
            <v>0</v>
          </cell>
          <cell r="F1706">
            <v>645</v>
          </cell>
        </row>
        <row r="1707">
          <cell r="A1707">
            <v>10902</v>
          </cell>
          <cell r="B1707">
            <v>55</v>
          </cell>
          <cell r="C1707">
            <v>24</v>
          </cell>
          <cell r="D1707">
            <v>30</v>
          </cell>
          <cell r="E1707">
            <v>0.15000000596046448</v>
          </cell>
          <cell r="F1707">
            <v>611.99999570846558</v>
          </cell>
        </row>
        <row r="1708">
          <cell r="A1708">
            <v>10902</v>
          </cell>
          <cell r="B1708">
            <v>62</v>
          </cell>
          <cell r="C1708">
            <v>49.3</v>
          </cell>
          <cell r="D1708">
            <v>6</v>
          </cell>
          <cell r="E1708">
            <v>0.15000000596046448</v>
          </cell>
          <cell r="F1708">
            <v>251.42999823689456</v>
          </cell>
        </row>
        <row r="1709">
          <cell r="A1709">
            <v>10903</v>
          </cell>
          <cell r="B1709">
            <v>13</v>
          </cell>
          <cell r="C1709">
            <v>6</v>
          </cell>
          <cell r="D1709">
            <v>40</v>
          </cell>
          <cell r="E1709">
            <v>0</v>
          </cell>
          <cell r="F1709">
            <v>240</v>
          </cell>
        </row>
        <row r="1710">
          <cell r="A1710">
            <v>10903</v>
          </cell>
          <cell r="B1710">
            <v>65</v>
          </cell>
          <cell r="C1710">
            <v>21.05</v>
          </cell>
          <cell r="D1710">
            <v>21</v>
          </cell>
          <cell r="E1710">
            <v>0</v>
          </cell>
          <cell r="F1710">
            <v>442.05</v>
          </cell>
        </row>
        <row r="1711">
          <cell r="A1711">
            <v>10903</v>
          </cell>
          <cell r="B1711">
            <v>68</v>
          </cell>
          <cell r="C1711">
            <v>12.5</v>
          </cell>
          <cell r="D1711">
            <v>20</v>
          </cell>
          <cell r="E1711">
            <v>0</v>
          </cell>
          <cell r="F1711">
            <v>250</v>
          </cell>
        </row>
        <row r="1712">
          <cell r="A1712">
            <v>10904</v>
          </cell>
          <cell r="B1712">
            <v>58</v>
          </cell>
          <cell r="C1712">
            <v>13.25</v>
          </cell>
          <cell r="D1712">
            <v>15</v>
          </cell>
          <cell r="E1712">
            <v>0</v>
          </cell>
          <cell r="F1712">
            <v>198.75</v>
          </cell>
        </row>
        <row r="1713">
          <cell r="A1713">
            <v>10904</v>
          </cell>
          <cell r="B1713">
            <v>62</v>
          </cell>
          <cell r="C1713">
            <v>49.3</v>
          </cell>
          <cell r="D1713">
            <v>35</v>
          </cell>
          <cell r="E1713">
            <v>0</v>
          </cell>
          <cell r="F1713">
            <v>1725.5</v>
          </cell>
        </row>
        <row r="1714">
          <cell r="A1714">
            <v>10905</v>
          </cell>
          <cell r="B1714">
            <v>1</v>
          </cell>
          <cell r="C1714">
            <v>18</v>
          </cell>
          <cell r="D1714">
            <v>20</v>
          </cell>
          <cell r="E1714">
            <v>5.000000074505806E-2</v>
          </cell>
          <cell r="F1714">
            <v>341.9999997317791</v>
          </cell>
        </row>
        <row r="1715">
          <cell r="A1715">
            <v>10906</v>
          </cell>
          <cell r="B1715">
            <v>61</v>
          </cell>
          <cell r="C1715">
            <v>28.5</v>
          </cell>
          <cell r="D1715">
            <v>15</v>
          </cell>
          <cell r="E1715">
            <v>0</v>
          </cell>
          <cell r="F1715">
            <v>427.5</v>
          </cell>
        </row>
        <row r="1716">
          <cell r="A1716">
            <v>10907</v>
          </cell>
          <cell r="B1716">
            <v>75</v>
          </cell>
          <cell r="C1716">
            <v>7.75</v>
          </cell>
          <cell r="D1716">
            <v>14</v>
          </cell>
          <cell r="E1716">
            <v>0</v>
          </cell>
          <cell r="F1716">
            <v>108.5</v>
          </cell>
        </row>
        <row r="1717">
          <cell r="A1717">
            <v>10908</v>
          </cell>
          <cell r="B1717">
            <v>7</v>
          </cell>
          <cell r="C1717">
            <v>30</v>
          </cell>
          <cell r="D1717">
            <v>20</v>
          </cell>
          <cell r="E1717">
            <v>5.000000074505806E-2</v>
          </cell>
          <cell r="F1717">
            <v>569.99999955296516</v>
          </cell>
        </row>
        <row r="1718">
          <cell r="A1718">
            <v>10908</v>
          </cell>
          <cell r="B1718">
            <v>52</v>
          </cell>
          <cell r="C1718">
            <v>7</v>
          </cell>
          <cell r="D1718">
            <v>14</v>
          </cell>
          <cell r="E1718">
            <v>5.000000074505806E-2</v>
          </cell>
          <cell r="F1718">
            <v>93.09999992698431</v>
          </cell>
        </row>
        <row r="1719">
          <cell r="A1719">
            <v>10909</v>
          </cell>
          <cell r="B1719">
            <v>7</v>
          </cell>
          <cell r="C1719">
            <v>30</v>
          </cell>
          <cell r="D1719">
            <v>12</v>
          </cell>
          <cell r="E1719">
            <v>0</v>
          </cell>
          <cell r="F1719">
            <v>360</v>
          </cell>
        </row>
        <row r="1720">
          <cell r="A1720">
            <v>10909</v>
          </cell>
          <cell r="B1720">
            <v>16</v>
          </cell>
          <cell r="C1720">
            <v>17.45</v>
          </cell>
          <cell r="D1720">
            <v>15</v>
          </cell>
          <cell r="E1720">
            <v>0</v>
          </cell>
          <cell r="F1720">
            <v>261.75</v>
          </cell>
        </row>
        <row r="1721">
          <cell r="A1721">
            <v>10909</v>
          </cell>
          <cell r="B1721">
            <v>41</v>
          </cell>
          <cell r="C1721">
            <v>9.65</v>
          </cell>
          <cell r="D1721">
            <v>5</v>
          </cell>
          <cell r="E1721">
            <v>0</v>
          </cell>
          <cell r="F1721">
            <v>48.25</v>
          </cell>
        </row>
        <row r="1722">
          <cell r="A1722">
            <v>10910</v>
          </cell>
          <cell r="B1722">
            <v>19</v>
          </cell>
          <cell r="C1722">
            <v>9.1999999999999993</v>
          </cell>
          <cell r="D1722">
            <v>12</v>
          </cell>
          <cell r="E1722">
            <v>0</v>
          </cell>
          <cell r="F1722">
            <v>110.39999999999999</v>
          </cell>
        </row>
        <row r="1723">
          <cell r="A1723">
            <v>10910</v>
          </cell>
          <cell r="B1723">
            <v>49</v>
          </cell>
          <cell r="C1723">
            <v>20</v>
          </cell>
          <cell r="D1723">
            <v>10</v>
          </cell>
          <cell r="E1723">
            <v>0</v>
          </cell>
          <cell r="F1723">
            <v>200</v>
          </cell>
        </row>
        <row r="1724">
          <cell r="A1724">
            <v>10910</v>
          </cell>
          <cell r="B1724">
            <v>61</v>
          </cell>
          <cell r="C1724">
            <v>28.5</v>
          </cell>
          <cell r="D1724">
            <v>5</v>
          </cell>
          <cell r="E1724">
            <v>0</v>
          </cell>
          <cell r="F1724">
            <v>142.5</v>
          </cell>
        </row>
        <row r="1725">
          <cell r="A1725">
            <v>10911</v>
          </cell>
          <cell r="B1725">
            <v>1</v>
          </cell>
          <cell r="C1725">
            <v>18</v>
          </cell>
          <cell r="D1725">
            <v>10</v>
          </cell>
          <cell r="E1725">
            <v>0</v>
          </cell>
          <cell r="F1725">
            <v>180</v>
          </cell>
        </row>
        <row r="1726">
          <cell r="A1726">
            <v>10911</v>
          </cell>
          <cell r="B1726">
            <v>17</v>
          </cell>
          <cell r="C1726">
            <v>39</v>
          </cell>
          <cell r="D1726">
            <v>12</v>
          </cell>
          <cell r="E1726">
            <v>0</v>
          </cell>
          <cell r="F1726">
            <v>468</v>
          </cell>
        </row>
        <row r="1727">
          <cell r="A1727">
            <v>10911</v>
          </cell>
          <cell r="B1727">
            <v>67</v>
          </cell>
          <cell r="C1727">
            <v>14</v>
          </cell>
          <cell r="D1727">
            <v>15</v>
          </cell>
          <cell r="E1727">
            <v>0</v>
          </cell>
          <cell r="F1727">
            <v>210</v>
          </cell>
        </row>
        <row r="1728">
          <cell r="A1728">
            <v>10912</v>
          </cell>
          <cell r="B1728">
            <v>11</v>
          </cell>
          <cell r="C1728">
            <v>21</v>
          </cell>
          <cell r="D1728">
            <v>40</v>
          </cell>
          <cell r="E1728">
            <v>0.25</v>
          </cell>
          <cell r="F1728">
            <v>630</v>
          </cell>
        </row>
        <row r="1729">
          <cell r="A1729">
            <v>10912</v>
          </cell>
          <cell r="B1729">
            <v>29</v>
          </cell>
          <cell r="C1729">
            <v>123.79</v>
          </cell>
          <cell r="D1729">
            <v>60</v>
          </cell>
          <cell r="E1729">
            <v>0.25</v>
          </cell>
          <cell r="F1729">
            <v>5570.55</v>
          </cell>
        </row>
        <row r="1730">
          <cell r="A1730">
            <v>10913</v>
          </cell>
          <cell r="B1730">
            <v>4</v>
          </cell>
          <cell r="C1730">
            <v>22</v>
          </cell>
          <cell r="D1730">
            <v>30</v>
          </cell>
          <cell r="E1730">
            <v>0.25</v>
          </cell>
          <cell r="F1730">
            <v>495</v>
          </cell>
        </row>
        <row r="1731">
          <cell r="A1731">
            <v>10913</v>
          </cell>
          <cell r="B1731">
            <v>33</v>
          </cell>
          <cell r="C1731">
            <v>2.5</v>
          </cell>
          <cell r="D1731">
            <v>40</v>
          </cell>
          <cell r="E1731">
            <v>0.25</v>
          </cell>
          <cell r="F1731">
            <v>75</v>
          </cell>
        </row>
        <row r="1732">
          <cell r="A1732">
            <v>10913</v>
          </cell>
          <cell r="B1732">
            <v>58</v>
          </cell>
          <cell r="C1732">
            <v>13.25</v>
          </cell>
          <cell r="D1732">
            <v>15</v>
          </cell>
          <cell r="E1732">
            <v>0</v>
          </cell>
          <cell r="F1732">
            <v>198.75</v>
          </cell>
        </row>
        <row r="1733">
          <cell r="A1733">
            <v>10914</v>
          </cell>
          <cell r="B1733">
            <v>71</v>
          </cell>
          <cell r="C1733">
            <v>21.5</v>
          </cell>
          <cell r="D1733">
            <v>25</v>
          </cell>
          <cell r="E1733">
            <v>0</v>
          </cell>
          <cell r="F1733">
            <v>537.5</v>
          </cell>
        </row>
        <row r="1734">
          <cell r="A1734">
            <v>10915</v>
          </cell>
          <cell r="B1734">
            <v>17</v>
          </cell>
          <cell r="C1734">
            <v>39</v>
          </cell>
          <cell r="D1734">
            <v>10</v>
          </cell>
          <cell r="E1734">
            <v>0</v>
          </cell>
          <cell r="F1734">
            <v>390</v>
          </cell>
        </row>
        <row r="1735">
          <cell r="A1735">
            <v>10915</v>
          </cell>
          <cell r="B1735">
            <v>33</v>
          </cell>
          <cell r="C1735">
            <v>2.5</v>
          </cell>
          <cell r="D1735">
            <v>30</v>
          </cell>
          <cell r="E1735">
            <v>0</v>
          </cell>
          <cell r="F1735">
            <v>75</v>
          </cell>
        </row>
        <row r="1736">
          <cell r="A1736">
            <v>10915</v>
          </cell>
          <cell r="B1736">
            <v>54</v>
          </cell>
          <cell r="C1736">
            <v>7.45</v>
          </cell>
          <cell r="D1736">
            <v>10</v>
          </cell>
          <cell r="E1736">
            <v>0</v>
          </cell>
          <cell r="F1736">
            <v>74.5</v>
          </cell>
        </row>
        <row r="1737">
          <cell r="A1737">
            <v>10916</v>
          </cell>
          <cell r="B1737">
            <v>16</v>
          </cell>
          <cell r="C1737">
            <v>17.45</v>
          </cell>
          <cell r="D1737">
            <v>6</v>
          </cell>
          <cell r="E1737">
            <v>0</v>
          </cell>
          <cell r="F1737">
            <v>104.69999999999999</v>
          </cell>
        </row>
        <row r="1738">
          <cell r="A1738">
            <v>10916</v>
          </cell>
          <cell r="B1738">
            <v>32</v>
          </cell>
          <cell r="C1738">
            <v>32</v>
          </cell>
          <cell r="D1738">
            <v>6</v>
          </cell>
          <cell r="E1738">
            <v>0</v>
          </cell>
          <cell r="F1738">
            <v>192</v>
          </cell>
        </row>
        <row r="1739">
          <cell r="A1739">
            <v>10916</v>
          </cell>
          <cell r="B1739">
            <v>57</v>
          </cell>
          <cell r="C1739">
            <v>19.5</v>
          </cell>
          <cell r="D1739">
            <v>20</v>
          </cell>
          <cell r="E1739">
            <v>0</v>
          </cell>
          <cell r="F1739">
            <v>390</v>
          </cell>
        </row>
        <row r="1740">
          <cell r="A1740">
            <v>10917</v>
          </cell>
          <cell r="B1740">
            <v>30</v>
          </cell>
          <cell r="C1740">
            <v>25.89</v>
          </cell>
          <cell r="D1740">
            <v>1</v>
          </cell>
          <cell r="E1740">
            <v>0</v>
          </cell>
          <cell r="F1740">
            <v>25.89</v>
          </cell>
        </row>
        <row r="1741">
          <cell r="A1741">
            <v>10917</v>
          </cell>
          <cell r="B1741">
            <v>60</v>
          </cell>
          <cell r="C1741">
            <v>34</v>
          </cell>
          <cell r="D1741">
            <v>10</v>
          </cell>
          <cell r="E1741">
            <v>0</v>
          </cell>
          <cell r="F1741">
            <v>340</v>
          </cell>
        </row>
        <row r="1742">
          <cell r="A1742">
            <v>10918</v>
          </cell>
          <cell r="B1742">
            <v>1</v>
          </cell>
          <cell r="C1742">
            <v>18</v>
          </cell>
          <cell r="D1742">
            <v>60</v>
          </cell>
          <cell r="E1742">
            <v>0.25</v>
          </cell>
          <cell r="F1742">
            <v>810</v>
          </cell>
        </row>
        <row r="1743">
          <cell r="A1743">
            <v>10918</v>
          </cell>
          <cell r="B1743">
            <v>60</v>
          </cell>
          <cell r="C1743">
            <v>34</v>
          </cell>
          <cell r="D1743">
            <v>25</v>
          </cell>
          <cell r="E1743">
            <v>0.25</v>
          </cell>
          <cell r="F1743">
            <v>637.5</v>
          </cell>
        </row>
        <row r="1744">
          <cell r="A1744">
            <v>10919</v>
          </cell>
          <cell r="B1744">
            <v>16</v>
          </cell>
          <cell r="C1744">
            <v>17.45</v>
          </cell>
          <cell r="D1744">
            <v>24</v>
          </cell>
          <cell r="E1744">
            <v>0</v>
          </cell>
          <cell r="F1744">
            <v>418.79999999999995</v>
          </cell>
        </row>
        <row r="1745">
          <cell r="A1745">
            <v>10919</v>
          </cell>
          <cell r="B1745">
            <v>25</v>
          </cell>
          <cell r="C1745">
            <v>14</v>
          </cell>
          <cell r="D1745">
            <v>24</v>
          </cell>
          <cell r="E1745">
            <v>0</v>
          </cell>
          <cell r="F1745">
            <v>336</v>
          </cell>
        </row>
        <row r="1746">
          <cell r="A1746">
            <v>10919</v>
          </cell>
          <cell r="B1746">
            <v>40</v>
          </cell>
          <cell r="C1746">
            <v>18.399999999999999</v>
          </cell>
          <cell r="D1746">
            <v>20</v>
          </cell>
          <cell r="E1746">
            <v>0</v>
          </cell>
          <cell r="F1746">
            <v>368</v>
          </cell>
        </row>
        <row r="1747">
          <cell r="A1747">
            <v>10920</v>
          </cell>
          <cell r="B1747">
            <v>50</v>
          </cell>
          <cell r="C1747">
            <v>16.25</v>
          </cell>
          <cell r="D1747">
            <v>24</v>
          </cell>
          <cell r="E1747">
            <v>0</v>
          </cell>
          <cell r="F1747">
            <v>390</v>
          </cell>
        </row>
        <row r="1748">
          <cell r="A1748">
            <v>10921</v>
          </cell>
          <cell r="B1748">
            <v>35</v>
          </cell>
          <cell r="C1748">
            <v>18</v>
          </cell>
          <cell r="D1748">
            <v>10</v>
          </cell>
          <cell r="E1748">
            <v>0</v>
          </cell>
          <cell r="F1748">
            <v>180</v>
          </cell>
        </row>
        <row r="1749">
          <cell r="A1749">
            <v>10921</v>
          </cell>
          <cell r="B1749">
            <v>63</v>
          </cell>
          <cell r="C1749">
            <v>43.9</v>
          </cell>
          <cell r="D1749">
            <v>40</v>
          </cell>
          <cell r="E1749">
            <v>0</v>
          </cell>
          <cell r="F1749">
            <v>1756</v>
          </cell>
        </row>
        <row r="1750">
          <cell r="A1750">
            <v>10922</v>
          </cell>
          <cell r="B1750">
            <v>17</v>
          </cell>
          <cell r="C1750">
            <v>39</v>
          </cell>
          <cell r="D1750">
            <v>15</v>
          </cell>
          <cell r="E1750">
            <v>0</v>
          </cell>
          <cell r="F1750">
            <v>585</v>
          </cell>
        </row>
        <row r="1751">
          <cell r="A1751">
            <v>10922</v>
          </cell>
          <cell r="B1751">
            <v>24</v>
          </cell>
          <cell r="C1751">
            <v>4.5</v>
          </cell>
          <cell r="D1751">
            <v>35</v>
          </cell>
          <cell r="E1751">
            <v>0</v>
          </cell>
          <cell r="F1751">
            <v>157.5</v>
          </cell>
        </row>
        <row r="1752">
          <cell r="A1752">
            <v>10923</v>
          </cell>
          <cell r="B1752">
            <v>42</v>
          </cell>
          <cell r="C1752">
            <v>14</v>
          </cell>
          <cell r="D1752">
            <v>10</v>
          </cell>
          <cell r="E1752">
            <v>0.20000000298023224</v>
          </cell>
          <cell r="F1752">
            <v>111.99999958276749</v>
          </cell>
        </row>
        <row r="1753">
          <cell r="A1753">
            <v>10923</v>
          </cell>
          <cell r="B1753">
            <v>43</v>
          </cell>
          <cell r="C1753">
            <v>46</v>
          </cell>
          <cell r="D1753">
            <v>10</v>
          </cell>
          <cell r="E1753">
            <v>0.20000000298023224</v>
          </cell>
          <cell r="F1753">
            <v>367.99999862909317</v>
          </cell>
        </row>
        <row r="1754">
          <cell r="A1754">
            <v>10923</v>
          </cell>
          <cell r="B1754">
            <v>67</v>
          </cell>
          <cell r="C1754">
            <v>14</v>
          </cell>
          <cell r="D1754">
            <v>24</v>
          </cell>
          <cell r="E1754">
            <v>0.20000000298023224</v>
          </cell>
          <cell r="F1754">
            <v>268.79999899864197</v>
          </cell>
        </row>
        <row r="1755">
          <cell r="A1755">
            <v>10924</v>
          </cell>
          <cell r="B1755">
            <v>10</v>
          </cell>
          <cell r="C1755">
            <v>31</v>
          </cell>
          <cell r="D1755">
            <v>20</v>
          </cell>
          <cell r="E1755">
            <v>0.10000000149011612</v>
          </cell>
          <cell r="F1755">
            <v>557.99999907612801</v>
          </cell>
        </row>
        <row r="1756">
          <cell r="A1756">
            <v>10924</v>
          </cell>
          <cell r="B1756">
            <v>28</v>
          </cell>
          <cell r="C1756">
            <v>45.6</v>
          </cell>
          <cell r="D1756">
            <v>30</v>
          </cell>
          <cell r="E1756">
            <v>0.10000000149011612</v>
          </cell>
          <cell r="F1756">
            <v>1231.1999979615211</v>
          </cell>
        </row>
        <row r="1757">
          <cell r="A1757">
            <v>10924</v>
          </cell>
          <cell r="B1757">
            <v>75</v>
          </cell>
          <cell r="C1757">
            <v>7.75</v>
          </cell>
          <cell r="D1757">
            <v>6</v>
          </cell>
          <cell r="E1757">
            <v>0</v>
          </cell>
          <cell r="F1757">
            <v>46.5</v>
          </cell>
        </row>
        <row r="1758">
          <cell r="A1758">
            <v>10925</v>
          </cell>
          <cell r="B1758">
            <v>36</v>
          </cell>
          <cell r="C1758">
            <v>19</v>
          </cell>
          <cell r="D1758">
            <v>25</v>
          </cell>
          <cell r="E1758">
            <v>0.15000000596046448</v>
          </cell>
          <cell r="F1758">
            <v>403.74999716877937</v>
          </cell>
        </row>
        <row r="1759">
          <cell r="A1759">
            <v>10925</v>
          </cell>
          <cell r="B1759">
            <v>52</v>
          </cell>
          <cell r="C1759">
            <v>7</v>
          </cell>
          <cell r="D1759">
            <v>12</v>
          </cell>
          <cell r="E1759">
            <v>0.15000000596046448</v>
          </cell>
          <cell r="F1759">
            <v>71.399999499320984</v>
          </cell>
        </row>
        <row r="1760">
          <cell r="A1760">
            <v>10926</v>
          </cell>
          <cell r="B1760">
            <v>11</v>
          </cell>
          <cell r="C1760">
            <v>21</v>
          </cell>
          <cell r="D1760">
            <v>2</v>
          </cell>
          <cell r="E1760">
            <v>0</v>
          </cell>
          <cell r="F1760">
            <v>42</v>
          </cell>
        </row>
        <row r="1761">
          <cell r="A1761">
            <v>10926</v>
          </cell>
          <cell r="B1761">
            <v>13</v>
          </cell>
          <cell r="C1761">
            <v>6</v>
          </cell>
          <cell r="D1761">
            <v>10</v>
          </cell>
          <cell r="E1761">
            <v>0</v>
          </cell>
          <cell r="F1761">
            <v>60</v>
          </cell>
        </row>
        <row r="1762">
          <cell r="A1762">
            <v>10926</v>
          </cell>
          <cell r="B1762">
            <v>19</v>
          </cell>
          <cell r="C1762">
            <v>9.1999999999999993</v>
          </cell>
          <cell r="D1762">
            <v>7</v>
          </cell>
          <cell r="E1762">
            <v>0</v>
          </cell>
          <cell r="F1762">
            <v>64.399999999999991</v>
          </cell>
        </row>
        <row r="1763">
          <cell r="A1763">
            <v>10926</v>
          </cell>
          <cell r="B1763">
            <v>72</v>
          </cell>
          <cell r="C1763">
            <v>34.799999999999997</v>
          </cell>
          <cell r="D1763">
            <v>10</v>
          </cell>
          <cell r="E1763">
            <v>0</v>
          </cell>
          <cell r="F1763">
            <v>348</v>
          </cell>
        </row>
        <row r="1764">
          <cell r="A1764">
            <v>10927</v>
          </cell>
          <cell r="B1764">
            <v>20</v>
          </cell>
          <cell r="C1764">
            <v>81</v>
          </cell>
          <cell r="D1764">
            <v>5</v>
          </cell>
          <cell r="E1764">
            <v>0</v>
          </cell>
          <cell r="F1764">
            <v>405</v>
          </cell>
        </row>
        <row r="1765">
          <cell r="A1765">
            <v>10927</v>
          </cell>
          <cell r="B1765">
            <v>52</v>
          </cell>
          <cell r="C1765">
            <v>7</v>
          </cell>
          <cell r="D1765">
            <v>5</v>
          </cell>
          <cell r="E1765">
            <v>0</v>
          </cell>
          <cell r="F1765">
            <v>35</v>
          </cell>
        </row>
        <row r="1766">
          <cell r="A1766">
            <v>10927</v>
          </cell>
          <cell r="B1766">
            <v>76</v>
          </cell>
          <cell r="C1766">
            <v>18</v>
          </cell>
          <cell r="D1766">
            <v>20</v>
          </cell>
          <cell r="E1766">
            <v>0</v>
          </cell>
          <cell r="F1766">
            <v>360</v>
          </cell>
        </row>
        <row r="1767">
          <cell r="A1767">
            <v>10928</v>
          </cell>
          <cell r="B1767">
            <v>47</v>
          </cell>
          <cell r="C1767">
            <v>9.5</v>
          </cell>
          <cell r="D1767">
            <v>5</v>
          </cell>
          <cell r="E1767">
            <v>0</v>
          </cell>
          <cell r="F1767">
            <v>47.5</v>
          </cell>
        </row>
        <row r="1768">
          <cell r="A1768">
            <v>10928</v>
          </cell>
          <cell r="B1768">
            <v>76</v>
          </cell>
          <cell r="C1768">
            <v>18</v>
          </cell>
          <cell r="D1768">
            <v>5</v>
          </cell>
          <cell r="E1768">
            <v>0</v>
          </cell>
          <cell r="F1768">
            <v>90</v>
          </cell>
        </row>
        <row r="1769">
          <cell r="A1769">
            <v>10929</v>
          </cell>
          <cell r="B1769">
            <v>21</v>
          </cell>
          <cell r="C1769">
            <v>10</v>
          </cell>
          <cell r="D1769">
            <v>60</v>
          </cell>
          <cell r="E1769">
            <v>0</v>
          </cell>
          <cell r="F1769">
            <v>600</v>
          </cell>
        </row>
        <row r="1770">
          <cell r="A1770">
            <v>10929</v>
          </cell>
          <cell r="B1770">
            <v>75</v>
          </cell>
          <cell r="C1770">
            <v>7.75</v>
          </cell>
          <cell r="D1770">
            <v>49</v>
          </cell>
          <cell r="E1770">
            <v>0</v>
          </cell>
          <cell r="F1770">
            <v>379.75</v>
          </cell>
        </row>
        <row r="1771">
          <cell r="A1771">
            <v>10929</v>
          </cell>
          <cell r="B1771">
            <v>77</v>
          </cell>
          <cell r="C1771">
            <v>13</v>
          </cell>
          <cell r="D1771">
            <v>15</v>
          </cell>
          <cell r="E1771">
            <v>0</v>
          </cell>
          <cell r="F1771">
            <v>195</v>
          </cell>
        </row>
        <row r="1772">
          <cell r="A1772">
            <v>10930</v>
          </cell>
          <cell r="B1772">
            <v>21</v>
          </cell>
          <cell r="C1772">
            <v>10</v>
          </cell>
          <cell r="D1772">
            <v>36</v>
          </cell>
          <cell r="E1772">
            <v>0</v>
          </cell>
          <cell r="F1772">
            <v>360</v>
          </cell>
        </row>
        <row r="1773">
          <cell r="A1773">
            <v>10930</v>
          </cell>
          <cell r="B1773">
            <v>27</v>
          </cell>
          <cell r="C1773">
            <v>43.9</v>
          </cell>
          <cell r="D1773">
            <v>25</v>
          </cell>
          <cell r="E1773">
            <v>0</v>
          </cell>
          <cell r="F1773">
            <v>1097.5</v>
          </cell>
        </row>
        <row r="1774">
          <cell r="A1774">
            <v>10930</v>
          </cell>
          <cell r="B1774">
            <v>55</v>
          </cell>
          <cell r="C1774">
            <v>24</v>
          </cell>
          <cell r="D1774">
            <v>25</v>
          </cell>
          <cell r="E1774">
            <v>0.20000000298023224</v>
          </cell>
          <cell r="F1774">
            <v>479.99999821186066</v>
          </cell>
        </row>
        <row r="1775">
          <cell r="A1775">
            <v>10930</v>
          </cell>
          <cell r="B1775">
            <v>58</v>
          </cell>
          <cell r="C1775">
            <v>13.25</v>
          </cell>
          <cell r="D1775">
            <v>30</v>
          </cell>
          <cell r="E1775">
            <v>0.20000000298023224</v>
          </cell>
          <cell r="F1775">
            <v>317.99999881535769</v>
          </cell>
        </row>
        <row r="1776">
          <cell r="A1776">
            <v>10931</v>
          </cell>
          <cell r="B1776">
            <v>13</v>
          </cell>
          <cell r="C1776">
            <v>6</v>
          </cell>
          <cell r="D1776">
            <v>42</v>
          </cell>
          <cell r="E1776">
            <v>0.15000000596046448</v>
          </cell>
          <cell r="F1776">
            <v>214.19999849796295</v>
          </cell>
        </row>
        <row r="1777">
          <cell r="A1777">
            <v>10931</v>
          </cell>
          <cell r="B1777">
            <v>57</v>
          </cell>
          <cell r="C1777">
            <v>19.5</v>
          </cell>
          <cell r="D1777">
            <v>30</v>
          </cell>
          <cell r="E1777">
            <v>0</v>
          </cell>
          <cell r="F1777">
            <v>585</v>
          </cell>
        </row>
        <row r="1778">
          <cell r="A1778">
            <v>10932</v>
          </cell>
          <cell r="B1778">
            <v>16</v>
          </cell>
          <cell r="C1778">
            <v>17.45</v>
          </cell>
          <cell r="D1778">
            <v>30</v>
          </cell>
          <cell r="E1778">
            <v>0.10000000149011612</v>
          </cell>
          <cell r="F1778">
            <v>471.14999921992421</v>
          </cell>
        </row>
        <row r="1779">
          <cell r="A1779">
            <v>10932</v>
          </cell>
          <cell r="B1779">
            <v>62</v>
          </cell>
          <cell r="C1779">
            <v>49.3</v>
          </cell>
          <cell r="D1779">
            <v>14</v>
          </cell>
          <cell r="E1779">
            <v>0.10000000149011612</v>
          </cell>
          <cell r="F1779">
            <v>621.17999897152174</v>
          </cell>
        </row>
        <row r="1780">
          <cell r="A1780">
            <v>10932</v>
          </cell>
          <cell r="B1780">
            <v>72</v>
          </cell>
          <cell r="C1780">
            <v>34.799999999999997</v>
          </cell>
          <cell r="D1780">
            <v>16</v>
          </cell>
          <cell r="E1780">
            <v>0</v>
          </cell>
          <cell r="F1780">
            <v>556.79999999999995</v>
          </cell>
        </row>
        <row r="1781">
          <cell r="A1781">
            <v>10932</v>
          </cell>
          <cell r="B1781">
            <v>75</v>
          </cell>
          <cell r="C1781">
            <v>7.75</v>
          </cell>
          <cell r="D1781">
            <v>20</v>
          </cell>
          <cell r="E1781">
            <v>0.10000000149011612</v>
          </cell>
          <cell r="F1781">
            <v>139.499999769032</v>
          </cell>
        </row>
        <row r="1782">
          <cell r="A1782">
            <v>10933</v>
          </cell>
          <cell r="B1782">
            <v>53</v>
          </cell>
          <cell r="C1782">
            <v>32.799999999999997</v>
          </cell>
          <cell r="D1782">
            <v>2</v>
          </cell>
          <cell r="E1782">
            <v>0</v>
          </cell>
          <cell r="F1782">
            <v>65.599999999999994</v>
          </cell>
        </row>
        <row r="1783">
          <cell r="A1783">
            <v>10933</v>
          </cell>
          <cell r="B1783">
            <v>61</v>
          </cell>
          <cell r="C1783">
            <v>28.5</v>
          </cell>
          <cell r="D1783">
            <v>30</v>
          </cell>
          <cell r="E1783">
            <v>0</v>
          </cell>
          <cell r="F1783">
            <v>855</v>
          </cell>
        </row>
        <row r="1784">
          <cell r="A1784">
            <v>10934</v>
          </cell>
          <cell r="B1784">
            <v>6</v>
          </cell>
          <cell r="C1784">
            <v>25</v>
          </cell>
          <cell r="D1784">
            <v>20</v>
          </cell>
          <cell r="E1784">
            <v>0</v>
          </cell>
          <cell r="F1784">
            <v>500</v>
          </cell>
        </row>
        <row r="1785">
          <cell r="A1785">
            <v>10935</v>
          </cell>
          <cell r="B1785">
            <v>1</v>
          </cell>
          <cell r="C1785">
            <v>18</v>
          </cell>
          <cell r="D1785">
            <v>21</v>
          </cell>
          <cell r="E1785">
            <v>0</v>
          </cell>
          <cell r="F1785">
            <v>378</v>
          </cell>
        </row>
        <row r="1786">
          <cell r="A1786">
            <v>10935</v>
          </cell>
          <cell r="B1786">
            <v>18</v>
          </cell>
          <cell r="C1786">
            <v>62.5</v>
          </cell>
          <cell r="D1786">
            <v>4</v>
          </cell>
          <cell r="E1786">
            <v>0.25</v>
          </cell>
          <cell r="F1786">
            <v>187.5</v>
          </cell>
        </row>
        <row r="1787">
          <cell r="A1787">
            <v>10935</v>
          </cell>
          <cell r="B1787">
            <v>23</v>
          </cell>
          <cell r="C1787">
            <v>9</v>
          </cell>
          <cell r="D1787">
            <v>8</v>
          </cell>
          <cell r="E1787">
            <v>0.25</v>
          </cell>
          <cell r="F1787">
            <v>54</v>
          </cell>
        </row>
        <row r="1788">
          <cell r="A1788">
            <v>10936</v>
          </cell>
          <cell r="B1788">
            <v>36</v>
          </cell>
          <cell r="C1788">
            <v>19</v>
          </cell>
          <cell r="D1788">
            <v>30</v>
          </cell>
          <cell r="E1788">
            <v>0.20000000298023224</v>
          </cell>
          <cell r="F1788">
            <v>455.99999830126762</v>
          </cell>
        </row>
        <row r="1789">
          <cell r="A1789">
            <v>10937</v>
          </cell>
          <cell r="B1789">
            <v>28</v>
          </cell>
          <cell r="C1789">
            <v>45.6</v>
          </cell>
          <cell r="D1789">
            <v>8</v>
          </cell>
          <cell r="E1789">
            <v>0</v>
          </cell>
          <cell r="F1789">
            <v>364.8</v>
          </cell>
        </row>
        <row r="1790">
          <cell r="A1790">
            <v>10937</v>
          </cell>
          <cell r="B1790">
            <v>34</v>
          </cell>
          <cell r="C1790">
            <v>14</v>
          </cell>
          <cell r="D1790">
            <v>20</v>
          </cell>
          <cell r="E1790">
            <v>0</v>
          </cell>
          <cell r="F1790">
            <v>280</v>
          </cell>
        </row>
        <row r="1791">
          <cell r="A1791">
            <v>10938</v>
          </cell>
          <cell r="B1791">
            <v>13</v>
          </cell>
          <cell r="C1791">
            <v>6</v>
          </cell>
          <cell r="D1791">
            <v>20</v>
          </cell>
          <cell r="E1791">
            <v>0.25</v>
          </cell>
          <cell r="F1791">
            <v>90</v>
          </cell>
        </row>
        <row r="1792">
          <cell r="A1792">
            <v>10938</v>
          </cell>
          <cell r="B1792">
            <v>43</v>
          </cell>
          <cell r="C1792">
            <v>46</v>
          </cell>
          <cell r="D1792">
            <v>24</v>
          </cell>
          <cell r="E1792">
            <v>0.25</v>
          </cell>
          <cell r="F1792">
            <v>828</v>
          </cell>
        </row>
        <row r="1793">
          <cell r="A1793">
            <v>10938</v>
          </cell>
          <cell r="B1793">
            <v>60</v>
          </cell>
          <cell r="C1793">
            <v>34</v>
          </cell>
          <cell r="D1793">
            <v>49</v>
          </cell>
          <cell r="E1793">
            <v>0.25</v>
          </cell>
          <cell r="F1793">
            <v>1249.5</v>
          </cell>
        </row>
        <row r="1794">
          <cell r="A1794">
            <v>10938</v>
          </cell>
          <cell r="B1794">
            <v>71</v>
          </cell>
          <cell r="C1794">
            <v>21.5</v>
          </cell>
          <cell r="D1794">
            <v>35</v>
          </cell>
          <cell r="E1794">
            <v>0.25</v>
          </cell>
          <cell r="F1794">
            <v>564.375</v>
          </cell>
        </row>
        <row r="1795">
          <cell r="A1795">
            <v>10939</v>
          </cell>
          <cell r="B1795">
            <v>2</v>
          </cell>
          <cell r="C1795">
            <v>19</v>
          </cell>
          <cell r="D1795">
            <v>10</v>
          </cell>
          <cell r="E1795">
            <v>0.15000000596046448</v>
          </cell>
          <cell r="F1795">
            <v>161.49999886751175</v>
          </cell>
        </row>
        <row r="1796">
          <cell r="A1796">
            <v>10939</v>
          </cell>
          <cell r="B1796">
            <v>67</v>
          </cell>
          <cell r="C1796">
            <v>14</v>
          </cell>
          <cell r="D1796">
            <v>40</v>
          </cell>
          <cell r="E1796">
            <v>0.15000000596046448</v>
          </cell>
          <cell r="F1796">
            <v>475.99999666213989</v>
          </cell>
        </row>
        <row r="1797">
          <cell r="A1797">
            <v>10940</v>
          </cell>
          <cell r="B1797">
            <v>7</v>
          </cell>
          <cell r="C1797">
            <v>30</v>
          </cell>
          <cell r="D1797">
            <v>8</v>
          </cell>
          <cell r="E1797">
            <v>0</v>
          </cell>
          <cell r="F1797">
            <v>240</v>
          </cell>
        </row>
        <row r="1798">
          <cell r="A1798">
            <v>10940</v>
          </cell>
          <cell r="B1798">
            <v>13</v>
          </cell>
          <cell r="C1798">
            <v>6</v>
          </cell>
          <cell r="D1798">
            <v>20</v>
          </cell>
          <cell r="E1798">
            <v>0</v>
          </cell>
          <cell r="F1798">
            <v>120</v>
          </cell>
        </row>
        <row r="1799">
          <cell r="A1799">
            <v>10941</v>
          </cell>
          <cell r="B1799">
            <v>31</v>
          </cell>
          <cell r="C1799">
            <v>12.5</v>
          </cell>
          <cell r="D1799">
            <v>44</v>
          </cell>
          <cell r="E1799">
            <v>0.25</v>
          </cell>
          <cell r="F1799">
            <v>412.5</v>
          </cell>
        </row>
        <row r="1800">
          <cell r="A1800">
            <v>10941</v>
          </cell>
          <cell r="B1800">
            <v>62</v>
          </cell>
          <cell r="C1800">
            <v>49.3</v>
          </cell>
          <cell r="D1800">
            <v>30</v>
          </cell>
          <cell r="E1800">
            <v>0.25</v>
          </cell>
          <cell r="F1800">
            <v>1109.25</v>
          </cell>
        </row>
        <row r="1801">
          <cell r="A1801">
            <v>10941</v>
          </cell>
          <cell r="B1801">
            <v>68</v>
          </cell>
          <cell r="C1801">
            <v>12.5</v>
          </cell>
          <cell r="D1801">
            <v>80</v>
          </cell>
          <cell r="E1801">
            <v>0.25</v>
          </cell>
          <cell r="F1801">
            <v>750</v>
          </cell>
        </row>
        <row r="1802">
          <cell r="A1802">
            <v>10941</v>
          </cell>
          <cell r="B1802">
            <v>72</v>
          </cell>
          <cell r="C1802">
            <v>34.799999999999997</v>
          </cell>
          <cell r="D1802">
            <v>50</v>
          </cell>
          <cell r="E1802">
            <v>0</v>
          </cell>
          <cell r="F1802">
            <v>1739.9999999999998</v>
          </cell>
        </row>
        <row r="1803">
          <cell r="A1803">
            <v>10942</v>
          </cell>
          <cell r="B1803">
            <v>49</v>
          </cell>
          <cell r="C1803">
            <v>20</v>
          </cell>
          <cell r="D1803">
            <v>28</v>
          </cell>
          <cell r="E1803">
            <v>0</v>
          </cell>
          <cell r="F1803">
            <v>560</v>
          </cell>
        </row>
        <row r="1804">
          <cell r="A1804">
            <v>10943</v>
          </cell>
          <cell r="B1804">
            <v>13</v>
          </cell>
          <cell r="C1804">
            <v>6</v>
          </cell>
          <cell r="D1804">
            <v>15</v>
          </cell>
          <cell r="E1804">
            <v>0</v>
          </cell>
          <cell r="F1804">
            <v>90</v>
          </cell>
        </row>
        <row r="1805">
          <cell r="A1805">
            <v>10943</v>
          </cell>
          <cell r="B1805">
            <v>22</v>
          </cell>
          <cell r="C1805">
            <v>21</v>
          </cell>
          <cell r="D1805">
            <v>21</v>
          </cell>
          <cell r="E1805">
            <v>0</v>
          </cell>
          <cell r="F1805">
            <v>441</v>
          </cell>
        </row>
        <row r="1806">
          <cell r="A1806">
            <v>10943</v>
          </cell>
          <cell r="B1806">
            <v>46</v>
          </cell>
          <cell r="C1806">
            <v>12</v>
          </cell>
          <cell r="D1806">
            <v>15</v>
          </cell>
          <cell r="E1806">
            <v>0</v>
          </cell>
          <cell r="F1806">
            <v>180</v>
          </cell>
        </row>
        <row r="1807">
          <cell r="A1807">
            <v>10944</v>
          </cell>
          <cell r="B1807">
            <v>11</v>
          </cell>
          <cell r="C1807">
            <v>21</v>
          </cell>
          <cell r="D1807">
            <v>5</v>
          </cell>
          <cell r="E1807">
            <v>0.25</v>
          </cell>
          <cell r="F1807">
            <v>78.75</v>
          </cell>
        </row>
        <row r="1808">
          <cell r="A1808">
            <v>10944</v>
          </cell>
          <cell r="B1808">
            <v>44</v>
          </cell>
          <cell r="C1808">
            <v>19.45</v>
          </cell>
          <cell r="D1808">
            <v>18</v>
          </cell>
          <cell r="E1808">
            <v>0.25</v>
          </cell>
          <cell r="F1808">
            <v>262.57499999999999</v>
          </cell>
        </row>
        <row r="1809">
          <cell r="A1809">
            <v>10944</v>
          </cell>
          <cell r="B1809">
            <v>56</v>
          </cell>
          <cell r="C1809">
            <v>38</v>
          </cell>
          <cell r="D1809">
            <v>18</v>
          </cell>
          <cell r="E1809">
            <v>0</v>
          </cell>
          <cell r="F1809">
            <v>684</v>
          </cell>
        </row>
        <row r="1810">
          <cell r="A1810">
            <v>10945</v>
          </cell>
          <cell r="B1810">
            <v>13</v>
          </cell>
          <cell r="C1810">
            <v>6</v>
          </cell>
          <cell r="D1810">
            <v>20</v>
          </cell>
          <cell r="E1810">
            <v>0</v>
          </cell>
          <cell r="F1810">
            <v>120</v>
          </cell>
        </row>
        <row r="1811">
          <cell r="A1811">
            <v>10945</v>
          </cell>
          <cell r="B1811">
            <v>31</v>
          </cell>
          <cell r="C1811">
            <v>12.5</v>
          </cell>
          <cell r="D1811">
            <v>10</v>
          </cell>
          <cell r="E1811">
            <v>0</v>
          </cell>
          <cell r="F1811">
            <v>125</v>
          </cell>
        </row>
        <row r="1812">
          <cell r="A1812">
            <v>10946</v>
          </cell>
          <cell r="B1812">
            <v>10</v>
          </cell>
          <cell r="C1812">
            <v>31</v>
          </cell>
          <cell r="D1812">
            <v>25</v>
          </cell>
          <cell r="E1812">
            <v>0</v>
          </cell>
          <cell r="F1812">
            <v>775</v>
          </cell>
        </row>
        <row r="1813">
          <cell r="A1813">
            <v>10946</v>
          </cell>
          <cell r="B1813">
            <v>24</v>
          </cell>
          <cell r="C1813">
            <v>4.5</v>
          </cell>
          <cell r="D1813">
            <v>25</v>
          </cell>
          <cell r="E1813">
            <v>0</v>
          </cell>
          <cell r="F1813">
            <v>112.5</v>
          </cell>
        </row>
        <row r="1814">
          <cell r="A1814">
            <v>10946</v>
          </cell>
          <cell r="B1814">
            <v>77</v>
          </cell>
          <cell r="C1814">
            <v>13</v>
          </cell>
          <cell r="D1814">
            <v>40</v>
          </cell>
          <cell r="E1814">
            <v>0</v>
          </cell>
          <cell r="F1814">
            <v>520</v>
          </cell>
        </row>
        <row r="1815">
          <cell r="A1815">
            <v>10947</v>
          </cell>
          <cell r="B1815">
            <v>59</v>
          </cell>
          <cell r="C1815">
            <v>55</v>
          </cell>
          <cell r="D1815">
            <v>4</v>
          </cell>
          <cell r="E1815">
            <v>0</v>
          </cell>
          <cell r="F1815">
            <v>220</v>
          </cell>
        </row>
        <row r="1816">
          <cell r="A1816">
            <v>10948</v>
          </cell>
          <cell r="B1816">
            <v>50</v>
          </cell>
          <cell r="C1816">
            <v>16.25</v>
          </cell>
          <cell r="D1816">
            <v>9</v>
          </cell>
          <cell r="E1816">
            <v>0</v>
          </cell>
          <cell r="F1816">
            <v>146.25</v>
          </cell>
        </row>
        <row r="1817">
          <cell r="A1817">
            <v>10948</v>
          </cell>
          <cell r="B1817">
            <v>51</v>
          </cell>
          <cell r="C1817">
            <v>53</v>
          </cell>
          <cell r="D1817">
            <v>40</v>
          </cell>
          <cell r="E1817">
            <v>0</v>
          </cell>
          <cell r="F1817">
            <v>2120</v>
          </cell>
        </row>
        <row r="1818">
          <cell r="A1818">
            <v>10948</v>
          </cell>
          <cell r="B1818">
            <v>55</v>
          </cell>
          <cell r="C1818">
            <v>24</v>
          </cell>
          <cell r="D1818">
            <v>4</v>
          </cell>
          <cell r="E1818">
            <v>0</v>
          </cell>
          <cell r="F1818">
            <v>96</v>
          </cell>
        </row>
        <row r="1819">
          <cell r="A1819">
            <v>10949</v>
          </cell>
          <cell r="B1819">
            <v>6</v>
          </cell>
          <cell r="C1819">
            <v>25</v>
          </cell>
          <cell r="D1819">
            <v>12</v>
          </cell>
          <cell r="E1819">
            <v>0</v>
          </cell>
          <cell r="F1819">
            <v>300</v>
          </cell>
        </row>
        <row r="1820">
          <cell r="A1820">
            <v>10949</v>
          </cell>
          <cell r="B1820">
            <v>10</v>
          </cell>
          <cell r="C1820">
            <v>31</v>
          </cell>
          <cell r="D1820">
            <v>30</v>
          </cell>
          <cell r="E1820">
            <v>0</v>
          </cell>
          <cell r="F1820">
            <v>930</v>
          </cell>
        </row>
        <row r="1821">
          <cell r="A1821">
            <v>10949</v>
          </cell>
          <cell r="B1821">
            <v>17</v>
          </cell>
          <cell r="C1821">
            <v>39</v>
          </cell>
          <cell r="D1821">
            <v>6</v>
          </cell>
          <cell r="E1821">
            <v>0</v>
          </cell>
          <cell r="F1821">
            <v>234</v>
          </cell>
        </row>
        <row r="1822">
          <cell r="A1822">
            <v>10949</v>
          </cell>
          <cell r="B1822">
            <v>62</v>
          </cell>
          <cell r="C1822">
            <v>49.3</v>
          </cell>
          <cell r="D1822">
            <v>60</v>
          </cell>
          <cell r="E1822">
            <v>0</v>
          </cell>
          <cell r="F1822">
            <v>2958</v>
          </cell>
        </row>
        <row r="1823">
          <cell r="A1823">
            <v>10950</v>
          </cell>
          <cell r="B1823">
            <v>4</v>
          </cell>
          <cell r="C1823">
            <v>22</v>
          </cell>
          <cell r="D1823">
            <v>5</v>
          </cell>
          <cell r="E1823">
            <v>0</v>
          </cell>
          <cell r="F1823">
            <v>110</v>
          </cell>
        </row>
        <row r="1824">
          <cell r="A1824">
            <v>10951</v>
          </cell>
          <cell r="B1824">
            <v>33</v>
          </cell>
          <cell r="C1824">
            <v>2.5</v>
          </cell>
          <cell r="D1824">
            <v>15</v>
          </cell>
          <cell r="E1824">
            <v>5.000000074505806E-2</v>
          </cell>
          <cell r="F1824">
            <v>35.624999972060323</v>
          </cell>
        </row>
        <row r="1825">
          <cell r="A1825">
            <v>10951</v>
          </cell>
          <cell r="B1825">
            <v>41</v>
          </cell>
          <cell r="C1825">
            <v>9.65</v>
          </cell>
          <cell r="D1825">
            <v>6</v>
          </cell>
          <cell r="E1825">
            <v>5.000000074505806E-2</v>
          </cell>
          <cell r="F1825">
            <v>55.004999956861141</v>
          </cell>
        </row>
        <row r="1826">
          <cell r="A1826">
            <v>10951</v>
          </cell>
          <cell r="B1826">
            <v>75</v>
          </cell>
          <cell r="C1826">
            <v>7.75</v>
          </cell>
          <cell r="D1826">
            <v>50</v>
          </cell>
          <cell r="E1826">
            <v>5.000000074505806E-2</v>
          </cell>
          <cell r="F1826">
            <v>368.12499971129</v>
          </cell>
        </row>
        <row r="1827">
          <cell r="A1827">
            <v>10952</v>
          </cell>
          <cell r="B1827">
            <v>6</v>
          </cell>
          <cell r="C1827">
            <v>25</v>
          </cell>
          <cell r="D1827">
            <v>16</v>
          </cell>
          <cell r="E1827">
            <v>5.000000074505806E-2</v>
          </cell>
          <cell r="F1827">
            <v>379.99999970197678</v>
          </cell>
        </row>
        <row r="1828">
          <cell r="A1828">
            <v>10952</v>
          </cell>
          <cell r="B1828">
            <v>28</v>
          </cell>
          <cell r="C1828">
            <v>45.6</v>
          </cell>
          <cell r="D1828">
            <v>2</v>
          </cell>
          <cell r="E1828">
            <v>0</v>
          </cell>
          <cell r="F1828">
            <v>91.2</v>
          </cell>
        </row>
        <row r="1829">
          <cell r="A1829">
            <v>10953</v>
          </cell>
          <cell r="B1829">
            <v>20</v>
          </cell>
          <cell r="C1829">
            <v>81</v>
          </cell>
          <cell r="D1829">
            <v>50</v>
          </cell>
          <cell r="E1829">
            <v>5.000000074505806E-2</v>
          </cell>
          <cell r="F1829">
            <v>3847.4999969825149</v>
          </cell>
        </row>
        <row r="1830">
          <cell r="A1830">
            <v>10953</v>
          </cell>
          <cell r="B1830">
            <v>31</v>
          </cell>
          <cell r="C1830">
            <v>12.5</v>
          </cell>
          <cell r="D1830">
            <v>50</v>
          </cell>
          <cell r="E1830">
            <v>5.000000074505806E-2</v>
          </cell>
          <cell r="F1830">
            <v>593.74999953433871</v>
          </cell>
        </row>
        <row r="1831">
          <cell r="A1831">
            <v>10954</v>
          </cell>
          <cell r="B1831">
            <v>16</v>
          </cell>
          <cell r="C1831">
            <v>17.45</v>
          </cell>
          <cell r="D1831">
            <v>28</v>
          </cell>
          <cell r="E1831">
            <v>0.15000000596046448</v>
          </cell>
          <cell r="F1831">
            <v>415.30999708771702</v>
          </cell>
        </row>
        <row r="1832">
          <cell r="A1832">
            <v>10954</v>
          </cell>
          <cell r="B1832">
            <v>31</v>
          </cell>
          <cell r="C1832">
            <v>12.5</v>
          </cell>
          <cell r="D1832">
            <v>25</v>
          </cell>
          <cell r="E1832">
            <v>0.15000000596046448</v>
          </cell>
          <cell r="F1832">
            <v>265.62499813735485</v>
          </cell>
        </row>
        <row r="1833">
          <cell r="A1833">
            <v>10954</v>
          </cell>
          <cell r="B1833">
            <v>45</v>
          </cell>
          <cell r="C1833">
            <v>9.5</v>
          </cell>
          <cell r="D1833">
            <v>30</v>
          </cell>
          <cell r="E1833">
            <v>0</v>
          </cell>
          <cell r="F1833">
            <v>285</v>
          </cell>
        </row>
        <row r="1834">
          <cell r="A1834">
            <v>10954</v>
          </cell>
          <cell r="B1834">
            <v>60</v>
          </cell>
          <cell r="C1834">
            <v>34</v>
          </cell>
          <cell r="D1834">
            <v>24</v>
          </cell>
          <cell r="E1834">
            <v>0.15000000596046448</v>
          </cell>
          <cell r="F1834">
            <v>693.59999513626099</v>
          </cell>
        </row>
        <row r="1835">
          <cell r="A1835">
            <v>10955</v>
          </cell>
          <cell r="B1835">
            <v>75</v>
          </cell>
          <cell r="C1835">
            <v>7.75</v>
          </cell>
          <cell r="D1835">
            <v>12</v>
          </cell>
          <cell r="E1835">
            <v>0.20000000298023224</v>
          </cell>
          <cell r="F1835">
            <v>74.399999722838402</v>
          </cell>
        </row>
        <row r="1836">
          <cell r="A1836">
            <v>10956</v>
          </cell>
          <cell r="B1836">
            <v>21</v>
          </cell>
          <cell r="C1836">
            <v>10</v>
          </cell>
          <cell r="D1836">
            <v>12</v>
          </cell>
          <cell r="E1836">
            <v>0</v>
          </cell>
          <cell r="F1836">
            <v>120</v>
          </cell>
        </row>
        <row r="1837">
          <cell r="A1837">
            <v>10956</v>
          </cell>
          <cell r="B1837">
            <v>47</v>
          </cell>
          <cell r="C1837">
            <v>9.5</v>
          </cell>
          <cell r="D1837">
            <v>14</v>
          </cell>
          <cell r="E1837">
            <v>0</v>
          </cell>
          <cell r="F1837">
            <v>133</v>
          </cell>
        </row>
        <row r="1838">
          <cell r="A1838">
            <v>10956</v>
          </cell>
          <cell r="B1838">
            <v>51</v>
          </cell>
          <cell r="C1838">
            <v>53</v>
          </cell>
          <cell r="D1838">
            <v>8</v>
          </cell>
          <cell r="E1838">
            <v>0</v>
          </cell>
          <cell r="F1838">
            <v>424</v>
          </cell>
        </row>
        <row r="1839">
          <cell r="A1839">
            <v>10957</v>
          </cell>
          <cell r="B1839">
            <v>30</v>
          </cell>
          <cell r="C1839">
            <v>25.89</v>
          </cell>
          <cell r="D1839">
            <v>30</v>
          </cell>
          <cell r="E1839">
            <v>0</v>
          </cell>
          <cell r="F1839">
            <v>776.7</v>
          </cell>
        </row>
        <row r="1840">
          <cell r="A1840">
            <v>10957</v>
          </cell>
          <cell r="B1840">
            <v>35</v>
          </cell>
          <cell r="C1840">
            <v>18</v>
          </cell>
          <cell r="D1840">
            <v>40</v>
          </cell>
          <cell r="E1840">
            <v>0</v>
          </cell>
          <cell r="F1840">
            <v>720</v>
          </cell>
        </row>
        <row r="1841">
          <cell r="A1841">
            <v>10957</v>
          </cell>
          <cell r="B1841">
            <v>64</v>
          </cell>
          <cell r="C1841">
            <v>33.25</v>
          </cell>
          <cell r="D1841">
            <v>8</v>
          </cell>
          <cell r="E1841">
            <v>0</v>
          </cell>
          <cell r="F1841">
            <v>266</v>
          </cell>
        </row>
        <row r="1842">
          <cell r="A1842">
            <v>10958</v>
          </cell>
          <cell r="B1842">
            <v>5</v>
          </cell>
          <cell r="C1842">
            <v>21.35</v>
          </cell>
          <cell r="D1842">
            <v>20</v>
          </cell>
          <cell r="E1842">
            <v>0</v>
          </cell>
          <cell r="F1842">
            <v>427</v>
          </cell>
        </row>
        <row r="1843">
          <cell r="A1843">
            <v>10958</v>
          </cell>
          <cell r="B1843">
            <v>7</v>
          </cell>
          <cell r="C1843">
            <v>30</v>
          </cell>
          <cell r="D1843">
            <v>6</v>
          </cell>
          <cell r="E1843">
            <v>0</v>
          </cell>
          <cell r="F1843">
            <v>180</v>
          </cell>
        </row>
        <row r="1844">
          <cell r="A1844">
            <v>10958</v>
          </cell>
          <cell r="B1844">
            <v>72</v>
          </cell>
          <cell r="C1844">
            <v>34.799999999999997</v>
          </cell>
          <cell r="D1844">
            <v>5</v>
          </cell>
          <cell r="E1844">
            <v>0</v>
          </cell>
          <cell r="F1844">
            <v>174</v>
          </cell>
        </row>
        <row r="1845">
          <cell r="A1845">
            <v>10959</v>
          </cell>
          <cell r="B1845">
            <v>75</v>
          </cell>
          <cell r="C1845">
            <v>7.75</v>
          </cell>
          <cell r="D1845">
            <v>20</v>
          </cell>
          <cell r="E1845">
            <v>0.15000000596046448</v>
          </cell>
          <cell r="F1845">
            <v>131.74999907612801</v>
          </cell>
        </row>
        <row r="1846">
          <cell r="A1846">
            <v>10960</v>
          </cell>
          <cell r="B1846">
            <v>24</v>
          </cell>
          <cell r="C1846">
            <v>4.5</v>
          </cell>
          <cell r="D1846">
            <v>10</v>
          </cell>
          <cell r="E1846">
            <v>0.25</v>
          </cell>
          <cell r="F1846">
            <v>33.75</v>
          </cell>
        </row>
        <row r="1847">
          <cell r="A1847">
            <v>10960</v>
          </cell>
          <cell r="B1847">
            <v>41</v>
          </cell>
          <cell r="C1847">
            <v>9.65</v>
          </cell>
          <cell r="D1847">
            <v>24</v>
          </cell>
          <cell r="E1847">
            <v>0</v>
          </cell>
          <cell r="F1847">
            <v>231.60000000000002</v>
          </cell>
        </row>
        <row r="1848">
          <cell r="A1848">
            <v>10961</v>
          </cell>
          <cell r="B1848">
            <v>52</v>
          </cell>
          <cell r="C1848">
            <v>7</v>
          </cell>
          <cell r="D1848">
            <v>6</v>
          </cell>
          <cell r="E1848">
            <v>5.000000074505806E-2</v>
          </cell>
          <cell r="F1848">
            <v>39.899999968707561</v>
          </cell>
        </row>
        <row r="1849">
          <cell r="A1849">
            <v>10961</v>
          </cell>
          <cell r="B1849">
            <v>76</v>
          </cell>
          <cell r="C1849">
            <v>18</v>
          </cell>
          <cell r="D1849">
            <v>60</v>
          </cell>
          <cell r="E1849">
            <v>0</v>
          </cell>
          <cell r="F1849">
            <v>1080</v>
          </cell>
        </row>
        <row r="1850">
          <cell r="A1850">
            <v>10962</v>
          </cell>
          <cell r="B1850">
            <v>7</v>
          </cell>
          <cell r="C1850">
            <v>30</v>
          </cell>
          <cell r="D1850">
            <v>45</v>
          </cell>
          <cell r="E1850">
            <v>0</v>
          </cell>
          <cell r="F1850">
            <v>1350</v>
          </cell>
        </row>
        <row r="1851">
          <cell r="A1851">
            <v>10962</v>
          </cell>
          <cell r="B1851">
            <v>13</v>
          </cell>
          <cell r="C1851">
            <v>6</v>
          </cell>
          <cell r="D1851">
            <v>77</v>
          </cell>
          <cell r="E1851">
            <v>0</v>
          </cell>
          <cell r="F1851">
            <v>462</v>
          </cell>
        </row>
        <row r="1852">
          <cell r="A1852">
            <v>10962</v>
          </cell>
          <cell r="B1852">
            <v>53</v>
          </cell>
          <cell r="C1852">
            <v>32.799999999999997</v>
          </cell>
          <cell r="D1852">
            <v>20</v>
          </cell>
          <cell r="E1852">
            <v>0</v>
          </cell>
          <cell r="F1852">
            <v>656</v>
          </cell>
        </row>
        <row r="1853">
          <cell r="A1853">
            <v>10962</v>
          </cell>
          <cell r="B1853">
            <v>69</v>
          </cell>
          <cell r="C1853">
            <v>36</v>
          </cell>
          <cell r="D1853">
            <v>9</v>
          </cell>
          <cell r="E1853">
            <v>0</v>
          </cell>
          <cell r="F1853">
            <v>324</v>
          </cell>
        </row>
        <row r="1854">
          <cell r="A1854">
            <v>10962</v>
          </cell>
          <cell r="B1854">
            <v>76</v>
          </cell>
          <cell r="C1854">
            <v>18</v>
          </cell>
          <cell r="D1854">
            <v>44</v>
          </cell>
          <cell r="E1854">
            <v>0</v>
          </cell>
          <cell r="F1854">
            <v>792</v>
          </cell>
        </row>
        <row r="1855">
          <cell r="A1855">
            <v>10963</v>
          </cell>
          <cell r="B1855">
            <v>60</v>
          </cell>
          <cell r="C1855">
            <v>34</v>
          </cell>
          <cell r="D1855">
            <v>2</v>
          </cell>
          <cell r="E1855">
            <v>0.15000000596046448</v>
          </cell>
          <cell r="F1855">
            <v>57.799999594688416</v>
          </cell>
        </row>
        <row r="1856">
          <cell r="A1856">
            <v>10964</v>
          </cell>
          <cell r="B1856">
            <v>18</v>
          </cell>
          <cell r="C1856">
            <v>62.5</v>
          </cell>
          <cell r="D1856">
            <v>6</v>
          </cell>
          <cell r="E1856">
            <v>0</v>
          </cell>
          <cell r="F1856">
            <v>375</v>
          </cell>
        </row>
        <row r="1857">
          <cell r="A1857">
            <v>10964</v>
          </cell>
          <cell r="B1857">
            <v>38</v>
          </cell>
          <cell r="C1857">
            <v>263.5</v>
          </cell>
          <cell r="D1857">
            <v>5</v>
          </cell>
          <cell r="E1857">
            <v>0</v>
          </cell>
          <cell r="F1857">
            <v>1317.5</v>
          </cell>
        </row>
        <row r="1858">
          <cell r="A1858">
            <v>10964</v>
          </cell>
          <cell r="B1858">
            <v>69</v>
          </cell>
          <cell r="C1858">
            <v>36</v>
          </cell>
          <cell r="D1858">
            <v>10</v>
          </cell>
          <cell r="E1858">
            <v>0</v>
          </cell>
          <cell r="F1858">
            <v>360</v>
          </cell>
        </row>
        <row r="1859">
          <cell r="A1859">
            <v>10965</v>
          </cell>
          <cell r="B1859">
            <v>51</v>
          </cell>
          <cell r="C1859">
            <v>53</v>
          </cell>
          <cell r="D1859">
            <v>16</v>
          </cell>
          <cell r="E1859">
            <v>0</v>
          </cell>
          <cell r="F1859">
            <v>848</v>
          </cell>
        </row>
        <row r="1860">
          <cell r="A1860">
            <v>10966</v>
          </cell>
          <cell r="B1860">
            <v>37</v>
          </cell>
          <cell r="C1860">
            <v>26</v>
          </cell>
          <cell r="D1860">
            <v>8</v>
          </cell>
          <cell r="E1860">
            <v>0</v>
          </cell>
          <cell r="F1860">
            <v>208</v>
          </cell>
        </row>
        <row r="1861">
          <cell r="A1861">
            <v>10966</v>
          </cell>
          <cell r="B1861">
            <v>56</v>
          </cell>
          <cell r="C1861">
            <v>38</v>
          </cell>
          <cell r="D1861">
            <v>12</v>
          </cell>
          <cell r="E1861">
            <v>0.15000000596046448</v>
          </cell>
          <cell r="F1861">
            <v>387.5999972820282</v>
          </cell>
        </row>
        <row r="1862">
          <cell r="A1862">
            <v>10966</v>
          </cell>
          <cell r="B1862">
            <v>62</v>
          </cell>
          <cell r="C1862">
            <v>49.3</v>
          </cell>
          <cell r="D1862">
            <v>12</v>
          </cell>
          <cell r="E1862">
            <v>0.15000000596046448</v>
          </cell>
          <cell r="F1862">
            <v>502.85999647378912</v>
          </cell>
        </row>
        <row r="1863">
          <cell r="A1863">
            <v>10967</v>
          </cell>
          <cell r="B1863">
            <v>19</v>
          </cell>
          <cell r="C1863">
            <v>9.1999999999999993</v>
          </cell>
          <cell r="D1863">
            <v>12</v>
          </cell>
          <cell r="E1863">
            <v>0</v>
          </cell>
          <cell r="F1863">
            <v>110.39999999999999</v>
          </cell>
        </row>
        <row r="1864">
          <cell r="A1864">
            <v>10967</v>
          </cell>
          <cell r="B1864">
            <v>49</v>
          </cell>
          <cell r="C1864">
            <v>20</v>
          </cell>
          <cell r="D1864">
            <v>40</v>
          </cell>
          <cell r="E1864">
            <v>0</v>
          </cell>
          <cell r="F1864">
            <v>800</v>
          </cell>
        </row>
        <row r="1865">
          <cell r="A1865">
            <v>10968</v>
          </cell>
          <cell r="B1865">
            <v>12</v>
          </cell>
          <cell r="C1865">
            <v>38</v>
          </cell>
          <cell r="D1865">
            <v>30</v>
          </cell>
          <cell r="E1865">
            <v>0</v>
          </cell>
          <cell r="F1865">
            <v>1140</v>
          </cell>
        </row>
        <row r="1866">
          <cell r="A1866">
            <v>10968</v>
          </cell>
          <cell r="B1866">
            <v>24</v>
          </cell>
          <cell r="C1866">
            <v>4.5</v>
          </cell>
          <cell r="D1866">
            <v>30</v>
          </cell>
          <cell r="E1866">
            <v>0</v>
          </cell>
          <cell r="F1866">
            <v>135</v>
          </cell>
        </row>
        <row r="1867">
          <cell r="A1867">
            <v>10968</v>
          </cell>
          <cell r="B1867">
            <v>64</v>
          </cell>
          <cell r="C1867">
            <v>33.25</v>
          </cell>
          <cell r="D1867">
            <v>4</v>
          </cell>
          <cell r="E1867">
            <v>0</v>
          </cell>
          <cell r="F1867">
            <v>133</v>
          </cell>
        </row>
        <row r="1868">
          <cell r="A1868">
            <v>10969</v>
          </cell>
          <cell r="B1868">
            <v>46</v>
          </cell>
          <cell r="C1868">
            <v>12</v>
          </cell>
          <cell r="D1868">
            <v>9</v>
          </cell>
          <cell r="E1868">
            <v>0</v>
          </cell>
          <cell r="F1868">
            <v>108</v>
          </cell>
        </row>
        <row r="1869">
          <cell r="A1869">
            <v>10970</v>
          </cell>
          <cell r="B1869">
            <v>52</v>
          </cell>
          <cell r="C1869">
            <v>7</v>
          </cell>
          <cell r="D1869">
            <v>40</v>
          </cell>
          <cell r="E1869">
            <v>0.20000000298023224</v>
          </cell>
          <cell r="F1869">
            <v>223.99999916553497</v>
          </cell>
        </row>
        <row r="1870">
          <cell r="A1870">
            <v>10971</v>
          </cell>
          <cell r="B1870">
            <v>29</v>
          </cell>
          <cell r="C1870">
            <v>123.79</v>
          </cell>
          <cell r="D1870">
            <v>14</v>
          </cell>
          <cell r="E1870">
            <v>0</v>
          </cell>
          <cell r="F1870">
            <v>1733.0600000000002</v>
          </cell>
        </row>
        <row r="1871">
          <cell r="A1871">
            <v>10972</v>
          </cell>
          <cell r="B1871">
            <v>17</v>
          </cell>
          <cell r="C1871">
            <v>39</v>
          </cell>
          <cell r="D1871">
            <v>6</v>
          </cell>
          <cell r="E1871">
            <v>0</v>
          </cell>
          <cell r="F1871">
            <v>234</v>
          </cell>
        </row>
        <row r="1872">
          <cell r="A1872">
            <v>10972</v>
          </cell>
          <cell r="B1872">
            <v>33</v>
          </cell>
          <cell r="C1872">
            <v>2.5</v>
          </cell>
          <cell r="D1872">
            <v>7</v>
          </cell>
          <cell r="E1872">
            <v>0</v>
          </cell>
          <cell r="F1872">
            <v>17.5</v>
          </cell>
        </row>
        <row r="1873">
          <cell r="A1873">
            <v>10973</v>
          </cell>
          <cell r="B1873">
            <v>26</v>
          </cell>
          <cell r="C1873">
            <v>31.23</v>
          </cell>
          <cell r="D1873">
            <v>5</v>
          </cell>
          <cell r="E1873">
            <v>0</v>
          </cell>
          <cell r="F1873">
            <v>156.15</v>
          </cell>
        </row>
        <row r="1874">
          <cell r="A1874">
            <v>10973</v>
          </cell>
          <cell r="B1874">
            <v>41</v>
          </cell>
          <cell r="C1874">
            <v>9.65</v>
          </cell>
          <cell r="D1874">
            <v>6</v>
          </cell>
          <cell r="E1874">
            <v>0</v>
          </cell>
          <cell r="F1874">
            <v>57.900000000000006</v>
          </cell>
        </row>
        <row r="1875">
          <cell r="A1875">
            <v>10973</v>
          </cell>
          <cell r="B1875">
            <v>75</v>
          </cell>
          <cell r="C1875">
            <v>7.75</v>
          </cell>
          <cell r="D1875">
            <v>10</v>
          </cell>
          <cell r="E1875">
            <v>0</v>
          </cell>
          <cell r="F1875">
            <v>77.5</v>
          </cell>
        </row>
        <row r="1876">
          <cell r="A1876">
            <v>10974</v>
          </cell>
          <cell r="B1876">
            <v>63</v>
          </cell>
          <cell r="C1876">
            <v>43.9</v>
          </cell>
          <cell r="D1876">
            <v>10</v>
          </cell>
          <cell r="E1876">
            <v>0</v>
          </cell>
          <cell r="F1876">
            <v>439</v>
          </cell>
        </row>
        <row r="1877">
          <cell r="A1877">
            <v>10975</v>
          </cell>
          <cell r="B1877">
            <v>8</v>
          </cell>
          <cell r="C1877">
            <v>40</v>
          </cell>
          <cell r="D1877">
            <v>16</v>
          </cell>
          <cell r="E1877">
            <v>0</v>
          </cell>
          <cell r="F1877">
            <v>640</v>
          </cell>
        </row>
        <row r="1878">
          <cell r="A1878">
            <v>10975</v>
          </cell>
          <cell r="B1878">
            <v>75</v>
          </cell>
          <cell r="C1878">
            <v>7.75</v>
          </cell>
          <cell r="D1878">
            <v>10</v>
          </cell>
          <cell r="E1878">
            <v>0</v>
          </cell>
          <cell r="F1878">
            <v>77.5</v>
          </cell>
        </row>
        <row r="1879">
          <cell r="A1879">
            <v>10976</v>
          </cell>
          <cell r="B1879">
            <v>28</v>
          </cell>
          <cell r="C1879">
            <v>45.6</v>
          </cell>
          <cell r="D1879">
            <v>20</v>
          </cell>
          <cell r="E1879">
            <v>0</v>
          </cell>
          <cell r="F1879">
            <v>912</v>
          </cell>
        </row>
        <row r="1880">
          <cell r="A1880">
            <v>10977</v>
          </cell>
          <cell r="B1880">
            <v>39</v>
          </cell>
          <cell r="C1880">
            <v>18</v>
          </cell>
          <cell r="D1880">
            <v>30</v>
          </cell>
          <cell r="E1880">
            <v>0</v>
          </cell>
          <cell r="F1880">
            <v>540</v>
          </cell>
        </row>
        <row r="1881">
          <cell r="A1881">
            <v>10977</v>
          </cell>
          <cell r="B1881">
            <v>47</v>
          </cell>
          <cell r="C1881">
            <v>9.5</v>
          </cell>
          <cell r="D1881">
            <v>30</v>
          </cell>
          <cell r="E1881">
            <v>0</v>
          </cell>
          <cell r="F1881">
            <v>285</v>
          </cell>
        </row>
        <row r="1882">
          <cell r="A1882">
            <v>10977</v>
          </cell>
          <cell r="B1882">
            <v>51</v>
          </cell>
          <cell r="C1882">
            <v>53</v>
          </cell>
          <cell r="D1882">
            <v>10</v>
          </cell>
          <cell r="E1882">
            <v>0</v>
          </cell>
          <cell r="F1882">
            <v>530</v>
          </cell>
        </row>
        <row r="1883">
          <cell r="A1883">
            <v>10977</v>
          </cell>
          <cell r="B1883">
            <v>63</v>
          </cell>
          <cell r="C1883">
            <v>43.9</v>
          </cell>
          <cell r="D1883">
            <v>20</v>
          </cell>
          <cell r="E1883">
            <v>0</v>
          </cell>
          <cell r="F1883">
            <v>878</v>
          </cell>
        </row>
        <row r="1884">
          <cell r="A1884">
            <v>10978</v>
          </cell>
          <cell r="B1884">
            <v>8</v>
          </cell>
          <cell r="C1884">
            <v>40</v>
          </cell>
          <cell r="D1884">
            <v>20</v>
          </cell>
          <cell r="E1884">
            <v>0.15000000596046448</v>
          </cell>
          <cell r="F1884">
            <v>679.99999523162842</v>
          </cell>
        </row>
        <row r="1885">
          <cell r="A1885">
            <v>10978</v>
          </cell>
          <cell r="B1885">
            <v>21</v>
          </cell>
          <cell r="C1885">
            <v>10</v>
          </cell>
          <cell r="D1885">
            <v>40</v>
          </cell>
          <cell r="E1885">
            <v>0.15000000596046448</v>
          </cell>
          <cell r="F1885">
            <v>339.99999761581421</v>
          </cell>
        </row>
        <row r="1886">
          <cell r="A1886">
            <v>10978</v>
          </cell>
          <cell r="B1886">
            <v>40</v>
          </cell>
          <cell r="C1886">
            <v>18.399999999999999</v>
          </cell>
          <cell r="D1886">
            <v>10</v>
          </cell>
          <cell r="E1886">
            <v>0</v>
          </cell>
          <cell r="F1886">
            <v>184</v>
          </cell>
        </row>
        <row r="1887">
          <cell r="A1887">
            <v>10978</v>
          </cell>
          <cell r="B1887">
            <v>44</v>
          </cell>
          <cell r="C1887">
            <v>19.45</v>
          </cell>
          <cell r="D1887">
            <v>6</v>
          </cell>
          <cell r="E1887">
            <v>0.15000000596046448</v>
          </cell>
          <cell r="F1887">
            <v>99.194999304413784</v>
          </cell>
        </row>
        <row r="1888">
          <cell r="A1888">
            <v>10979</v>
          </cell>
          <cell r="B1888">
            <v>7</v>
          </cell>
          <cell r="C1888">
            <v>30</v>
          </cell>
          <cell r="D1888">
            <v>18</v>
          </cell>
          <cell r="E1888">
            <v>0</v>
          </cell>
          <cell r="F1888">
            <v>540</v>
          </cell>
        </row>
        <row r="1889">
          <cell r="A1889">
            <v>10979</v>
          </cell>
          <cell r="B1889">
            <v>12</v>
          </cell>
          <cell r="C1889">
            <v>38</v>
          </cell>
          <cell r="D1889">
            <v>20</v>
          </cell>
          <cell r="E1889">
            <v>0</v>
          </cell>
          <cell r="F1889">
            <v>760</v>
          </cell>
        </row>
        <row r="1890">
          <cell r="A1890">
            <v>10979</v>
          </cell>
          <cell r="B1890">
            <v>24</v>
          </cell>
          <cell r="C1890">
            <v>4.5</v>
          </cell>
          <cell r="D1890">
            <v>80</v>
          </cell>
          <cell r="E1890">
            <v>0</v>
          </cell>
          <cell r="F1890">
            <v>360</v>
          </cell>
        </row>
        <row r="1891">
          <cell r="A1891">
            <v>10979</v>
          </cell>
          <cell r="B1891">
            <v>27</v>
          </cell>
          <cell r="C1891">
            <v>43.9</v>
          </cell>
          <cell r="D1891">
            <v>30</v>
          </cell>
          <cell r="E1891">
            <v>0</v>
          </cell>
          <cell r="F1891">
            <v>1317</v>
          </cell>
        </row>
        <row r="1892">
          <cell r="A1892">
            <v>10979</v>
          </cell>
          <cell r="B1892">
            <v>31</v>
          </cell>
          <cell r="C1892">
            <v>12.5</v>
          </cell>
          <cell r="D1892">
            <v>24</v>
          </cell>
          <cell r="E1892">
            <v>0</v>
          </cell>
          <cell r="F1892">
            <v>300</v>
          </cell>
        </row>
        <row r="1893">
          <cell r="A1893">
            <v>10979</v>
          </cell>
          <cell r="B1893">
            <v>63</v>
          </cell>
          <cell r="C1893">
            <v>43.9</v>
          </cell>
          <cell r="D1893">
            <v>35</v>
          </cell>
          <cell r="E1893">
            <v>0</v>
          </cell>
          <cell r="F1893">
            <v>1536.5</v>
          </cell>
        </row>
        <row r="1894">
          <cell r="A1894">
            <v>10980</v>
          </cell>
          <cell r="B1894">
            <v>75</v>
          </cell>
          <cell r="C1894">
            <v>7.75</v>
          </cell>
          <cell r="D1894">
            <v>40</v>
          </cell>
          <cell r="E1894">
            <v>0.20000000298023224</v>
          </cell>
          <cell r="F1894">
            <v>247.99999907612801</v>
          </cell>
        </row>
        <row r="1895">
          <cell r="A1895">
            <v>10981</v>
          </cell>
          <cell r="B1895">
            <v>38</v>
          </cell>
          <cell r="C1895">
            <v>263.5</v>
          </cell>
          <cell r="D1895">
            <v>60</v>
          </cell>
          <cell r="E1895">
            <v>0</v>
          </cell>
          <cell r="F1895">
            <v>15810</v>
          </cell>
        </row>
        <row r="1896">
          <cell r="A1896">
            <v>10982</v>
          </cell>
          <cell r="B1896">
            <v>7</v>
          </cell>
          <cell r="C1896">
            <v>30</v>
          </cell>
          <cell r="D1896">
            <v>20</v>
          </cell>
          <cell r="E1896">
            <v>0</v>
          </cell>
          <cell r="F1896">
            <v>600</v>
          </cell>
        </row>
        <row r="1897">
          <cell r="A1897">
            <v>10982</v>
          </cell>
          <cell r="B1897">
            <v>43</v>
          </cell>
          <cell r="C1897">
            <v>46</v>
          </cell>
          <cell r="D1897">
            <v>9</v>
          </cell>
          <cell r="E1897">
            <v>0</v>
          </cell>
          <cell r="F1897">
            <v>414</v>
          </cell>
        </row>
        <row r="1898">
          <cell r="A1898">
            <v>10983</v>
          </cell>
          <cell r="B1898">
            <v>13</v>
          </cell>
          <cell r="C1898">
            <v>6</v>
          </cell>
          <cell r="D1898">
            <v>84</v>
          </cell>
          <cell r="E1898">
            <v>0.15000000596046448</v>
          </cell>
          <cell r="F1898">
            <v>428.3999969959259</v>
          </cell>
        </row>
        <row r="1899">
          <cell r="A1899">
            <v>10983</v>
          </cell>
          <cell r="B1899">
            <v>57</v>
          </cell>
          <cell r="C1899">
            <v>19.5</v>
          </cell>
          <cell r="D1899">
            <v>15</v>
          </cell>
          <cell r="E1899">
            <v>0</v>
          </cell>
          <cell r="F1899">
            <v>292.5</v>
          </cell>
        </row>
        <row r="1900">
          <cell r="A1900">
            <v>10984</v>
          </cell>
          <cell r="B1900">
            <v>16</v>
          </cell>
          <cell r="C1900">
            <v>17.45</v>
          </cell>
          <cell r="D1900">
            <v>55</v>
          </cell>
          <cell r="E1900">
            <v>0</v>
          </cell>
          <cell r="F1900">
            <v>959.75</v>
          </cell>
        </row>
        <row r="1901">
          <cell r="A1901">
            <v>10984</v>
          </cell>
          <cell r="B1901">
            <v>24</v>
          </cell>
          <cell r="C1901">
            <v>4.5</v>
          </cell>
          <cell r="D1901">
            <v>20</v>
          </cell>
          <cell r="E1901">
            <v>0</v>
          </cell>
          <cell r="F1901">
            <v>90</v>
          </cell>
        </row>
        <row r="1902">
          <cell r="A1902">
            <v>10984</v>
          </cell>
          <cell r="B1902">
            <v>36</v>
          </cell>
          <cell r="C1902">
            <v>19</v>
          </cell>
          <cell r="D1902">
            <v>40</v>
          </cell>
          <cell r="E1902">
            <v>0</v>
          </cell>
          <cell r="F1902">
            <v>760</v>
          </cell>
        </row>
        <row r="1903">
          <cell r="A1903">
            <v>10985</v>
          </cell>
          <cell r="B1903">
            <v>16</v>
          </cell>
          <cell r="C1903">
            <v>17.45</v>
          </cell>
          <cell r="D1903">
            <v>36</v>
          </cell>
          <cell r="E1903">
            <v>0.10000000149011612</v>
          </cell>
          <cell r="F1903">
            <v>565.37999906390894</v>
          </cell>
        </row>
        <row r="1904">
          <cell r="A1904">
            <v>10985</v>
          </cell>
          <cell r="B1904">
            <v>18</v>
          </cell>
          <cell r="C1904">
            <v>62.5</v>
          </cell>
          <cell r="D1904">
            <v>8</v>
          </cell>
          <cell r="E1904">
            <v>0.10000000149011612</v>
          </cell>
          <cell r="F1904">
            <v>449.99999925494194</v>
          </cell>
        </row>
        <row r="1905">
          <cell r="A1905">
            <v>10985</v>
          </cell>
          <cell r="B1905">
            <v>32</v>
          </cell>
          <cell r="C1905">
            <v>32</v>
          </cell>
          <cell r="D1905">
            <v>35</v>
          </cell>
          <cell r="E1905">
            <v>0.10000000149011612</v>
          </cell>
          <cell r="F1905">
            <v>1007.9999983310699</v>
          </cell>
        </row>
        <row r="1906">
          <cell r="A1906">
            <v>10986</v>
          </cell>
          <cell r="B1906">
            <v>11</v>
          </cell>
          <cell r="C1906">
            <v>21</v>
          </cell>
          <cell r="D1906">
            <v>30</v>
          </cell>
          <cell r="E1906">
            <v>0</v>
          </cell>
          <cell r="F1906">
            <v>630</v>
          </cell>
        </row>
        <row r="1907">
          <cell r="A1907">
            <v>10986</v>
          </cell>
          <cell r="B1907">
            <v>20</v>
          </cell>
          <cell r="C1907">
            <v>81</v>
          </cell>
          <cell r="D1907">
            <v>15</v>
          </cell>
          <cell r="E1907">
            <v>0</v>
          </cell>
          <cell r="F1907">
            <v>1215</v>
          </cell>
        </row>
        <row r="1908">
          <cell r="A1908">
            <v>10986</v>
          </cell>
          <cell r="B1908">
            <v>76</v>
          </cell>
          <cell r="C1908">
            <v>18</v>
          </cell>
          <cell r="D1908">
            <v>10</v>
          </cell>
          <cell r="E1908">
            <v>0</v>
          </cell>
          <cell r="F1908">
            <v>180</v>
          </cell>
        </row>
        <row r="1909">
          <cell r="A1909">
            <v>10986</v>
          </cell>
          <cell r="B1909">
            <v>77</v>
          </cell>
          <cell r="C1909">
            <v>13</v>
          </cell>
          <cell r="D1909">
            <v>15</v>
          </cell>
          <cell r="E1909">
            <v>0</v>
          </cell>
          <cell r="F1909">
            <v>195</v>
          </cell>
        </row>
        <row r="1910">
          <cell r="A1910">
            <v>10987</v>
          </cell>
          <cell r="B1910">
            <v>7</v>
          </cell>
          <cell r="C1910">
            <v>30</v>
          </cell>
          <cell r="D1910">
            <v>60</v>
          </cell>
          <cell r="E1910">
            <v>0</v>
          </cell>
          <cell r="F1910">
            <v>1800</v>
          </cell>
        </row>
        <row r="1911">
          <cell r="A1911">
            <v>10987</v>
          </cell>
          <cell r="B1911">
            <v>43</v>
          </cell>
          <cell r="C1911">
            <v>46</v>
          </cell>
          <cell r="D1911">
            <v>6</v>
          </cell>
          <cell r="E1911">
            <v>0</v>
          </cell>
          <cell r="F1911">
            <v>276</v>
          </cell>
        </row>
        <row r="1912">
          <cell r="A1912">
            <v>10987</v>
          </cell>
          <cell r="B1912">
            <v>72</v>
          </cell>
          <cell r="C1912">
            <v>34.799999999999997</v>
          </cell>
          <cell r="D1912">
            <v>20</v>
          </cell>
          <cell r="E1912">
            <v>0</v>
          </cell>
          <cell r="F1912">
            <v>696</v>
          </cell>
        </row>
        <row r="1913">
          <cell r="A1913">
            <v>10988</v>
          </cell>
          <cell r="B1913">
            <v>7</v>
          </cell>
          <cell r="C1913">
            <v>30</v>
          </cell>
          <cell r="D1913">
            <v>60</v>
          </cell>
          <cell r="E1913">
            <v>0</v>
          </cell>
          <cell r="F1913">
            <v>1800</v>
          </cell>
        </row>
        <row r="1914">
          <cell r="A1914">
            <v>10988</v>
          </cell>
          <cell r="B1914">
            <v>62</v>
          </cell>
          <cell r="C1914">
            <v>49.3</v>
          </cell>
          <cell r="D1914">
            <v>40</v>
          </cell>
          <cell r="E1914">
            <v>0.10000000149011612</v>
          </cell>
          <cell r="F1914">
            <v>1774.799997061491</v>
          </cell>
        </row>
        <row r="1915">
          <cell r="A1915">
            <v>10989</v>
          </cell>
          <cell r="B1915">
            <v>6</v>
          </cell>
          <cell r="C1915">
            <v>25</v>
          </cell>
          <cell r="D1915">
            <v>40</v>
          </cell>
          <cell r="E1915">
            <v>0</v>
          </cell>
          <cell r="F1915">
            <v>1000</v>
          </cell>
        </row>
        <row r="1916">
          <cell r="A1916">
            <v>10989</v>
          </cell>
          <cell r="B1916">
            <v>11</v>
          </cell>
          <cell r="C1916">
            <v>21</v>
          </cell>
          <cell r="D1916">
            <v>15</v>
          </cell>
          <cell r="E1916">
            <v>0</v>
          </cell>
          <cell r="F1916">
            <v>315</v>
          </cell>
        </row>
        <row r="1917">
          <cell r="A1917">
            <v>10989</v>
          </cell>
          <cell r="B1917">
            <v>41</v>
          </cell>
          <cell r="C1917">
            <v>9.65</v>
          </cell>
          <cell r="D1917">
            <v>4</v>
          </cell>
          <cell r="E1917">
            <v>0</v>
          </cell>
          <cell r="F1917">
            <v>38.6</v>
          </cell>
        </row>
        <row r="1918">
          <cell r="A1918">
            <v>10990</v>
          </cell>
          <cell r="B1918">
            <v>21</v>
          </cell>
          <cell r="C1918">
            <v>10</v>
          </cell>
          <cell r="D1918">
            <v>65</v>
          </cell>
          <cell r="E1918">
            <v>0</v>
          </cell>
          <cell r="F1918">
            <v>650</v>
          </cell>
        </row>
        <row r="1919">
          <cell r="A1919">
            <v>10990</v>
          </cell>
          <cell r="B1919">
            <v>34</v>
          </cell>
          <cell r="C1919">
            <v>14</v>
          </cell>
          <cell r="D1919">
            <v>60</v>
          </cell>
          <cell r="E1919">
            <v>0.15000000596046448</v>
          </cell>
          <cell r="F1919">
            <v>713.99999499320984</v>
          </cell>
        </row>
        <row r="1920">
          <cell r="A1920">
            <v>10990</v>
          </cell>
          <cell r="B1920">
            <v>55</v>
          </cell>
          <cell r="C1920">
            <v>24</v>
          </cell>
          <cell r="D1920">
            <v>65</v>
          </cell>
          <cell r="E1920">
            <v>0.15000000596046448</v>
          </cell>
          <cell r="F1920">
            <v>1325.9999907016754</v>
          </cell>
        </row>
        <row r="1921">
          <cell r="A1921">
            <v>10990</v>
          </cell>
          <cell r="B1921">
            <v>61</v>
          </cell>
          <cell r="C1921">
            <v>28.5</v>
          </cell>
          <cell r="D1921">
            <v>66</v>
          </cell>
          <cell r="E1921">
            <v>0.15000000596046448</v>
          </cell>
          <cell r="F1921">
            <v>1598.8499887883663</v>
          </cell>
        </row>
        <row r="1922">
          <cell r="A1922">
            <v>10991</v>
          </cell>
          <cell r="B1922">
            <v>2</v>
          </cell>
          <cell r="C1922">
            <v>19</v>
          </cell>
          <cell r="D1922">
            <v>50</v>
          </cell>
          <cell r="E1922">
            <v>0.20000000298023224</v>
          </cell>
          <cell r="F1922">
            <v>759.99999716877937</v>
          </cell>
        </row>
        <row r="1923">
          <cell r="A1923">
            <v>10991</v>
          </cell>
          <cell r="B1923">
            <v>70</v>
          </cell>
          <cell r="C1923">
            <v>15</v>
          </cell>
          <cell r="D1923">
            <v>20</v>
          </cell>
          <cell r="E1923">
            <v>0.20000000298023224</v>
          </cell>
          <cell r="F1923">
            <v>239.99999910593033</v>
          </cell>
        </row>
        <row r="1924">
          <cell r="A1924">
            <v>10991</v>
          </cell>
          <cell r="B1924">
            <v>76</v>
          </cell>
          <cell r="C1924">
            <v>18</v>
          </cell>
          <cell r="D1924">
            <v>90</v>
          </cell>
          <cell r="E1924">
            <v>0.20000000298023224</v>
          </cell>
          <cell r="F1924">
            <v>1295.9999951720238</v>
          </cell>
        </row>
        <row r="1925">
          <cell r="A1925">
            <v>10992</v>
          </cell>
          <cell r="B1925">
            <v>72</v>
          </cell>
          <cell r="C1925">
            <v>34.799999999999997</v>
          </cell>
          <cell r="D1925">
            <v>2</v>
          </cell>
          <cell r="E1925">
            <v>0</v>
          </cell>
          <cell r="F1925">
            <v>69.599999999999994</v>
          </cell>
        </row>
        <row r="1926">
          <cell r="A1926">
            <v>10993</v>
          </cell>
          <cell r="B1926">
            <v>29</v>
          </cell>
          <cell r="C1926">
            <v>123.79</v>
          </cell>
          <cell r="D1926">
            <v>50</v>
          </cell>
          <cell r="E1926">
            <v>0.25</v>
          </cell>
          <cell r="F1926">
            <v>4642.125</v>
          </cell>
        </row>
        <row r="1927">
          <cell r="A1927">
            <v>10993</v>
          </cell>
          <cell r="B1927">
            <v>41</v>
          </cell>
          <cell r="C1927">
            <v>9.65</v>
          </cell>
          <cell r="D1927">
            <v>35</v>
          </cell>
          <cell r="E1927">
            <v>0.25</v>
          </cell>
          <cell r="F1927">
            <v>253.3125</v>
          </cell>
        </row>
        <row r="1928">
          <cell r="A1928">
            <v>10994</v>
          </cell>
          <cell r="B1928">
            <v>59</v>
          </cell>
          <cell r="C1928">
            <v>55</v>
          </cell>
          <cell r="D1928">
            <v>18</v>
          </cell>
          <cell r="E1928">
            <v>5.000000074505806E-2</v>
          </cell>
          <cell r="F1928">
            <v>940.49999926239252</v>
          </cell>
        </row>
        <row r="1929">
          <cell r="A1929">
            <v>10995</v>
          </cell>
          <cell r="B1929">
            <v>51</v>
          </cell>
          <cell r="C1929">
            <v>53</v>
          </cell>
          <cell r="D1929">
            <v>20</v>
          </cell>
          <cell r="E1929">
            <v>0</v>
          </cell>
          <cell r="F1929">
            <v>1060</v>
          </cell>
        </row>
        <row r="1930">
          <cell r="A1930">
            <v>10995</v>
          </cell>
          <cell r="B1930">
            <v>60</v>
          </cell>
          <cell r="C1930">
            <v>34</v>
          </cell>
          <cell r="D1930">
            <v>4</v>
          </cell>
          <cell r="E1930">
            <v>0</v>
          </cell>
          <cell r="F1930">
            <v>136</v>
          </cell>
        </row>
        <row r="1931">
          <cell r="A1931">
            <v>10996</v>
          </cell>
          <cell r="B1931">
            <v>42</v>
          </cell>
          <cell r="C1931">
            <v>14</v>
          </cell>
          <cell r="D1931">
            <v>40</v>
          </cell>
          <cell r="E1931">
            <v>0</v>
          </cell>
          <cell r="F1931">
            <v>560</v>
          </cell>
        </row>
        <row r="1932">
          <cell r="A1932">
            <v>10997</v>
          </cell>
          <cell r="B1932">
            <v>32</v>
          </cell>
          <cell r="C1932">
            <v>32</v>
          </cell>
          <cell r="D1932">
            <v>50</v>
          </cell>
          <cell r="E1932">
            <v>0</v>
          </cell>
          <cell r="F1932">
            <v>1600</v>
          </cell>
        </row>
        <row r="1933">
          <cell r="A1933">
            <v>10997</v>
          </cell>
          <cell r="B1933">
            <v>46</v>
          </cell>
          <cell r="C1933">
            <v>12</v>
          </cell>
          <cell r="D1933">
            <v>20</v>
          </cell>
          <cell r="E1933">
            <v>0.25</v>
          </cell>
          <cell r="F1933">
            <v>180</v>
          </cell>
        </row>
        <row r="1934">
          <cell r="A1934">
            <v>10997</v>
          </cell>
          <cell r="B1934">
            <v>52</v>
          </cell>
          <cell r="C1934">
            <v>7</v>
          </cell>
          <cell r="D1934">
            <v>20</v>
          </cell>
          <cell r="E1934">
            <v>0.25</v>
          </cell>
          <cell r="F1934">
            <v>105</v>
          </cell>
        </row>
        <row r="1935">
          <cell r="A1935">
            <v>10998</v>
          </cell>
          <cell r="B1935">
            <v>24</v>
          </cell>
          <cell r="C1935">
            <v>4.5</v>
          </cell>
          <cell r="D1935">
            <v>12</v>
          </cell>
          <cell r="E1935">
            <v>0</v>
          </cell>
          <cell r="F1935">
            <v>54</v>
          </cell>
        </row>
        <row r="1936">
          <cell r="A1936">
            <v>10998</v>
          </cell>
          <cell r="B1936">
            <v>61</v>
          </cell>
          <cell r="C1936">
            <v>28.5</v>
          </cell>
          <cell r="D1936">
            <v>7</v>
          </cell>
          <cell r="E1936">
            <v>0</v>
          </cell>
          <cell r="F1936">
            <v>199.5</v>
          </cell>
        </row>
        <row r="1937">
          <cell r="A1937">
            <v>10998</v>
          </cell>
          <cell r="B1937">
            <v>74</v>
          </cell>
          <cell r="C1937">
            <v>10</v>
          </cell>
          <cell r="D1937">
            <v>20</v>
          </cell>
          <cell r="E1937">
            <v>0</v>
          </cell>
          <cell r="F1937">
            <v>200</v>
          </cell>
        </row>
        <row r="1938">
          <cell r="A1938">
            <v>10998</v>
          </cell>
          <cell r="B1938">
            <v>75</v>
          </cell>
          <cell r="C1938">
            <v>7.75</v>
          </cell>
          <cell r="D1938">
            <v>30</v>
          </cell>
          <cell r="E1938">
            <v>0</v>
          </cell>
          <cell r="F1938">
            <v>232.5</v>
          </cell>
        </row>
        <row r="1939">
          <cell r="A1939">
            <v>10999</v>
          </cell>
          <cell r="B1939">
            <v>41</v>
          </cell>
          <cell r="C1939">
            <v>9.65</v>
          </cell>
          <cell r="D1939">
            <v>20</v>
          </cell>
          <cell r="E1939">
            <v>5.000000074505806E-2</v>
          </cell>
          <cell r="F1939">
            <v>183.34999985620379</v>
          </cell>
        </row>
        <row r="1940">
          <cell r="A1940">
            <v>10999</v>
          </cell>
          <cell r="B1940">
            <v>51</v>
          </cell>
          <cell r="C1940">
            <v>53</v>
          </cell>
          <cell r="D1940">
            <v>15</v>
          </cell>
          <cell r="E1940">
            <v>5.000000074505806E-2</v>
          </cell>
          <cell r="F1940">
            <v>755.24999940767884</v>
          </cell>
        </row>
        <row r="1941">
          <cell r="A1941">
            <v>10999</v>
          </cell>
          <cell r="B1941">
            <v>77</v>
          </cell>
          <cell r="C1941">
            <v>13</v>
          </cell>
          <cell r="D1941">
            <v>21</v>
          </cell>
          <cell r="E1941">
            <v>5.000000074505806E-2</v>
          </cell>
          <cell r="F1941">
            <v>259.34999979659915</v>
          </cell>
        </row>
        <row r="1942">
          <cell r="A1942">
            <v>11000</v>
          </cell>
          <cell r="B1942">
            <v>4</v>
          </cell>
          <cell r="C1942">
            <v>22</v>
          </cell>
          <cell r="D1942">
            <v>25</v>
          </cell>
          <cell r="E1942">
            <v>0.25</v>
          </cell>
          <cell r="F1942">
            <v>412.5</v>
          </cell>
        </row>
        <row r="1943">
          <cell r="A1943">
            <v>11000</v>
          </cell>
          <cell r="B1943">
            <v>24</v>
          </cell>
          <cell r="C1943">
            <v>4.5</v>
          </cell>
          <cell r="D1943">
            <v>30</v>
          </cell>
          <cell r="E1943">
            <v>0.25</v>
          </cell>
          <cell r="F1943">
            <v>101.25</v>
          </cell>
        </row>
        <row r="1944">
          <cell r="A1944">
            <v>11000</v>
          </cell>
          <cell r="B1944">
            <v>77</v>
          </cell>
          <cell r="C1944">
            <v>13</v>
          </cell>
          <cell r="D1944">
            <v>30</v>
          </cell>
          <cell r="E1944">
            <v>0</v>
          </cell>
          <cell r="F1944">
            <v>390</v>
          </cell>
        </row>
        <row r="1945">
          <cell r="A1945">
            <v>11001</v>
          </cell>
          <cell r="B1945">
            <v>7</v>
          </cell>
          <cell r="C1945">
            <v>30</v>
          </cell>
          <cell r="D1945">
            <v>60</v>
          </cell>
          <cell r="E1945">
            <v>0</v>
          </cell>
          <cell r="F1945">
            <v>1800</v>
          </cell>
        </row>
        <row r="1946">
          <cell r="A1946">
            <v>11001</v>
          </cell>
          <cell r="B1946">
            <v>22</v>
          </cell>
          <cell r="C1946">
            <v>21</v>
          </cell>
          <cell r="D1946">
            <v>25</v>
          </cell>
          <cell r="E1946">
            <v>0</v>
          </cell>
          <cell r="F1946">
            <v>525</v>
          </cell>
        </row>
        <row r="1947">
          <cell r="A1947">
            <v>11001</v>
          </cell>
          <cell r="B1947">
            <v>46</v>
          </cell>
          <cell r="C1947">
            <v>12</v>
          </cell>
          <cell r="D1947">
            <v>25</v>
          </cell>
          <cell r="E1947">
            <v>0</v>
          </cell>
          <cell r="F1947">
            <v>300</v>
          </cell>
        </row>
        <row r="1948">
          <cell r="A1948">
            <v>11001</v>
          </cell>
          <cell r="B1948">
            <v>55</v>
          </cell>
          <cell r="C1948">
            <v>24</v>
          </cell>
          <cell r="D1948">
            <v>6</v>
          </cell>
          <cell r="E1948">
            <v>0</v>
          </cell>
          <cell r="F1948">
            <v>144</v>
          </cell>
        </row>
        <row r="1949">
          <cell r="A1949">
            <v>11002</v>
          </cell>
          <cell r="B1949">
            <v>13</v>
          </cell>
          <cell r="C1949">
            <v>6</v>
          </cell>
          <cell r="D1949">
            <v>56</v>
          </cell>
          <cell r="E1949">
            <v>0</v>
          </cell>
          <cell r="F1949">
            <v>336</v>
          </cell>
        </row>
        <row r="1950">
          <cell r="A1950">
            <v>11002</v>
          </cell>
          <cell r="B1950">
            <v>35</v>
          </cell>
          <cell r="C1950">
            <v>18</v>
          </cell>
          <cell r="D1950">
            <v>15</v>
          </cell>
          <cell r="E1950">
            <v>0.15000000596046448</v>
          </cell>
          <cell r="F1950">
            <v>229.49999839067459</v>
          </cell>
        </row>
        <row r="1951">
          <cell r="A1951">
            <v>11002</v>
          </cell>
          <cell r="B1951">
            <v>42</v>
          </cell>
          <cell r="C1951">
            <v>14</v>
          </cell>
          <cell r="D1951">
            <v>24</v>
          </cell>
          <cell r="E1951">
            <v>0.15000000596046448</v>
          </cell>
          <cell r="F1951">
            <v>285.59999799728394</v>
          </cell>
        </row>
        <row r="1952">
          <cell r="A1952">
            <v>11002</v>
          </cell>
          <cell r="B1952">
            <v>55</v>
          </cell>
          <cell r="C1952">
            <v>24</v>
          </cell>
          <cell r="D1952">
            <v>40</v>
          </cell>
          <cell r="E1952">
            <v>0</v>
          </cell>
          <cell r="F1952">
            <v>960</v>
          </cell>
        </row>
        <row r="1953">
          <cell r="A1953">
            <v>11003</v>
          </cell>
          <cell r="B1953">
            <v>1</v>
          </cell>
          <cell r="C1953">
            <v>18</v>
          </cell>
          <cell r="D1953">
            <v>4</v>
          </cell>
          <cell r="E1953">
            <v>0</v>
          </cell>
          <cell r="F1953">
            <v>72</v>
          </cell>
        </row>
        <row r="1954">
          <cell r="A1954">
            <v>11003</v>
          </cell>
          <cell r="B1954">
            <v>40</v>
          </cell>
          <cell r="C1954">
            <v>18.399999999999999</v>
          </cell>
          <cell r="D1954">
            <v>10</v>
          </cell>
          <cell r="E1954">
            <v>0</v>
          </cell>
          <cell r="F1954">
            <v>184</v>
          </cell>
        </row>
        <row r="1955">
          <cell r="A1955">
            <v>11003</v>
          </cell>
          <cell r="B1955">
            <v>52</v>
          </cell>
          <cell r="C1955">
            <v>7</v>
          </cell>
          <cell r="D1955">
            <v>10</v>
          </cell>
          <cell r="E1955">
            <v>0</v>
          </cell>
          <cell r="F1955">
            <v>70</v>
          </cell>
        </row>
        <row r="1956">
          <cell r="A1956">
            <v>11004</v>
          </cell>
          <cell r="B1956">
            <v>26</v>
          </cell>
          <cell r="C1956">
            <v>31.23</v>
          </cell>
          <cell r="D1956">
            <v>6</v>
          </cell>
          <cell r="E1956">
            <v>0</v>
          </cell>
          <cell r="F1956">
            <v>187.38</v>
          </cell>
        </row>
        <row r="1957">
          <cell r="A1957">
            <v>11004</v>
          </cell>
          <cell r="B1957">
            <v>76</v>
          </cell>
          <cell r="C1957">
            <v>18</v>
          </cell>
          <cell r="D1957">
            <v>6</v>
          </cell>
          <cell r="E1957">
            <v>0</v>
          </cell>
          <cell r="F1957">
            <v>108</v>
          </cell>
        </row>
        <row r="1958">
          <cell r="A1958">
            <v>11005</v>
          </cell>
          <cell r="B1958">
            <v>1</v>
          </cell>
          <cell r="C1958">
            <v>18</v>
          </cell>
          <cell r="D1958">
            <v>2</v>
          </cell>
          <cell r="E1958">
            <v>0</v>
          </cell>
          <cell r="F1958">
            <v>36</v>
          </cell>
        </row>
        <row r="1959">
          <cell r="A1959">
            <v>11005</v>
          </cell>
          <cell r="B1959">
            <v>59</v>
          </cell>
          <cell r="C1959">
            <v>55</v>
          </cell>
          <cell r="D1959">
            <v>10</v>
          </cell>
          <cell r="E1959">
            <v>0</v>
          </cell>
          <cell r="F1959">
            <v>550</v>
          </cell>
        </row>
        <row r="1960">
          <cell r="A1960">
            <v>11006</v>
          </cell>
          <cell r="B1960">
            <v>1</v>
          </cell>
          <cell r="C1960">
            <v>18</v>
          </cell>
          <cell r="D1960">
            <v>8</v>
          </cell>
          <cell r="E1960">
            <v>0</v>
          </cell>
          <cell r="F1960">
            <v>144</v>
          </cell>
        </row>
        <row r="1961">
          <cell r="A1961">
            <v>11006</v>
          </cell>
          <cell r="B1961">
            <v>29</v>
          </cell>
          <cell r="C1961">
            <v>123.79</v>
          </cell>
          <cell r="D1961">
            <v>2</v>
          </cell>
          <cell r="E1961">
            <v>0.25</v>
          </cell>
          <cell r="F1961">
            <v>185.685</v>
          </cell>
        </row>
        <row r="1962">
          <cell r="A1962">
            <v>11007</v>
          </cell>
          <cell r="B1962">
            <v>8</v>
          </cell>
          <cell r="C1962">
            <v>40</v>
          </cell>
          <cell r="D1962">
            <v>30</v>
          </cell>
          <cell r="E1962">
            <v>0</v>
          </cell>
          <cell r="F1962">
            <v>1200</v>
          </cell>
        </row>
        <row r="1963">
          <cell r="A1963">
            <v>11007</v>
          </cell>
          <cell r="B1963">
            <v>29</v>
          </cell>
          <cell r="C1963">
            <v>123.79</v>
          </cell>
          <cell r="D1963">
            <v>10</v>
          </cell>
          <cell r="E1963">
            <v>0</v>
          </cell>
          <cell r="F1963">
            <v>1237.9000000000001</v>
          </cell>
        </row>
        <row r="1964">
          <cell r="A1964">
            <v>11007</v>
          </cell>
          <cell r="B1964">
            <v>42</v>
          </cell>
          <cell r="C1964">
            <v>14</v>
          </cell>
          <cell r="D1964">
            <v>14</v>
          </cell>
          <cell r="E1964">
            <v>0</v>
          </cell>
          <cell r="F1964">
            <v>196</v>
          </cell>
        </row>
        <row r="1965">
          <cell r="A1965">
            <v>11008</v>
          </cell>
          <cell r="B1965">
            <v>28</v>
          </cell>
          <cell r="C1965">
            <v>45.6</v>
          </cell>
          <cell r="D1965">
            <v>70</v>
          </cell>
          <cell r="E1965">
            <v>5.000000074505806E-2</v>
          </cell>
          <cell r="F1965">
            <v>3032.3999976217747</v>
          </cell>
        </row>
        <row r="1966">
          <cell r="A1966">
            <v>11008</v>
          </cell>
          <cell r="B1966">
            <v>34</v>
          </cell>
          <cell r="C1966">
            <v>14</v>
          </cell>
          <cell r="D1966">
            <v>90</v>
          </cell>
          <cell r="E1966">
            <v>5.000000074505806E-2</v>
          </cell>
          <cell r="F1966">
            <v>1196.9999990612268</v>
          </cell>
        </row>
        <row r="1967">
          <cell r="A1967">
            <v>11008</v>
          </cell>
          <cell r="B1967">
            <v>71</v>
          </cell>
          <cell r="C1967">
            <v>21.5</v>
          </cell>
          <cell r="D1967">
            <v>21</v>
          </cell>
          <cell r="E1967">
            <v>0</v>
          </cell>
          <cell r="F1967">
            <v>451.5</v>
          </cell>
        </row>
        <row r="1968">
          <cell r="A1968">
            <v>11009</v>
          </cell>
          <cell r="B1968">
            <v>24</v>
          </cell>
          <cell r="C1968">
            <v>4.5</v>
          </cell>
          <cell r="D1968">
            <v>12</v>
          </cell>
          <cell r="E1968">
            <v>0</v>
          </cell>
          <cell r="F1968">
            <v>54</v>
          </cell>
        </row>
        <row r="1969">
          <cell r="A1969">
            <v>11009</v>
          </cell>
          <cell r="B1969">
            <v>36</v>
          </cell>
          <cell r="C1969">
            <v>19</v>
          </cell>
          <cell r="D1969">
            <v>18</v>
          </cell>
          <cell r="E1969">
            <v>0.25</v>
          </cell>
          <cell r="F1969">
            <v>256.5</v>
          </cell>
        </row>
        <row r="1970">
          <cell r="A1970">
            <v>11009</v>
          </cell>
          <cell r="B1970">
            <v>60</v>
          </cell>
          <cell r="C1970">
            <v>34</v>
          </cell>
          <cell r="D1970">
            <v>9</v>
          </cell>
          <cell r="E1970">
            <v>0</v>
          </cell>
          <cell r="F1970">
            <v>306</v>
          </cell>
        </row>
        <row r="1971">
          <cell r="A1971">
            <v>11010</v>
          </cell>
          <cell r="B1971">
            <v>7</v>
          </cell>
          <cell r="C1971">
            <v>30</v>
          </cell>
          <cell r="D1971">
            <v>20</v>
          </cell>
          <cell r="E1971">
            <v>0</v>
          </cell>
          <cell r="F1971">
            <v>600</v>
          </cell>
        </row>
        <row r="1972">
          <cell r="A1972">
            <v>11010</v>
          </cell>
          <cell r="B1972">
            <v>24</v>
          </cell>
          <cell r="C1972">
            <v>4.5</v>
          </cell>
          <cell r="D1972">
            <v>10</v>
          </cell>
          <cell r="E1972">
            <v>0</v>
          </cell>
          <cell r="F1972">
            <v>45</v>
          </cell>
        </row>
        <row r="1973">
          <cell r="A1973">
            <v>11011</v>
          </cell>
          <cell r="B1973">
            <v>58</v>
          </cell>
          <cell r="C1973">
            <v>13.25</v>
          </cell>
          <cell r="D1973">
            <v>40</v>
          </cell>
          <cell r="E1973">
            <v>5.000000074505806E-2</v>
          </cell>
          <cell r="F1973">
            <v>503.49999960511923</v>
          </cell>
        </row>
        <row r="1974">
          <cell r="A1974">
            <v>11011</v>
          </cell>
          <cell r="B1974">
            <v>71</v>
          </cell>
          <cell r="C1974">
            <v>21.5</v>
          </cell>
          <cell r="D1974">
            <v>20</v>
          </cell>
          <cell r="E1974">
            <v>0</v>
          </cell>
          <cell r="F1974">
            <v>430</v>
          </cell>
        </row>
        <row r="1975">
          <cell r="A1975">
            <v>11012</v>
          </cell>
          <cell r="B1975">
            <v>19</v>
          </cell>
          <cell r="C1975">
            <v>9.1999999999999993</v>
          </cell>
          <cell r="D1975">
            <v>50</v>
          </cell>
          <cell r="E1975">
            <v>5.000000074505806E-2</v>
          </cell>
          <cell r="F1975">
            <v>436.99999965727324</v>
          </cell>
        </row>
        <row r="1976">
          <cell r="A1976">
            <v>11012</v>
          </cell>
          <cell r="B1976">
            <v>60</v>
          </cell>
          <cell r="C1976">
            <v>34</v>
          </cell>
          <cell r="D1976">
            <v>36</v>
          </cell>
          <cell r="E1976">
            <v>5.000000074505806E-2</v>
          </cell>
          <cell r="F1976">
            <v>1162.7999990880489</v>
          </cell>
        </row>
        <row r="1977">
          <cell r="A1977">
            <v>11012</v>
          </cell>
          <cell r="B1977">
            <v>71</v>
          </cell>
          <cell r="C1977">
            <v>21.5</v>
          </cell>
          <cell r="D1977">
            <v>60</v>
          </cell>
          <cell r="E1977">
            <v>5.000000074505806E-2</v>
          </cell>
          <cell r="F1977">
            <v>1225.4999990388751</v>
          </cell>
        </row>
        <row r="1978">
          <cell r="A1978">
            <v>11013</v>
          </cell>
          <cell r="B1978">
            <v>23</v>
          </cell>
          <cell r="C1978">
            <v>9</v>
          </cell>
          <cell r="D1978">
            <v>10</v>
          </cell>
          <cell r="E1978">
            <v>0</v>
          </cell>
          <cell r="F1978">
            <v>90</v>
          </cell>
        </row>
        <row r="1979">
          <cell r="A1979">
            <v>11013</v>
          </cell>
          <cell r="B1979">
            <v>42</v>
          </cell>
          <cell r="C1979">
            <v>14</v>
          </cell>
          <cell r="D1979">
            <v>4</v>
          </cell>
          <cell r="E1979">
            <v>0</v>
          </cell>
          <cell r="F1979">
            <v>56</v>
          </cell>
        </row>
        <row r="1980">
          <cell r="A1980">
            <v>11013</v>
          </cell>
          <cell r="B1980">
            <v>45</v>
          </cell>
          <cell r="C1980">
            <v>9.5</v>
          </cell>
          <cell r="D1980">
            <v>20</v>
          </cell>
          <cell r="E1980">
            <v>0</v>
          </cell>
          <cell r="F1980">
            <v>190</v>
          </cell>
        </row>
        <row r="1981">
          <cell r="A1981">
            <v>11013</v>
          </cell>
          <cell r="B1981">
            <v>68</v>
          </cell>
          <cell r="C1981">
            <v>12.5</v>
          </cell>
          <cell r="D1981">
            <v>2</v>
          </cell>
          <cell r="E1981">
            <v>0</v>
          </cell>
          <cell r="F1981">
            <v>25</v>
          </cell>
        </row>
        <row r="1982">
          <cell r="A1982">
            <v>11014</v>
          </cell>
          <cell r="B1982">
            <v>41</v>
          </cell>
          <cell r="C1982">
            <v>9.65</v>
          </cell>
          <cell r="D1982">
            <v>28</v>
          </cell>
          <cell r="E1982">
            <v>0.10000000149011612</v>
          </cell>
          <cell r="F1982">
            <v>243.17999959737062</v>
          </cell>
        </row>
        <row r="1983">
          <cell r="A1983">
            <v>11015</v>
          </cell>
          <cell r="B1983">
            <v>30</v>
          </cell>
          <cell r="C1983">
            <v>25.89</v>
          </cell>
          <cell r="D1983">
            <v>15</v>
          </cell>
          <cell r="E1983">
            <v>0</v>
          </cell>
          <cell r="F1983">
            <v>388.35</v>
          </cell>
        </row>
        <row r="1984">
          <cell r="A1984">
            <v>11015</v>
          </cell>
          <cell r="B1984">
            <v>77</v>
          </cell>
          <cell r="C1984">
            <v>13</v>
          </cell>
          <cell r="D1984">
            <v>18</v>
          </cell>
          <cell r="E1984">
            <v>0</v>
          </cell>
          <cell r="F1984">
            <v>234</v>
          </cell>
        </row>
        <row r="1985">
          <cell r="A1985">
            <v>11016</v>
          </cell>
          <cell r="B1985">
            <v>31</v>
          </cell>
          <cell r="C1985">
            <v>12.5</v>
          </cell>
          <cell r="D1985">
            <v>15</v>
          </cell>
          <cell r="E1985">
            <v>0</v>
          </cell>
          <cell r="F1985">
            <v>187.5</v>
          </cell>
        </row>
        <row r="1986">
          <cell r="A1986">
            <v>11016</v>
          </cell>
          <cell r="B1986">
            <v>36</v>
          </cell>
          <cell r="C1986">
            <v>19</v>
          </cell>
          <cell r="D1986">
            <v>16</v>
          </cell>
          <cell r="E1986">
            <v>0</v>
          </cell>
          <cell r="F1986">
            <v>304</v>
          </cell>
        </row>
        <row r="1987">
          <cell r="A1987">
            <v>11017</v>
          </cell>
          <cell r="B1987">
            <v>3</v>
          </cell>
          <cell r="C1987">
            <v>10</v>
          </cell>
          <cell r="D1987">
            <v>25</v>
          </cell>
          <cell r="E1987">
            <v>0</v>
          </cell>
          <cell r="F1987">
            <v>250</v>
          </cell>
        </row>
        <row r="1988">
          <cell r="A1988">
            <v>11017</v>
          </cell>
          <cell r="B1988">
            <v>59</v>
          </cell>
          <cell r="C1988">
            <v>55</v>
          </cell>
          <cell r="D1988">
            <v>110</v>
          </cell>
          <cell r="E1988">
            <v>0</v>
          </cell>
          <cell r="F1988">
            <v>6050</v>
          </cell>
        </row>
        <row r="1989">
          <cell r="A1989">
            <v>11017</v>
          </cell>
          <cell r="B1989">
            <v>70</v>
          </cell>
          <cell r="C1989">
            <v>15</v>
          </cell>
          <cell r="D1989">
            <v>30</v>
          </cell>
          <cell r="E1989">
            <v>0</v>
          </cell>
          <cell r="F1989">
            <v>450</v>
          </cell>
        </row>
        <row r="1990">
          <cell r="A1990">
            <v>11018</v>
          </cell>
          <cell r="B1990">
            <v>12</v>
          </cell>
          <cell r="C1990">
            <v>38</v>
          </cell>
          <cell r="D1990">
            <v>20</v>
          </cell>
          <cell r="E1990">
            <v>0</v>
          </cell>
          <cell r="F1990">
            <v>760</v>
          </cell>
        </row>
        <row r="1991">
          <cell r="A1991">
            <v>11018</v>
          </cell>
          <cell r="B1991">
            <v>18</v>
          </cell>
          <cell r="C1991">
            <v>62.5</v>
          </cell>
          <cell r="D1991">
            <v>10</v>
          </cell>
          <cell r="E1991">
            <v>0</v>
          </cell>
          <cell r="F1991">
            <v>625</v>
          </cell>
        </row>
        <row r="1992">
          <cell r="A1992">
            <v>11018</v>
          </cell>
          <cell r="B1992">
            <v>56</v>
          </cell>
          <cell r="C1992">
            <v>38</v>
          </cell>
          <cell r="D1992">
            <v>5</v>
          </cell>
          <cell r="E1992">
            <v>0</v>
          </cell>
          <cell r="F1992">
            <v>190</v>
          </cell>
        </row>
        <row r="1993">
          <cell r="A1993">
            <v>11019</v>
          </cell>
          <cell r="B1993">
            <v>46</v>
          </cell>
          <cell r="C1993">
            <v>12</v>
          </cell>
          <cell r="D1993">
            <v>3</v>
          </cell>
          <cell r="E1993">
            <v>0</v>
          </cell>
          <cell r="F1993">
            <v>36</v>
          </cell>
        </row>
        <row r="1994">
          <cell r="A1994">
            <v>11019</v>
          </cell>
          <cell r="B1994">
            <v>49</v>
          </cell>
          <cell r="C1994">
            <v>20</v>
          </cell>
          <cell r="D1994">
            <v>2</v>
          </cell>
          <cell r="E1994">
            <v>0</v>
          </cell>
          <cell r="F1994">
            <v>40</v>
          </cell>
        </row>
        <row r="1995">
          <cell r="A1995">
            <v>11020</v>
          </cell>
          <cell r="B1995">
            <v>10</v>
          </cell>
          <cell r="C1995">
            <v>31</v>
          </cell>
          <cell r="D1995">
            <v>24</v>
          </cell>
          <cell r="E1995">
            <v>0.15000000596046448</v>
          </cell>
          <cell r="F1995">
            <v>632.39999556541443</v>
          </cell>
        </row>
        <row r="1996">
          <cell r="A1996">
            <v>11021</v>
          </cell>
          <cell r="B1996">
            <v>2</v>
          </cell>
          <cell r="C1996">
            <v>19</v>
          </cell>
          <cell r="D1996">
            <v>11</v>
          </cell>
          <cell r="E1996">
            <v>0.25</v>
          </cell>
          <cell r="F1996">
            <v>156.75</v>
          </cell>
        </row>
        <row r="1997">
          <cell r="A1997">
            <v>11021</v>
          </cell>
          <cell r="B1997">
            <v>20</v>
          </cell>
          <cell r="C1997">
            <v>81</v>
          </cell>
          <cell r="D1997">
            <v>15</v>
          </cell>
          <cell r="E1997">
            <v>0</v>
          </cell>
          <cell r="F1997">
            <v>1215</v>
          </cell>
        </row>
        <row r="1998">
          <cell r="A1998">
            <v>11021</v>
          </cell>
          <cell r="B1998">
            <v>26</v>
          </cell>
          <cell r="C1998">
            <v>31.23</v>
          </cell>
          <cell r="D1998">
            <v>63</v>
          </cell>
          <cell r="E1998">
            <v>0</v>
          </cell>
          <cell r="F1998">
            <v>1967.49</v>
          </cell>
        </row>
        <row r="1999">
          <cell r="A1999">
            <v>11021</v>
          </cell>
          <cell r="B1999">
            <v>51</v>
          </cell>
          <cell r="C1999">
            <v>53</v>
          </cell>
          <cell r="D1999">
            <v>44</v>
          </cell>
          <cell r="E1999">
            <v>0.25</v>
          </cell>
          <cell r="F1999">
            <v>1749</v>
          </cell>
        </row>
        <row r="2000">
          <cell r="A2000">
            <v>11021</v>
          </cell>
          <cell r="B2000">
            <v>72</v>
          </cell>
          <cell r="C2000">
            <v>34.799999999999997</v>
          </cell>
          <cell r="D2000">
            <v>35</v>
          </cell>
          <cell r="E2000">
            <v>0</v>
          </cell>
          <cell r="F2000">
            <v>1218</v>
          </cell>
        </row>
        <row r="2001">
          <cell r="A2001">
            <v>11022</v>
          </cell>
          <cell r="B2001">
            <v>19</v>
          </cell>
          <cell r="C2001">
            <v>9.1999999999999993</v>
          </cell>
          <cell r="D2001">
            <v>35</v>
          </cell>
          <cell r="E2001">
            <v>0</v>
          </cell>
          <cell r="F2001">
            <v>322</v>
          </cell>
        </row>
        <row r="2002">
          <cell r="A2002">
            <v>11022</v>
          </cell>
          <cell r="B2002">
            <v>69</v>
          </cell>
          <cell r="C2002">
            <v>36</v>
          </cell>
          <cell r="D2002">
            <v>30</v>
          </cell>
          <cell r="E2002">
            <v>0</v>
          </cell>
          <cell r="F2002">
            <v>1080</v>
          </cell>
        </row>
        <row r="2003">
          <cell r="A2003">
            <v>11023</v>
          </cell>
          <cell r="B2003">
            <v>7</v>
          </cell>
          <cell r="C2003">
            <v>30</v>
          </cell>
          <cell r="D2003">
            <v>4</v>
          </cell>
          <cell r="E2003">
            <v>0</v>
          </cell>
          <cell r="F2003">
            <v>120</v>
          </cell>
        </row>
        <row r="2004">
          <cell r="A2004">
            <v>11023</v>
          </cell>
          <cell r="B2004">
            <v>43</v>
          </cell>
          <cell r="C2004">
            <v>46</v>
          </cell>
          <cell r="D2004">
            <v>30</v>
          </cell>
          <cell r="E2004">
            <v>0</v>
          </cell>
          <cell r="F2004">
            <v>1380</v>
          </cell>
        </row>
        <row r="2005">
          <cell r="A2005">
            <v>11024</v>
          </cell>
          <cell r="B2005">
            <v>26</v>
          </cell>
          <cell r="C2005">
            <v>31.23</v>
          </cell>
          <cell r="D2005">
            <v>12</v>
          </cell>
          <cell r="E2005">
            <v>0</v>
          </cell>
          <cell r="F2005">
            <v>374.76</v>
          </cell>
        </row>
        <row r="2006">
          <cell r="A2006">
            <v>11024</v>
          </cell>
          <cell r="B2006">
            <v>33</v>
          </cell>
          <cell r="C2006">
            <v>2.5</v>
          </cell>
          <cell r="D2006">
            <v>30</v>
          </cell>
          <cell r="E2006">
            <v>0</v>
          </cell>
          <cell r="F2006">
            <v>75</v>
          </cell>
        </row>
        <row r="2007">
          <cell r="A2007">
            <v>11024</v>
          </cell>
          <cell r="B2007">
            <v>65</v>
          </cell>
          <cell r="C2007">
            <v>21.05</v>
          </cell>
          <cell r="D2007">
            <v>21</v>
          </cell>
          <cell r="E2007">
            <v>0</v>
          </cell>
          <cell r="F2007">
            <v>442.05</v>
          </cell>
        </row>
        <row r="2008">
          <cell r="A2008">
            <v>11024</v>
          </cell>
          <cell r="B2008">
            <v>71</v>
          </cell>
          <cell r="C2008">
            <v>21.5</v>
          </cell>
          <cell r="D2008">
            <v>50</v>
          </cell>
          <cell r="E2008">
            <v>0</v>
          </cell>
          <cell r="F2008">
            <v>1075</v>
          </cell>
        </row>
        <row r="2009">
          <cell r="A2009">
            <v>11025</v>
          </cell>
          <cell r="B2009">
            <v>1</v>
          </cell>
          <cell r="C2009">
            <v>18</v>
          </cell>
          <cell r="D2009">
            <v>10</v>
          </cell>
          <cell r="E2009">
            <v>0.10000000149011612</v>
          </cell>
          <cell r="F2009">
            <v>161.9999997317791</v>
          </cell>
        </row>
        <row r="2010">
          <cell r="A2010">
            <v>11025</v>
          </cell>
          <cell r="B2010">
            <v>13</v>
          </cell>
          <cell r="C2010">
            <v>6</v>
          </cell>
          <cell r="D2010">
            <v>20</v>
          </cell>
          <cell r="E2010">
            <v>0.10000000149011612</v>
          </cell>
          <cell r="F2010">
            <v>107.99999982118607</v>
          </cell>
        </row>
        <row r="2011">
          <cell r="A2011">
            <v>11026</v>
          </cell>
          <cell r="B2011">
            <v>18</v>
          </cell>
          <cell r="C2011">
            <v>62.5</v>
          </cell>
          <cell r="D2011">
            <v>8</v>
          </cell>
          <cell r="E2011">
            <v>0</v>
          </cell>
          <cell r="F2011">
            <v>500</v>
          </cell>
        </row>
        <row r="2012">
          <cell r="A2012">
            <v>11026</v>
          </cell>
          <cell r="B2012">
            <v>51</v>
          </cell>
          <cell r="C2012">
            <v>53</v>
          </cell>
          <cell r="D2012">
            <v>10</v>
          </cell>
          <cell r="E2012">
            <v>0</v>
          </cell>
          <cell r="F2012">
            <v>530</v>
          </cell>
        </row>
        <row r="2013">
          <cell r="A2013">
            <v>11027</v>
          </cell>
          <cell r="B2013">
            <v>24</v>
          </cell>
          <cell r="C2013">
            <v>4.5</v>
          </cell>
          <cell r="D2013">
            <v>30</v>
          </cell>
          <cell r="E2013">
            <v>0.25</v>
          </cell>
          <cell r="F2013">
            <v>101.25</v>
          </cell>
        </row>
        <row r="2014">
          <cell r="A2014">
            <v>11027</v>
          </cell>
          <cell r="B2014">
            <v>62</v>
          </cell>
          <cell r="C2014">
            <v>49.3</v>
          </cell>
          <cell r="D2014">
            <v>21</v>
          </cell>
          <cell r="E2014">
            <v>0.25</v>
          </cell>
          <cell r="F2014">
            <v>776.47499999999991</v>
          </cell>
        </row>
        <row r="2015">
          <cell r="A2015">
            <v>11028</v>
          </cell>
          <cell r="B2015">
            <v>55</v>
          </cell>
          <cell r="C2015">
            <v>24</v>
          </cell>
          <cell r="D2015">
            <v>35</v>
          </cell>
          <cell r="E2015">
            <v>0</v>
          </cell>
          <cell r="F2015">
            <v>840</v>
          </cell>
        </row>
        <row r="2016">
          <cell r="A2016">
            <v>11028</v>
          </cell>
          <cell r="B2016">
            <v>59</v>
          </cell>
          <cell r="C2016">
            <v>55</v>
          </cell>
          <cell r="D2016">
            <v>24</v>
          </cell>
          <cell r="E2016">
            <v>0</v>
          </cell>
          <cell r="F2016">
            <v>1320</v>
          </cell>
        </row>
        <row r="2017">
          <cell r="A2017">
            <v>11029</v>
          </cell>
          <cell r="B2017">
            <v>56</v>
          </cell>
          <cell r="C2017">
            <v>38</v>
          </cell>
          <cell r="D2017">
            <v>20</v>
          </cell>
          <cell r="E2017">
            <v>0</v>
          </cell>
          <cell r="F2017">
            <v>760</v>
          </cell>
        </row>
        <row r="2018">
          <cell r="A2018">
            <v>11029</v>
          </cell>
          <cell r="B2018">
            <v>63</v>
          </cell>
          <cell r="C2018">
            <v>43.9</v>
          </cell>
          <cell r="D2018">
            <v>12</v>
          </cell>
          <cell r="E2018">
            <v>0</v>
          </cell>
          <cell r="F2018">
            <v>526.79999999999995</v>
          </cell>
        </row>
        <row r="2019">
          <cell r="A2019">
            <v>11030</v>
          </cell>
          <cell r="B2019">
            <v>2</v>
          </cell>
          <cell r="C2019">
            <v>19</v>
          </cell>
          <cell r="D2019">
            <v>100</v>
          </cell>
          <cell r="E2019">
            <v>0.25</v>
          </cell>
          <cell r="F2019">
            <v>1425</v>
          </cell>
        </row>
        <row r="2020">
          <cell r="A2020">
            <v>11030</v>
          </cell>
          <cell r="B2020">
            <v>5</v>
          </cell>
          <cell r="C2020">
            <v>21.35</v>
          </cell>
          <cell r="D2020">
            <v>70</v>
          </cell>
          <cell r="E2020">
            <v>0</v>
          </cell>
          <cell r="F2020">
            <v>1494.5</v>
          </cell>
        </row>
        <row r="2021">
          <cell r="A2021">
            <v>11030</v>
          </cell>
          <cell r="B2021">
            <v>29</v>
          </cell>
          <cell r="C2021">
            <v>123.79</v>
          </cell>
          <cell r="D2021">
            <v>60</v>
          </cell>
          <cell r="E2021">
            <v>0.25</v>
          </cell>
          <cell r="F2021">
            <v>5570.55</v>
          </cell>
        </row>
        <row r="2022">
          <cell r="A2022">
            <v>11030</v>
          </cell>
          <cell r="B2022">
            <v>59</v>
          </cell>
          <cell r="C2022">
            <v>55</v>
          </cell>
          <cell r="D2022">
            <v>100</v>
          </cell>
          <cell r="E2022">
            <v>0.25</v>
          </cell>
          <cell r="F2022">
            <v>4125</v>
          </cell>
        </row>
        <row r="2023">
          <cell r="A2023">
            <v>11031</v>
          </cell>
          <cell r="B2023">
            <v>1</v>
          </cell>
          <cell r="C2023">
            <v>18</v>
          </cell>
          <cell r="D2023">
            <v>45</v>
          </cell>
          <cell r="E2023">
            <v>0</v>
          </cell>
          <cell r="F2023">
            <v>810</v>
          </cell>
        </row>
        <row r="2024">
          <cell r="A2024">
            <v>11031</v>
          </cell>
          <cell r="B2024">
            <v>13</v>
          </cell>
          <cell r="C2024">
            <v>6</v>
          </cell>
          <cell r="D2024">
            <v>80</v>
          </cell>
          <cell r="E2024">
            <v>0</v>
          </cell>
          <cell r="F2024">
            <v>480</v>
          </cell>
        </row>
        <row r="2025">
          <cell r="A2025">
            <v>11031</v>
          </cell>
          <cell r="B2025">
            <v>24</v>
          </cell>
          <cell r="C2025">
            <v>4.5</v>
          </cell>
          <cell r="D2025">
            <v>21</v>
          </cell>
          <cell r="E2025">
            <v>0</v>
          </cell>
          <cell r="F2025">
            <v>94.5</v>
          </cell>
        </row>
        <row r="2026">
          <cell r="A2026">
            <v>11031</v>
          </cell>
          <cell r="B2026">
            <v>64</v>
          </cell>
          <cell r="C2026">
            <v>33.25</v>
          </cell>
          <cell r="D2026">
            <v>20</v>
          </cell>
          <cell r="E2026">
            <v>0</v>
          </cell>
          <cell r="F2026">
            <v>665</v>
          </cell>
        </row>
        <row r="2027">
          <cell r="A2027">
            <v>11031</v>
          </cell>
          <cell r="B2027">
            <v>71</v>
          </cell>
          <cell r="C2027">
            <v>21.5</v>
          </cell>
          <cell r="D2027">
            <v>16</v>
          </cell>
          <cell r="E2027">
            <v>0</v>
          </cell>
          <cell r="F2027">
            <v>344</v>
          </cell>
        </row>
        <row r="2028">
          <cell r="A2028">
            <v>11032</v>
          </cell>
          <cell r="B2028">
            <v>36</v>
          </cell>
          <cell r="C2028">
            <v>19</v>
          </cell>
          <cell r="D2028">
            <v>35</v>
          </cell>
          <cell r="E2028">
            <v>0</v>
          </cell>
          <cell r="F2028">
            <v>665</v>
          </cell>
        </row>
        <row r="2029">
          <cell r="A2029">
            <v>11032</v>
          </cell>
          <cell r="B2029">
            <v>38</v>
          </cell>
          <cell r="C2029">
            <v>263.5</v>
          </cell>
          <cell r="D2029">
            <v>25</v>
          </cell>
          <cell r="E2029">
            <v>0</v>
          </cell>
          <cell r="F2029">
            <v>6587.5</v>
          </cell>
        </row>
        <row r="2030">
          <cell r="A2030">
            <v>11032</v>
          </cell>
          <cell r="B2030">
            <v>59</v>
          </cell>
          <cell r="C2030">
            <v>55</v>
          </cell>
          <cell r="D2030">
            <v>30</v>
          </cell>
          <cell r="E2030">
            <v>0</v>
          </cell>
          <cell r="F2030">
            <v>1650</v>
          </cell>
        </row>
        <row r="2031">
          <cell r="A2031">
            <v>11033</v>
          </cell>
          <cell r="B2031">
            <v>53</v>
          </cell>
          <cell r="C2031">
            <v>32.799999999999997</v>
          </cell>
          <cell r="D2031">
            <v>70</v>
          </cell>
          <cell r="E2031">
            <v>0.10000000149011612</v>
          </cell>
          <cell r="F2031">
            <v>2066.3999965786934</v>
          </cell>
        </row>
        <row r="2032">
          <cell r="A2032">
            <v>11033</v>
          </cell>
          <cell r="B2032">
            <v>69</v>
          </cell>
          <cell r="C2032">
            <v>36</v>
          </cell>
          <cell r="D2032">
            <v>36</v>
          </cell>
          <cell r="E2032">
            <v>0.10000000149011612</v>
          </cell>
          <cell r="F2032">
            <v>1166.3999980688095</v>
          </cell>
        </row>
        <row r="2033">
          <cell r="A2033">
            <v>11034</v>
          </cell>
          <cell r="B2033">
            <v>21</v>
          </cell>
          <cell r="C2033">
            <v>10</v>
          </cell>
          <cell r="D2033">
            <v>15</v>
          </cell>
          <cell r="E2033">
            <v>0.10000000149011612</v>
          </cell>
          <cell r="F2033">
            <v>134.99999977648258</v>
          </cell>
        </row>
        <row r="2034">
          <cell r="A2034">
            <v>11034</v>
          </cell>
          <cell r="B2034">
            <v>44</v>
          </cell>
          <cell r="C2034">
            <v>19.45</v>
          </cell>
          <cell r="D2034">
            <v>12</v>
          </cell>
          <cell r="E2034">
            <v>0</v>
          </cell>
          <cell r="F2034">
            <v>233.39999999999998</v>
          </cell>
        </row>
        <row r="2035">
          <cell r="A2035">
            <v>11034</v>
          </cell>
          <cell r="B2035">
            <v>61</v>
          </cell>
          <cell r="C2035">
            <v>28.5</v>
          </cell>
          <cell r="D2035">
            <v>6</v>
          </cell>
          <cell r="E2035">
            <v>0</v>
          </cell>
          <cell r="F2035">
            <v>171</v>
          </cell>
        </row>
        <row r="2036">
          <cell r="A2036">
            <v>11035</v>
          </cell>
          <cell r="B2036">
            <v>1</v>
          </cell>
          <cell r="C2036">
            <v>18</v>
          </cell>
          <cell r="D2036">
            <v>10</v>
          </cell>
          <cell r="E2036">
            <v>0</v>
          </cell>
          <cell r="F2036">
            <v>180</v>
          </cell>
        </row>
        <row r="2037">
          <cell r="A2037">
            <v>11035</v>
          </cell>
          <cell r="B2037">
            <v>35</v>
          </cell>
          <cell r="C2037">
            <v>18</v>
          </cell>
          <cell r="D2037">
            <v>60</v>
          </cell>
          <cell r="E2037">
            <v>0</v>
          </cell>
          <cell r="F2037">
            <v>1080</v>
          </cell>
        </row>
        <row r="2038">
          <cell r="A2038">
            <v>11035</v>
          </cell>
          <cell r="B2038">
            <v>42</v>
          </cell>
          <cell r="C2038">
            <v>14</v>
          </cell>
          <cell r="D2038">
            <v>30</v>
          </cell>
          <cell r="E2038">
            <v>0</v>
          </cell>
          <cell r="F2038">
            <v>420</v>
          </cell>
        </row>
        <row r="2039">
          <cell r="A2039">
            <v>11035</v>
          </cell>
          <cell r="B2039">
            <v>54</v>
          </cell>
          <cell r="C2039">
            <v>7.45</v>
          </cell>
          <cell r="D2039">
            <v>10</v>
          </cell>
          <cell r="E2039">
            <v>0</v>
          </cell>
          <cell r="F2039">
            <v>74.5</v>
          </cell>
        </row>
        <row r="2040">
          <cell r="A2040">
            <v>11036</v>
          </cell>
          <cell r="B2040">
            <v>13</v>
          </cell>
          <cell r="C2040">
            <v>6</v>
          </cell>
          <cell r="D2040">
            <v>7</v>
          </cell>
          <cell r="E2040">
            <v>0</v>
          </cell>
          <cell r="F2040">
            <v>42</v>
          </cell>
        </row>
        <row r="2041">
          <cell r="A2041">
            <v>11036</v>
          </cell>
          <cell r="B2041">
            <v>59</v>
          </cell>
          <cell r="C2041">
            <v>55</v>
          </cell>
          <cell r="D2041">
            <v>30</v>
          </cell>
          <cell r="E2041">
            <v>0</v>
          </cell>
          <cell r="F2041">
            <v>1650</v>
          </cell>
        </row>
        <row r="2042">
          <cell r="A2042">
            <v>11037</v>
          </cell>
          <cell r="B2042">
            <v>70</v>
          </cell>
          <cell r="C2042">
            <v>15</v>
          </cell>
          <cell r="D2042">
            <v>4</v>
          </cell>
          <cell r="E2042">
            <v>0</v>
          </cell>
          <cell r="F2042">
            <v>60</v>
          </cell>
        </row>
        <row r="2043">
          <cell r="A2043">
            <v>11038</v>
          </cell>
          <cell r="B2043">
            <v>40</v>
          </cell>
          <cell r="C2043">
            <v>18.399999999999999</v>
          </cell>
          <cell r="D2043">
            <v>5</v>
          </cell>
          <cell r="E2043">
            <v>0.20000000298023224</v>
          </cell>
          <cell r="F2043">
            <v>73.599999725818634</v>
          </cell>
        </row>
        <row r="2044">
          <cell r="A2044">
            <v>11038</v>
          </cell>
          <cell r="B2044">
            <v>52</v>
          </cell>
          <cell r="C2044">
            <v>7</v>
          </cell>
          <cell r="D2044">
            <v>2</v>
          </cell>
          <cell r="E2044">
            <v>0</v>
          </cell>
          <cell r="F2044">
            <v>14</v>
          </cell>
        </row>
        <row r="2045">
          <cell r="A2045">
            <v>11038</v>
          </cell>
          <cell r="B2045">
            <v>71</v>
          </cell>
          <cell r="C2045">
            <v>21.5</v>
          </cell>
          <cell r="D2045">
            <v>30</v>
          </cell>
          <cell r="E2045">
            <v>0</v>
          </cell>
          <cell r="F2045">
            <v>645</v>
          </cell>
        </row>
        <row r="2046">
          <cell r="A2046">
            <v>11039</v>
          </cell>
          <cell r="B2046">
            <v>28</v>
          </cell>
          <cell r="C2046">
            <v>45.6</v>
          </cell>
          <cell r="D2046">
            <v>20</v>
          </cell>
          <cell r="E2046">
            <v>0</v>
          </cell>
          <cell r="F2046">
            <v>912</v>
          </cell>
        </row>
        <row r="2047">
          <cell r="A2047">
            <v>11039</v>
          </cell>
          <cell r="B2047">
            <v>35</v>
          </cell>
          <cell r="C2047">
            <v>18</v>
          </cell>
          <cell r="D2047">
            <v>24</v>
          </cell>
          <cell r="E2047">
            <v>0</v>
          </cell>
          <cell r="F2047">
            <v>432</v>
          </cell>
        </row>
        <row r="2048">
          <cell r="A2048">
            <v>11039</v>
          </cell>
          <cell r="B2048">
            <v>49</v>
          </cell>
          <cell r="C2048">
            <v>20</v>
          </cell>
          <cell r="D2048">
            <v>60</v>
          </cell>
          <cell r="E2048">
            <v>0</v>
          </cell>
          <cell r="F2048">
            <v>1200</v>
          </cell>
        </row>
        <row r="2049">
          <cell r="A2049">
            <v>11039</v>
          </cell>
          <cell r="B2049">
            <v>57</v>
          </cell>
          <cell r="C2049">
            <v>19.5</v>
          </cell>
          <cell r="D2049">
            <v>28</v>
          </cell>
          <cell r="E2049">
            <v>0</v>
          </cell>
          <cell r="F2049">
            <v>546</v>
          </cell>
        </row>
        <row r="2050">
          <cell r="A2050">
            <v>11040</v>
          </cell>
          <cell r="B2050">
            <v>21</v>
          </cell>
          <cell r="C2050">
            <v>10</v>
          </cell>
          <cell r="D2050">
            <v>20</v>
          </cell>
          <cell r="E2050">
            <v>0</v>
          </cell>
          <cell r="F2050">
            <v>200</v>
          </cell>
        </row>
        <row r="2051">
          <cell r="A2051">
            <v>11041</v>
          </cell>
          <cell r="B2051">
            <v>2</v>
          </cell>
          <cell r="C2051">
            <v>19</v>
          </cell>
          <cell r="D2051">
            <v>30</v>
          </cell>
          <cell r="E2051">
            <v>0.20000000298023224</v>
          </cell>
          <cell r="F2051">
            <v>455.99999830126762</v>
          </cell>
        </row>
        <row r="2052">
          <cell r="A2052">
            <v>11041</v>
          </cell>
          <cell r="B2052">
            <v>63</v>
          </cell>
          <cell r="C2052">
            <v>43.9</v>
          </cell>
          <cell r="D2052">
            <v>30</v>
          </cell>
          <cell r="E2052">
            <v>0</v>
          </cell>
          <cell r="F2052">
            <v>1317</v>
          </cell>
        </row>
        <row r="2053">
          <cell r="A2053">
            <v>11042</v>
          </cell>
          <cell r="B2053">
            <v>44</v>
          </cell>
          <cell r="C2053">
            <v>19.45</v>
          </cell>
          <cell r="D2053">
            <v>15</v>
          </cell>
          <cell r="E2053">
            <v>0</v>
          </cell>
          <cell r="F2053">
            <v>291.75</v>
          </cell>
        </row>
        <row r="2054">
          <cell r="A2054">
            <v>11042</v>
          </cell>
          <cell r="B2054">
            <v>61</v>
          </cell>
          <cell r="C2054">
            <v>28.5</v>
          </cell>
          <cell r="D2054">
            <v>4</v>
          </cell>
          <cell r="E2054">
            <v>0</v>
          </cell>
          <cell r="F2054">
            <v>114</v>
          </cell>
        </row>
        <row r="2055">
          <cell r="A2055">
            <v>11043</v>
          </cell>
          <cell r="B2055">
            <v>11</v>
          </cell>
          <cell r="C2055">
            <v>21</v>
          </cell>
          <cell r="D2055">
            <v>10</v>
          </cell>
          <cell r="E2055">
            <v>0</v>
          </cell>
          <cell r="F2055">
            <v>210</v>
          </cell>
        </row>
        <row r="2056">
          <cell r="A2056">
            <v>11044</v>
          </cell>
          <cell r="B2056">
            <v>62</v>
          </cell>
          <cell r="C2056">
            <v>49.3</v>
          </cell>
          <cell r="D2056">
            <v>12</v>
          </cell>
          <cell r="E2056">
            <v>0</v>
          </cell>
          <cell r="F2056">
            <v>591.59999999999991</v>
          </cell>
        </row>
        <row r="2057">
          <cell r="A2057">
            <v>11045</v>
          </cell>
          <cell r="B2057">
            <v>33</v>
          </cell>
          <cell r="C2057">
            <v>2.5</v>
          </cell>
          <cell r="D2057">
            <v>15</v>
          </cell>
          <cell r="E2057">
            <v>0</v>
          </cell>
          <cell r="F2057">
            <v>37.5</v>
          </cell>
        </row>
        <row r="2058">
          <cell r="A2058">
            <v>11045</v>
          </cell>
          <cell r="B2058">
            <v>51</v>
          </cell>
          <cell r="C2058">
            <v>53</v>
          </cell>
          <cell r="D2058">
            <v>24</v>
          </cell>
          <cell r="E2058">
            <v>0</v>
          </cell>
          <cell r="F2058">
            <v>1272</v>
          </cell>
        </row>
        <row r="2059">
          <cell r="A2059">
            <v>11046</v>
          </cell>
          <cell r="B2059">
            <v>12</v>
          </cell>
          <cell r="C2059">
            <v>38</v>
          </cell>
          <cell r="D2059">
            <v>20</v>
          </cell>
          <cell r="E2059">
            <v>5.000000074505806E-2</v>
          </cell>
          <cell r="F2059">
            <v>721.99999943375587</v>
          </cell>
        </row>
        <row r="2060">
          <cell r="A2060">
            <v>11046</v>
          </cell>
          <cell r="B2060">
            <v>32</v>
          </cell>
          <cell r="C2060">
            <v>32</v>
          </cell>
          <cell r="D2060">
            <v>15</v>
          </cell>
          <cell r="E2060">
            <v>5.000000074505806E-2</v>
          </cell>
          <cell r="F2060">
            <v>455.99999964237213</v>
          </cell>
        </row>
        <row r="2061">
          <cell r="A2061">
            <v>11046</v>
          </cell>
          <cell r="B2061">
            <v>35</v>
          </cell>
          <cell r="C2061">
            <v>18</v>
          </cell>
          <cell r="D2061">
            <v>18</v>
          </cell>
          <cell r="E2061">
            <v>5.000000074505806E-2</v>
          </cell>
          <cell r="F2061">
            <v>307.79999975860119</v>
          </cell>
        </row>
        <row r="2062">
          <cell r="A2062">
            <v>11047</v>
          </cell>
          <cell r="B2062">
            <v>1</v>
          </cell>
          <cell r="C2062">
            <v>18</v>
          </cell>
          <cell r="D2062">
            <v>25</v>
          </cell>
          <cell r="E2062">
            <v>0.25</v>
          </cell>
          <cell r="F2062">
            <v>337.5</v>
          </cell>
        </row>
        <row r="2063">
          <cell r="A2063">
            <v>11047</v>
          </cell>
          <cell r="B2063">
            <v>5</v>
          </cell>
          <cell r="C2063">
            <v>21.35</v>
          </cell>
          <cell r="D2063">
            <v>30</v>
          </cell>
          <cell r="E2063">
            <v>0.25</v>
          </cell>
          <cell r="F2063">
            <v>480.375</v>
          </cell>
        </row>
        <row r="2064">
          <cell r="A2064">
            <v>11048</v>
          </cell>
          <cell r="B2064">
            <v>68</v>
          </cell>
          <cell r="C2064">
            <v>12.5</v>
          </cell>
          <cell r="D2064">
            <v>42</v>
          </cell>
          <cell r="E2064">
            <v>0</v>
          </cell>
          <cell r="F2064">
            <v>525</v>
          </cell>
        </row>
        <row r="2065">
          <cell r="A2065">
            <v>11049</v>
          </cell>
          <cell r="B2065">
            <v>2</v>
          </cell>
          <cell r="C2065">
            <v>19</v>
          </cell>
          <cell r="D2065">
            <v>10</v>
          </cell>
          <cell r="E2065">
            <v>0.20000000298023224</v>
          </cell>
          <cell r="F2065">
            <v>151.99999943375587</v>
          </cell>
        </row>
        <row r="2066">
          <cell r="A2066">
            <v>11049</v>
          </cell>
          <cell r="B2066">
            <v>12</v>
          </cell>
          <cell r="C2066">
            <v>38</v>
          </cell>
          <cell r="D2066">
            <v>4</v>
          </cell>
          <cell r="E2066">
            <v>0.20000000298023224</v>
          </cell>
          <cell r="F2066">
            <v>121.5999995470047</v>
          </cell>
        </row>
        <row r="2067">
          <cell r="A2067">
            <v>11050</v>
          </cell>
          <cell r="B2067">
            <v>76</v>
          </cell>
          <cell r="C2067">
            <v>18</v>
          </cell>
          <cell r="D2067">
            <v>50</v>
          </cell>
          <cell r="E2067">
            <v>0.10000000149011612</v>
          </cell>
          <cell r="F2067">
            <v>809.99999865889549</v>
          </cell>
        </row>
        <row r="2068">
          <cell r="A2068">
            <v>11051</v>
          </cell>
          <cell r="B2068">
            <v>24</v>
          </cell>
          <cell r="C2068">
            <v>4.5</v>
          </cell>
          <cell r="D2068">
            <v>10</v>
          </cell>
          <cell r="E2068">
            <v>0.20000000298023224</v>
          </cell>
          <cell r="F2068">
            <v>35.999999865889549</v>
          </cell>
        </row>
        <row r="2069">
          <cell r="A2069">
            <v>11052</v>
          </cell>
          <cell r="B2069">
            <v>43</v>
          </cell>
          <cell r="C2069">
            <v>46</v>
          </cell>
          <cell r="D2069">
            <v>30</v>
          </cell>
          <cell r="E2069">
            <v>0.20000000298023224</v>
          </cell>
          <cell r="F2069">
            <v>1103.9999958872795</v>
          </cell>
        </row>
        <row r="2070">
          <cell r="A2070">
            <v>11052</v>
          </cell>
          <cell r="B2070">
            <v>61</v>
          </cell>
          <cell r="C2070">
            <v>28.5</v>
          </cell>
          <cell r="D2070">
            <v>10</v>
          </cell>
          <cell r="E2070">
            <v>0.20000000298023224</v>
          </cell>
          <cell r="F2070">
            <v>227.99999915063381</v>
          </cell>
        </row>
        <row r="2071">
          <cell r="A2071">
            <v>11053</v>
          </cell>
          <cell r="B2071">
            <v>18</v>
          </cell>
          <cell r="C2071">
            <v>62.5</v>
          </cell>
          <cell r="D2071">
            <v>35</v>
          </cell>
          <cell r="E2071">
            <v>0.20000000298023224</v>
          </cell>
          <cell r="F2071">
            <v>1749.999993480742</v>
          </cell>
        </row>
        <row r="2072">
          <cell r="A2072">
            <v>11053</v>
          </cell>
          <cell r="B2072">
            <v>32</v>
          </cell>
          <cell r="C2072">
            <v>32</v>
          </cell>
          <cell r="D2072">
            <v>20</v>
          </cell>
          <cell r="E2072">
            <v>0</v>
          </cell>
          <cell r="F2072">
            <v>640</v>
          </cell>
        </row>
        <row r="2073">
          <cell r="A2073">
            <v>11053</v>
          </cell>
          <cell r="B2073">
            <v>64</v>
          </cell>
          <cell r="C2073">
            <v>33.25</v>
          </cell>
          <cell r="D2073">
            <v>25</v>
          </cell>
          <cell r="E2073">
            <v>0.20000000298023224</v>
          </cell>
          <cell r="F2073">
            <v>664.99999752268195</v>
          </cell>
        </row>
        <row r="2074">
          <cell r="A2074">
            <v>11054</v>
          </cell>
          <cell r="B2074">
            <v>33</v>
          </cell>
          <cell r="C2074">
            <v>2.5</v>
          </cell>
          <cell r="D2074">
            <v>10</v>
          </cell>
          <cell r="E2074">
            <v>0</v>
          </cell>
          <cell r="F2074">
            <v>25</v>
          </cell>
        </row>
        <row r="2075">
          <cell r="A2075">
            <v>11054</v>
          </cell>
          <cell r="B2075">
            <v>67</v>
          </cell>
          <cell r="C2075">
            <v>14</v>
          </cell>
          <cell r="D2075">
            <v>20</v>
          </cell>
          <cell r="E2075">
            <v>0</v>
          </cell>
          <cell r="F2075">
            <v>280</v>
          </cell>
        </row>
        <row r="2076">
          <cell r="A2076">
            <v>11055</v>
          </cell>
          <cell r="B2076">
            <v>24</v>
          </cell>
          <cell r="C2076">
            <v>4.5</v>
          </cell>
          <cell r="D2076">
            <v>15</v>
          </cell>
          <cell r="E2076">
            <v>0</v>
          </cell>
          <cell r="F2076">
            <v>67.5</v>
          </cell>
        </row>
        <row r="2077">
          <cell r="A2077">
            <v>11055</v>
          </cell>
          <cell r="B2077">
            <v>25</v>
          </cell>
          <cell r="C2077">
            <v>14</v>
          </cell>
          <cell r="D2077">
            <v>15</v>
          </cell>
          <cell r="E2077">
            <v>0</v>
          </cell>
          <cell r="F2077">
            <v>210</v>
          </cell>
        </row>
        <row r="2078">
          <cell r="A2078">
            <v>11055</v>
          </cell>
          <cell r="B2078">
            <v>51</v>
          </cell>
          <cell r="C2078">
            <v>53</v>
          </cell>
          <cell r="D2078">
            <v>20</v>
          </cell>
          <cell r="E2078">
            <v>0</v>
          </cell>
          <cell r="F2078">
            <v>1060</v>
          </cell>
        </row>
        <row r="2079">
          <cell r="A2079">
            <v>11055</v>
          </cell>
          <cell r="B2079">
            <v>57</v>
          </cell>
          <cell r="C2079">
            <v>19.5</v>
          </cell>
          <cell r="D2079">
            <v>20</v>
          </cell>
          <cell r="E2079">
            <v>0</v>
          </cell>
          <cell r="F2079">
            <v>390</v>
          </cell>
        </row>
        <row r="2080">
          <cell r="A2080">
            <v>11056</v>
          </cell>
          <cell r="B2080">
            <v>7</v>
          </cell>
          <cell r="C2080">
            <v>30</v>
          </cell>
          <cell r="D2080">
            <v>40</v>
          </cell>
          <cell r="E2080">
            <v>0</v>
          </cell>
          <cell r="F2080">
            <v>1200</v>
          </cell>
        </row>
        <row r="2081">
          <cell r="A2081">
            <v>11056</v>
          </cell>
          <cell r="B2081">
            <v>55</v>
          </cell>
          <cell r="C2081">
            <v>24</v>
          </cell>
          <cell r="D2081">
            <v>35</v>
          </cell>
          <cell r="E2081">
            <v>0</v>
          </cell>
          <cell r="F2081">
            <v>840</v>
          </cell>
        </row>
        <row r="2082">
          <cell r="A2082">
            <v>11056</v>
          </cell>
          <cell r="B2082">
            <v>60</v>
          </cell>
          <cell r="C2082">
            <v>34</v>
          </cell>
          <cell r="D2082">
            <v>50</v>
          </cell>
          <cell r="E2082">
            <v>0</v>
          </cell>
          <cell r="F2082">
            <v>1700</v>
          </cell>
        </row>
        <row r="2083">
          <cell r="A2083">
            <v>11057</v>
          </cell>
          <cell r="B2083">
            <v>70</v>
          </cell>
          <cell r="C2083">
            <v>15</v>
          </cell>
          <cell r="D2083">
            <v>3</v>
          </cell>
          <cell r="E2083">
            <v>0</v>
          </cell>
          <cell r="F2083">
            <v>45</v>
          </cell>
        </row>
        <row r="2084">
          <cell r="A2084">
            <v>11058</v>
          </cell>
          <cell r="B2084">
            <v>21</v>
          </cell>
          <cell r="C2084">
            <v>10</v>
          </cell>
          <cell r="D2084">
            <v>3</v>
          </cell>
          <cell r="E2084">
            <v>0</v>
          </cell>
          <cell r="F2084">
            <v>30</v>
          </cell>
        </row>
        <row r="2085">
          <cell r="A2085">
            <v>11058</v>
          </cell>
          <cell r="B2085">
            <v>60</v>
          </cell>
          <cell r="C2085">
            <v>34</v>
          </cell>
          <cell r="D2085">
            <v>21</v>
          </cell>
          <cell r="E2085">
            <v>0</v>
          </cell>
          <cell r="F2085">
            <v>714</v>
          </cell>
        </row>
        <row r="2086">
          <cell r="A2086">
            <v>11058</v>
          </cell>
          <cell r="B2086">
            <v>61</v>
          </cell>
          <cell r="C2086">
            <v>28.5</v>
          </cell>
          <cell r="D2086">
            <v>4</v>
          </cell>
          <cell r="E2086">
            <v>0</v>
          </cell>
          <cell r="F2086">
            <v>114</v>
          </cell>
        </row>
        <row r="2087">
          <cell r="A2087">
            <v>11059</v>
          </cell>
          <cell r="B2087">
            <v>13</v>
          </cell>
          <cell r="C2087">
            <v>6</v>
          </cell>
          <cell r="D2087">
            <v>30</v>
          </cell>
          <cell r="E2087">
            <v>0</v>
          </cell>
          <cell r="F2087">
            <v>180</v>
          </cell>
        </row>
        <row r="2088">
          <cell r="A2088">
            <v>11059</v>
          </cell>
          <cell r="B2088">
            <v>17</v>
          </cell>
          <cell r="C2088">
            <v>39</v>
          </cell>
          <cell r="D2088">
            <v>12</v>
          </cell>
          <cell r="E2088">
            <v>0</v>
          </cell>
          <cell r="F2088">
            <v>468</v>
          </cell>
        </row>
        <row r="2089">
          <cell r="A2089">
            <v>11059</v>
          </cell>
          <cell r="B2089">
            <v>60</v>
          </cell>
          <cell r="C2089">
            <v>34</v>
          </cell>
          <cell r="D2089">
            <v>35</v>
          </cell>
          <cell r="E2089">
            <v>0</v>
          </cell>
          <cell r="F2089">
            <v>1190</v>
          </cell>
        </row>
        <row r="2090">
          <cell r="A2090">
            <v>11060</v>
          </cell>
          <cell r="B2090">
            <v>60</v>
          </cell>
          <cell r="C2090">
            <v>34</v>
          </cell>
          <cell r="D2090">
            <v>4</v>
          </cell>
          <cell r="E2090">
            <v>0</v>
          </cell>
          <cell r="F2090">
            <v>136</v>
          </cell>
        </row>
        <row r="2091">
          <cell r="A2091">
            <v>11060</v>
          </cell>
          <cell r="B2091">
            <v>77</v>
          </cell>
          <cell r="C2091">
            <v>13</v>
          </cell>
          <cell r="D2091">
            <v>10</v>
          </cell>
          <cell r="E2091">
            <v>0</v>
          </cell>
          <cell r="F2091">
            <v>130</v>
          </cell>
        </row>
        <row r="2092">
          <cell r="A2092">
            <v>11061</v>
          </cell>
          <cell r="B2092">
            <v>60</v>
          </cell>
          <cell r="C2092">
            <v>34</v>
          </cell>
          <cell r="D2092">
            <v>15</v>
          </cell>
          <cell r="E2092">
            <v>0</v>
          </cell>
          <cell r="F2092">
            <v>510</v>
          </cell>
        </row>
        <row r="2093">
          <cell r="A2093">
            <v>11062</v>
          </cell>
          <cell r="B2093">
            <v>53</v>
          </cell>
          <cell r="C2093">
            <v>32.799999999999997</v>
          </cell>
          <cell r="D2093">
            <v>10</v>
          </cell>
          <cell r="E2093">
            <v>0.20000000298023224</v>
          </cell>
          <cell r="F2093">
            <v>262.39999902248383</v>
          </cell>
        </row>
        <row r="2094">
          <cell r="A2094">
            <v>11062</v>
          </cell>
          <cell r="B2094">
            <v>70</v>
          </cell>
          <cell r="C2094">
            <v>15</v>
          </cell>
          <cell r="D2094">
            <v>12</v>
          </cell>
          <cell r="E2094">
            <v>0.20000000298023224</v>
          </cell>
          <cell r="F2094">
            <v>143.9999994635582</v>
          </cell>
        </row>
        <row r="2095">
          <cell r="A2095">
            <v>11063</v>
          </cell>
          <cell r="B2095">
            <v>34</v>
          </cell>
          <cell r="C2095">
            <v>14</v>
          </cell>
          <cell r="D2095">
            <v>30</v>
          </cell>
          <cell r="E2095">
            <v>0</v>
          </cell>
          <cell r="F2095">
            <v>420</v>
          </cell>
        </row>
        <row r="2096">
          <cell r="A2096">
            <v>11063</v>
          </cell>
          <cell r="B2096">
            <v>40</v>
          </cell>
          <cell r="C2096">
            <v>18.399999999999999</v>
          </cell>
          <cell r="D2096">
            <v>40</v>
          </cell>
          <cell r="E2096">
            <v>0.10000000149011612</v>
          </cell>
          <cell r="F2096">
            <v>662.39999890327454</v>
          </cell>
        </row>
        <row r="2097">
          <cell r="A2097">
            <v>11063</v>
          </cell>
          <cell r="B2097">
            <v>41</v>
          </cell>
          <cell r="C2097">
            <v>9.65</v>
          </cell>
          <cell r="D2097">
            <v>30</v>
          </cell>
          <cell r="E2097">
            <v>0.10000000149011612</v>
          </cell>
          <cell r="F2097">
            <v>260.54999956861138</v>
          </cell>
        </row>
        <row r="2098">
          <cell r="A2098">
            <v>11064</v>
          </cell>
          <cell r="B2098">
            <v>17</v>
          </cell>
          <cell r="C2098">
            <v>39</v>
          </cell>
          <cell r="D2098">
            <v>77</v>
          </cell>
          <cell r="E2098">
            <v>0.10000000149011612</v>
          </cell>
          <cell r="F2098">
            <v>2702.6999955251813</v>
          </cell>
        </row>
        <row r="2099">
          <cell r="A2099">
            <v>11064</v>
          </cell>
          <cell r="B2099">
            <v>41</v>
          </cell>
          <cell r="C2099">
            <v>9.65</v>
          </cell>
          <cell r="D2099">
            <v>12</v>
          </cell>
          <cell r="E2099">
            <v>0</v>
          </cell>
          <cell r="F2099">
            <v>115.80000000000001</v>
          </cell>
        </row>
        <row r="2100">
          <cell r="A2100">
            <v>11064</v>
          </cell>
          <cell r="B2100">
            <v>53</v>
          </cell>
          <cell r="C2100">
            <v>32.799999999999997</v>
          </cell>
          <cell r="D2100">
            <v>25</v>
          </cell>
          <cell r="E2100">
            <v>0.10000000149011612</v>
          </cell>
          <cell r="F2100">
            <v>737.99999877810467</v>
          </cell>
        </row>
        <row r="2101">
          <cell r="A2101">
            <v>11064</v>
          </cell>
          <cell r="B2101">
            <v>55</v>
          </cell>
          <cell r="C2101">
            <v>24</v>
          </cell>
          <cell r="D2101">
            <v>4</v>
          </cell>
          <cell r="E2101">
            <v>0.10000000149011612</v>
          </cell>
          <cell r="F2101">
            <v>86.399999856948853</v>
          </cell>
        </row>
        <row r="2102">
          <cell r="A2102">
            <v>11064</v>
          </cell>
          <cell r="B2102">
            <v>68</v>
          </cell>
          <cell r="C2102">
            <v>12.5</v>
          </cell>
          <cell r="D2102">
            <v>55</v>
          </cell>
          <cell r="E2102">
            <v>0</v>
          </cell>
          <cell r="F2102">
            <v>687.5</v>
          </cell>
        </row>
        <row r="2103">
          <cell r="A2103">
            <v>11065</v>
          </cell>
          <cell r="B2103">
            <v>30</v>
          </cell>
          <cell r="C2103">
            <v>25.89</v>
          </cell>
          <cell r="D2103">
            <v>4</v>
          </cell>
          <cell r="E2103">
            <v>0.25</v>
          </cell>
          <cell r="F2103">
            <v>77.67</v>
          </cell>
        </row>
        <row r="2104">
          <cell r="A2104">
            <v>11065</v>
          </cell>
          <cell r="B2104">
            <v>54</v>
          </cell>
          <cell r="C2104">
            <v>7.45</v>
          </cell>
          <cell r="D2104">
            <v>20</v>
          </cell>
          <cell r="E2104">
            <v>0.25</v>
          </cell>
          <cell r="F2104">
            <v>111.75</v>
          </cell>
        </row>
        <row r="2105">
          <cell r="A2105">
            <v>11066</v>
          </cell>
          <cell r="B2105">
            <v>16</v>
          </cell>
          <cell r="C2105">
            <v>17.45</v>
          </cell>
          <cell r="D2105">
            <v>3</v>
          </cell>
          <cell r="E2105">
            <v>0</v>
          </cell>
          <cell r="F2105">
            <v>52.349999999999994</v>
          </cell>
        </row>
        <row r="2106">
          <cell r="A2106">
            <v>11066</v>
          </cell>
          <cell r="B2106">
            <v>19</v>
          </cell>
          <cell r="C2106">
            <v>9.1999999999999993</v>
          </cell>
          <cell r="D2106">
            <v>42</v>
          </cell>
          <cell r="E2106">
            <v>0</v>
          </cell>
          <cell r="F2106">
            <v>386.4</v>
          </cell>
        </row>
        <row r="2107">
          <cell r="A2107">
            <v>11066</v>
          </cell>
          <cell r="B2107">
            <v>34</v>
          </cell>
          <cell r="C2107">
            <v>14</v>
          </cell>
          <cell r="D2107">
            <v>35</v>
          </cell>
          <cell r="E2107">
            <v>0</v>
          </cell>
          <cell r="F2107">
            <v>490</v>
          </cell>
        </row>
        <row r="2108">
          <cell r="A2108">
            <v>11067</v>
          </cell>
          <cell r="B2108">
            <v>41</v>
          </cell>
          <cell r="C2108">
            <v>9.65</v>
          </cell>
          <cell r="D2108">
            <v>9</v>
          </cell>
          <cell r="E2108">
            <v>0</v>
          </cell>
          <cell r="F2108">
            <v>86.850000000000009</v>
          </cell>
        </row>
        <row r="2109">
          <cell r="A2109">
            <v>11068</v>
          </cell>
          <cell r="B2109">
            <v>28</v>
          </cell>
          <cell r="C2109">
            <v>45.6</v>
          </cell>
          <cell r="D2109">
            <v>8</v>
          </cell>
          <cell r="E2109">
            <v>0.15000000596046448</v>
          </cell>
          <cell r="F2109">
            <v>310.07999782562257</v>
          </cell>
        </row>
        <row r="2110">
          <cell r="A2110">
            <v>11068</v>
          </cell>
          <cell r="B2110">
            <v>43</v>
          </cell>
          <cell r="C2110">
            <v>46</v>
          </cell>
          <cell r="D2110">
            <v>36</v>
          </cell>
          <cell r="E2110">
            <v>0.15000000596046448</v>
          </cell>
          <cell r="F2110">
            <v>1407.5999901294708</v>
          </cell>
        </row>
        <row r="2111">
          <cell r="A2111">
            <v>11068</v>
          </cell>
          <cell r="B2111">
            <v>77</v>
          </cell>
          <cell r="C2111">
            <v>13</v>
          </cell>
          <cell r="D2111">
            <v>28</v>
          </cell>
          <cell r="E2111">
            <v>0.15000000596046448</v>
          </cell>
          <cell r="F2111">
            <v>309.39999783039093</v>
          </cell>
        </row>
        <row r="2112">
          <cell r="A2112">
            <v>11069</v>
          </cell>
          <cell r="B2112">
            <v>39</v>
          </cell>
          <cell r="C2112">
            <v>18</v>
          </cell>
          <cell r="D2112">
            <v>20</v>
          </cell>
          <cell r="E2112">
            <v>0</v>
          </cell>
          <cell r="F2112">
            <v>360</v>
          </cell>
        </row>
        <row r="2113">
          <cell r="A2113">
            <v>11070</v>
          </cell>
          <cell r="B2113">
            <v>1</v>
          </cell>
          <cell r="C2113">
            <v>18</v>
          </cell>
          <cell r="D2113">
            <v>40</v>
          </cell>
          <cell r="E2113">
            <v>0.15000000596046448</v>
          </cell>
          <cell r="F2113">
            <v>611.99999570846558</v>
          </cell>
        </row>
        <row r="2114">
          <cell r="A2114">
            <v>11070</v>
          </cell>
          <cell r="B2114">
            <v>2</v>
          </cell>
          <cell r="C2114">
            <v>19</v>
          </cell>
          <cell r="D2114">
            <v>20</v>
          </cell>
          <cell r="E2114">
            <v>0.15000000596046448</v>
          </cell>
          <cell r="F2114">
            <v>322.9999977350235</v>
          </cell>
        </row>
        <row r="2115">
          <cell r="A2115">
            <v>11070</v>
          </cell>
          <cell r="B2115">
            <v>16</v>
          </cell>
          <cell r="C2115">
            <v>17.45</v>
          </cell>
          <cell r="D2115">
            <v>30</v>
          </cell>
          <cell r="E2115">
            <v>0.15000000596046448</v>
          </cell>
          <cell r="F2115">
            <v>444.97499687969685</v>
          </cell>
        </row>
        <row r="2116">
          <cell r="A2116">
            <v>11070</v>
          </cell>
          <cell r="B2116">
            <v>31</v>
          </cell>
          <cell r="C2116">
            <v>12.5</v>
          </cell>
          <cell r="D2116">
            <v>20</v>
          </cell>
          <cell r="E2116">
            <v>0</v>
          </cell>
          <cell r="F2116">
            <v>250</v>
          </cell>
        </row>
        <row r="2117">
          <cell r="A2117">
            <v>11071</v>
          </cell>
          <cell r="B2117">
            <v>7</v>
          </cell>
          <cell r="C2117">
            <v>30</v>
          </cell>
          <cell r="D2117">
            <v>15</v>
          </cell>
          <cell r="E2117">
            <v>5.000000074505806E-2</v>
          </cell>
          <cell r="F2117">
            <v>427.49999966472387</v>
          </cell>
        </row>
        <row r="2118">
          <cell r="A2118">
            <v>11071</v>
          </cell>
          <cell r="B2118">
            <v>13</v>
          </cell>
          <cell r="C2118">
            <v>6</v>
          </cell>
          <cell r="D2118">
            <v>10</v>
          </cell>
          <cell r="E2118">
            <v>5.000000074505806E-2</v>
          </cell>
          <cell r="F2118">
            <v>56.999999955296516</v>
          </cell>
        </row>
        <row r="2119">
          <cell r="A2119">
            <v>11072</v>
          </cell>
          <cell r="B2119">
            <v>2</v>
          </cell>
          <cell r="C2119">
            <v>19</v>
          </cell>
          <cell r="D2119">
            <v>8</v>
          </cell>
          <cell r="E2119">
            <v>0</v>
          </cell>
          <cell r="F2119">
            <v>152</v>
          </cell>
        </row>
        <row r="2120">
          <cell r="A2120">
            <v>11072</v>
          </cell>
          <cell r="B2120">
            <v>41</v>
          </cell>
          <cell r="C2120">
            <v>9.65</v>
          </cell>
          <cell r="D2120">
            <v>40</v>
          </cell>
          <cell r="E2120">
            <v>0</v>
          </cell>
          <cell r="F2120">
            <v>386</v>
          </cell>
        </row>
        <row r="2121">
          <cell r="A2121">
            <v>11072</v>
          </cell>
          <cell r="B2121">
            <v>50</v>
          </cell>
          <cell r="C2121">
            <v>16.25</v>
          </cell>
          <cell r="D2121">
            <v>22</v>
          </cell>
          <cell r="E2121">
            <v>0</v>
          </cell>
          <cell r="F2121">
            <v>357.5</v>
          </cell>
        </row>
        <row r="2122">
          <cell r="A2122">
            <v>11072</v>
          </cell>
          <cell r="B2122">
            <v>64</v>
          </cell>
          <cell r="C2122">
            <v>33.25</v>
          </cell>
          <cell r="D2122">
            <v>130</v>
          </cell>
          <cell r="E2122">
            <v>0</v>
          </cell>
          <cell r="F2122">
            <v>4322.5</v>
          </cell>
        </row>
        <row r="2123">
          <cell r="A2123">
            <v>11073</v>
          </cell>
          <cell r="B2123">
            <v>11</v>
          </cell>
          <cell r="C2123">
            <v>21</v>
          </cell>
          <cell r="D2123">
            <v>10</v>
          </cell>
          <cell r="E2123">
            <v>0</v>
          </cell>
          <cell r="F2123">
            <v>210</v>
          </cell>
        </row>
        <row r="2124">
          <cell r="A2124">
            <v>11073</v>
          </cell>
          <cell r="B2124">
            <v>24</v>
          </cell>
          <cell r="C2124">
            <v>4.5</v>
          </cell>
          <cell r="D2124">
            <v>20</v>
          </cell>
          <cell r="E2124">
            <v>0</v>
          </cell>
          <cell r="F2124">
            <v>90</v>
          </cell>
        </row>
        <row r="2125">
          <cell r="A2125">
            <v>11074</v>
          </cell>
          <cell r="B2125">
            <v>16</v>
          </cell>
          <cell r="C2125">
            <v>17.45</v>
          </cell>
          <cell r="D2125">
            <v>14</v>
          </cell>
          <cell r="E2125">
            <v>5.000000074505806E-2</v>
          </cell>
          <cell r="F2125">
            <v>232.08499981798229</v>
          </cell>
        </row>
        <row r="2126">
          <cell r="A2126">
            <v>11075</v>
          </cell>
          <cell r="B2126">
            <v>2</v>
          </cell>
          <cell r="C2126">
            <v>19</v>
          </cell>
          <cell r="D2126">
            <v>10</v>
          </cell>
          <cell r="E2126">
            <v>0.15000000596046448</v>
          </cell>
          <cell r="F2126">
            <v>161.49999886751175</v>
          </cell>
        </row>
        <row r="2127">
          <cell r="A2127">
            <v>11075</v>
          </cell>
          <cell r="B2127">
            <v>46</v>
          </cell>
          <cell r="C2127">
            <v>12</v>
          </cell>
          <cell r="D2127">
            <v>30</v>
          </cell>
          <cell r="E2127">
            <v>0.15000000596046448</v>
          </cell>
          <cell r="F2127">
            <v>305.99999785423279</v>
          </cell>
        </row>
        <row r="2128">
          <cell r="A2128">
            <v>11075</v>
          </cell>
          <cell r="B2128">
            <v>76</v>
          </cell>
          <cell r="C2128">
            <v>18</v>
          </cell>
          <cell r="D2128">
            <v>2</v>
          </cell>
          <cell r="E2128">
            <v>0.15000000596046448</v>
          </cell>
          <cell r="F2128">
            <v>30.599999785423279</v>
          </cell>
        </row>
        <row r="2129">
          <cell r="A2129">
            <v>11076</v>
          </cell>
          <cell r="B2129">
            <v>6</v>
          </cell>
          <cell r="C2129">
            <v>25</v>
          </cell>
          <cell r="D2129">
            <v>20</v>
          </cell>
          <cell r="E2129">
            <v>0.25</v>
          </cell>
          <cell r="F2129">
            <v>375</v>
          </cell>
        </row>
        <row r="2130">
          <cell r="A2130">
            <v>11076</v>
          </cell>
          <cell r="B2130">
            <v>14</v>
          </cell>
          <cell r="C2130">
            <v>23.25</v>
          </cell>
          <cell r="D2130">
            <v>20</v>
          </cell>
          <cell r="E2130">
            <v>0.25</v>
          </cell>
          <cell r="F2130">
            <v>348.75</v>
          </cell>
        </row>
        <row r="2131">
          <cell r="A2131">
            <v>11076</v>
          </cell>
          <cell r="B2131">
            <v>19</v>
          </cell>
          <cell r="C2131">
            <v>9.1999999999999993</v>
          </cell>
          <cell r="D2131">
            <v>10</v>
          </cell>
          <cell r="E2131">
            <v>0.25</v>
          </cell>
          <cell r="F2131">
            <v>69</v>
          </cell>
        </row>
        <row r="2132">
          <cell r="A2132">
            <v>11077</v>
          </cell>
          <cell r="B2132">
            <v>2</v>
          </cell>
          <cell r="C2132">
            <v>19</v>
          </cell>
          <cell r="D2132">
            <v>24</v>
          </cell>
          <cell r="E2132">
            <v>0.20000000298023224</v>
          </cell>
          <cell r="F2132">
            <v>364.7999986410141</v>
          </cell>
        </row>
        <row r="2133">
          <cell r="A2133">
            <v>11077</v>
          </cell>
          <cell r="B2133">
            <v>3</v>
          </cell>
          <cell r="C2133">
            <v>10</v>
          </cell>
          <cell r="D2133">
            <v>4</v>
          </cell>
          <cell r="E2133">
            <v>0</v>
          </cell>
          <cell r="F2133">
            <v>40</v>
          </cell>
        </row>
        <row r="2134">
          <cell r="A2134">
            <v>11077</v>
          </cell>
          <cell r="B2134">
            <v>4</v>
          </cell>
          <cell r="C2134">
            <v>22</v>
          </cell>
          <cell r="D2134">
            <v>1</v>
          </cell>
          <cell r="E2134">
            <v>0</v>
          </cell>
          <cell r="F2134">
            <v>22</v>
          </cell>
        </row>
        <row r="2135">
          <cell r="A2135">
            <v>11077</v>
          </cell>
          <cell r="B2135">
            <v>6</v>
          </cell>
          <cell r="C2135">
            <v>25</v>
          </cell>
          <cell r="D2135">
            <v>1</v>
          </cell>
          <cell r="E2135">
            <v>1.9999999552965164E-2</v>
          </cell>
          <cell r="F2135">
            <v>24.500000011175871</v>
          </cell>
        </row>
        <row r="2136">
          <cell r="A2136">
            <v>11077</v>
          </cell>
          <cell r="B2136">
            <v>7</v>
          </cell>
          <cell r="C2136">
            <v>30</v>
          </cell>
          <cell r="D2136">
            <v>1</v>
          </cell>
          <cell r="E2136">
            <v>5.000000074505806E-2</v>
          </cell>
          <cell r="F2136">
            <v>28.499999977648258</v>
          </cell>
        </row>
        <row r="2137">
          <cell r="A2137">
            <v>11077</v>
          </cell>
          <cell r="B2137">
            <v>8</v>
          </cell>
          <cell r="C2137">
            <v>40</v>
          </cell>
          <cell r="D2137">
            <v>2</v>
          </cell>
          <cell r="E2137">
            <v>0.10000000149011612</v>
          </cell>
          <cell r="F2137">
            <v>71.99999988079071</v>
          </cell>
        </row>
        <row r="2138">
          <cell r="A2138">
            <v>11077</v>
          </cell>
          <cell r="B2138">
            <v>10</v>
          </cell>
          <cell r="C2138">
            <v>31</v>
          </cell>
          <cell r="D2138">
            <v>1</v>
          </cell>
          <cell r="E2138">
            <v>0</v>
          </cell>
          <cell r="F2138">
            <v>31</v>
          </cell>
        </row>
        <row r="2139">
          <cell r="A2139">
            <v>11077</v>
          </cell>
          <cell r="B2139">
            <v>12</v>
          </cell>
          <cell r="C2139">
            <v>38</v>
          </cell>
          <cell r="D2139">
            <v>2</v>
          </cell>
          <cell r="E2139">
            <v>5.000000074505806E-2</v>
          </cell>
          <cell r="F2139">
            <v>72.199999943375587</v>
          </cell>
        </row>
        <row r="2140">
          <cell r="A2140">
            <v>11077</v>
          </cell>
          <cell r="B2140">
            <v>13</v>
          </cell>
          <cell r="C2140">
            <v>6</v>
          </cell>
          <cell r="D2140">
            <v>4</v>
          </cell>
          <cell r="E2140">
            <v>0</v>
          </cell>
          <cell r="F2140">
            <v>24</v>
          </cell>
        </row>
        <row r="2141">
          <cell r="A2141">
            <v>11077</v>
          </cell>
          <cell r="B2141">
            <v>14</v>
          </cell>
          <cell r="C2141">
            <v>23.25</v>
          </cell>
          <cell r="D2141">
            <v>1</v>
          </cell>
          <cell r="E2141">
            <v>2.9999999329447746E-2</v>
          </cell>
          <cell r="F2141">
            <v>22.55250001559034</v>
          </cell>
        </row>
        <row r="2142">
          <cell r="A2142">
            <v>11077</v>
          </cell>
          <cell r="B2142">
            <v>16</v>
          </cell>
          <cell r="C2142">
            <v>17.45</v>
          </cell>
          <cell r="D2142">
            <v>2</v>
          </cell>
          <cell r="E2142">
            <v>2.9999999329447746E-2</v>
          </cell>
          <cell r="F2142">
            <v>33.853000023402274</v>
          </cell>
        </row>
        <row r="2143">
          <cell r="A2143">
            <v>11077</v>
          </cell>
          <cell r="B2143">
            <v>20</v>
          </cell>
          <cell r="C2143">
            <v>81</v>
          </cell>
          <cell r="D2143">
            <v>1</v>
          </cell>
          <cell r="E2143">
            <v>3.9999999105930328E-2</v>
          </cell>
          <cell r="F2143">
            <v>77.760000072419643</v>
          </cell>
        </row>
        <row r="2144">
          <cell r="A2144">
            <v>11077</v>
          </cell>
          <cell r="B2144">
            <v>23</v>
          </cell>
          <cell r="C2144">
            <v>9</v>
          </cell>
          <cell r="D2144">
            <v>2</v>
          </cell>
          <cell r="E2144">
            <v>0</v>
          </cell>
          <cell r="F2144">
            <v>18</v>
          </cell>
        </row>
        <row r="2145">
          <cell r="A2145">
            <v>11077</v>
          </cell>
          <cell r="B2145">
            <v>32</v>
          </cell>
          <cell r="C2145">
            <v>32</v>
          </cell>
          <cell r="D2145">
            <v>1</v>
          </cell>
          <cell r="E2145">
            <v>0</v>
          </cell>
          <cell r="F2145">
            <v>32</v>
          </cell>
        </row>
        <row r="2146">
          <cell r="A2146">
            <v>11077</v>
          </cell>
          <cell r="B2146">
            <v>39</v>
          </cell>
          <cell r="C2146">
            <v>18</v>
          </cell>
          <cell r="D2146">
            <v>2</v>
          </cell>
          <cell r="E2146">
            <v>5.000000074505806E-2</v>
          </cell>
          <cell r="F2146">
            <v>34.19999997317791</v>
          </cell>
        </row>
        <row r="2147">
          <cell r="A2147">
            <v>11077</v>
          </cell>
          <cell r="B2147">
            <v>41</v>
          </cell>
          <cell r="C2147">
            <v>9.65</v>
          </cell>
          <cell r="D2147">
            <v>3</v>
          </cell>
          <cell r="E2147">
            <v>0</v>
          </cell>
          <cell r="F2147">
            <v>28.950000000000003</v>
          </cell>
        </row>
        <row r="2148">
          <cell r="A2148">
            <v>11077</v>
          </cell>
          <cell r="B2148">
            <v>46</v>
          </cell>
          <cell r="C2148">
            <v>12</v>
          </cell>
          <cell r="D2148">
            <v>3</v>
          </cell>
          <cell r="E2148">
            <v>1.9999999552965164E-2</v>
          </cell>
          <cell r="F2148">
            <v>35.280000016093254</v>
          </cell>
        </row>
        <row r="2149">
          <cell r="A2149">
            <v>11077</v>
          </cell>
          <cell r="B2149">
            <v>52</v>
          </cell>
          <cell r="C2149">
            <v>7</v>
          </cell>
          <cell r="D2149">
            <v>2</v>
          </cell>
          <cell r="E2149">
            <v>0</v>
          </cell>
          <cell r="F2149">
            <v>14</v>
          </cell>
        </row>
        <row r="2150">
          <cell r="A2150">
            <v>11077</v>
          </cell>
          <cell r="B2150">
            <v>55</v>
          </cell>
          <cell r="C2150">
            <v>24</v>
          </cell>
          <cell r="D2150">
            <v>2</v>
          </cell>
          <cell r="E2150">
            <v>0</v>
          </cell>
          <cell r="F2150">
            <v>48</v>
          </cell>
        </row>
        <row r="2151">
          <cell r="A2151">
            <v>11077</v>
          </cell>
          <cell r="B2151">
            <v>60</v>
          </cell>
          <cell r="C2151">
            <v>34</v>
          </cell>
          <cell r="D2151">
            <v>2</v>
          </cell>
          <cell r="E2151">
            <v>5.9999998658895493E-2</v>
          </cell>
          <cell r="F2151">
            <v>63.920000091195107</v>
          </cell>
        </row>
        <row r="2152">
          <cell r="A2152">
            <v>11077</v>
          </cell>
          <cell r="B2152">
            <v>64</v>
          </cell>
          <cell r="C2152">
            <v>33.25</v>
          </cell>
          <cell r="D2152">
            <v>2</v>
          </cell>
          <cell r="E2152">
            <v>2.9999999329447746E-2</v>
          </cell>
          <cell r="F2152">
            <v>64.505000044591725</v>
          </cell>
        </row>
        <row r="2153">
          <cell r="A2153">
            <v>11077</v>
          </cell>
          <cell r="B2153">
            <v>66</v>
          </cell>
          <cell r="C2153">
            <v>17</v>
          </cell>
          <cell r="D2153">
            <v>1</v>
          </cell>
          <cell r="E2153">
            <v>0</v>
          </cell>
          <cell r="F2153">
            <v>17</v>
          </cell>
        </row>
        <row r="2154">
          <cell r="A2154">
            <v>11077</v>
          </cell>
          <cell r="B2154">
            <v>73</v>
          </cell>
          <cell r="C2154">
            <v>15</v>
          </cell>
          <cell r="D2154">
            <v>2</v>
          </cell>
          <cell r="E2154">
            <v>9.9999997764825821E-3</v>
          </cell>
          <cell r="F2154">
            <v>29.700000006705523</v>
          </cell>
        </row>
        <row r="2155">
          <cell r="A2155">
            <v>11077</v>
          </cell>
          <cell r="B2155">
            <v>75</v>
          </cell>
          <cell r="C2155">
            <v>7.75</v>
          </cell>
          <cell r="D2155">
            <v>4</v>
          </cell>
          <cell r="E2155">
            <v>0</v>
          </cell>
          <cell r="F2155">
            <v>31</v>
          </cell>
        </row>
        <row r="2156">
          <cell r="A2156">
            <v>11077</v>
          </cell>
          <cell r="B2156">
            <v>77</v>
          </cell>
          <cell r="C2156">
            <v>13</v>
          </cell>
          <cell r="D2156">
            <v>2</v>
          </cell>
          <cell r="E2156">
            <v>0</v>
          </cell>
          <cell r="F2156">
            <v>26</v>
          </cell>
        </row>
      </sheetData>
      <sheetData sheetId="6">
        <row r="1">
          <cell r="A1" t="str">
            <v>ProductID</v>
          </cell>
          <cell r="B1" t="str">
            <v>ProductName</v>
          </cell>
          <cell r="C1" t="str">
            <v>SupplierID</v>
          </cell>
          <cell r="D1" t="str">
            <v>CategoryID</v>
          </cell>
          <cell r="E1" t="str">
            <v>QuantityPerUnit</v>
          </cell>
          <cell r="F1" t="str">
            <v>UnitPrice</v>
          </cell>
          <cell r="G1" t="str">
            <v>UnitsInStock</v>
          </cell>
          <cell r="H1" t="str">
            <v>UnitsOnOrder</v>
          </cell>
          <cell r="I1" t="str">
            <v>ReorderLevel</v>
          </cell>
          <cell r="J1" t="str">
            <v>Discontinued</v>
          </cell>
        </row>
        <row r="2">
          <cell r="A2">
            <v>1</v>
          </cell>
          <cell r="B2" t="str">
            <v>Chai</v>
          </cell>
          <cell r="C2">
            <v>1</v>
          </cell>
          <cell r="D2">
            <v>1</v>
          </cell>
          <cell r="E2" t="str">
            <v>10 boxes x 20 bags</v>
          </cell>
          <cell r="F2">
            <v>18</v>
          </cell>
          <cell r="G2">
            <v>39</v>
          </cell>
          <cell r="H2">
            <v>0</v>
          </cell>
          <cell r="I2">
            <v>10</v>
          </cell>
          <cell r="J2">
            <v>0</v>
          </cell>
        </row>
        <row r="3">
          <cell r="A3">
            <v>2</v>
          </cell>
          <cell r="B3" t="str">
            <v>Chang</v>
          </cell>
          <cell r="C3">
            <v>1</v>
          </cell>
          <cell r="D3">
            <v>1</v>
          </cell>
          <cell r="E3" t="str">
            <v>24 - 12 oz bottles</v>
          </cell>
          <cell r="F3">
            <v>19</v>
          </cell>
          <cell r="G3">
            <v>17</v>
          </cell>
          <cell r="H3">
            <v>40</v>
          </cell>
          <cell r="I3">
            <v>25</v>
          </cell>
          <cell r="J3">
            <v>0</v>
          </cell>
        </row>
        <row r="4">
          <cell r="A4">
            <v>3</v>
          </cell>
          <cell r="B4" t="str">
            <v>Aniseed Syrup</v>
          </cell>
          <cell r="C4">
            <v>1</v>
          </cell>
          <cell r="D4">
            <v>2</v>
          </cell>
          <cell r="E4" t="str">
            <v>12 - 550 ml bottles</v>
          </cell>
          <cell r="F4">
            <v>10</v>
          </cell>
          <cell r="G4">
            <v>13</v>
          </cell>
          <cell r="H4">
            <v>70</v>
          </cell>
          <cell r="I4">
            <v>25</v>
          </cell>
          <cell r="J4">
            <v>0</v>
          </cell>
        </row>
        <row r="5">
          <cell r="A5">
            <v>4</v>
          </cell>
          <cell r="B5" t="str">
            <v>Chef Anton's Cajun Seasoning</v>
          </cell>
          <cell r="C5">
            <v>2</v>
          </cell>
          <cell r="D5">
            <v>2</v>
          </cell>
          <cell r="E5" t="str">
            <v>48 - 6 oz jars</v>
          </cell>
          <cell r="F5">
            <v>22</v>
          </cell>
          <cell r="G5">
            <v>53</v>
          </cell>
          <cell r="H5">
            <v>0</v>
          </cell>
          <cell r="I5">
            <v>0</v>
          </cell>
          <cell r="J5">
            <v>0</v>
          </cell>
        </row>
        <row r="6">
          <cell r="A6">
            <v>5</v>
          </cell>
          <cell r="B6" t="str">
            <v>Chef Anton's Gumbo Mix</v>
          </cell>
          <cell r="C6">
            <v>2</v>
          </cell>
          <cell r="D6">
            <v>2</v>
          </cell>
          <cell r="E6" t="str">
            <v>36 boxes</v>
          </cell>
          <cell r="F6">
            <v>21.35</v>
          </cell>
          <cell r="G6">
            <v>0</v>
          </cell>
          <cell r="H6">
            <v>0</v>
          </cell>
          <cell r="I6">
            <v>0</v>
          </cell>
          <cell r="J6">
            <v>-1</v>
          </cell>
        </row>
        <row r="7">
          <cell r="A7">
            <v>6</v>
          </cell>
          <cell r="B7" t="str">
            <v>Grandma's Boysenberry Spread</v>
          </cell>
          <cell r="C7">
            <v>3</v>
          </cell>
          <cell r="D7">
            <v>2</v>
          </cell>
          <cell r="E7" t="str">
            <v>12 - 8 oz jars</v>
          </cell>
          <cell r="F7">
            <v>25</v>
          </cell>
          <cell r="G7">
            <v>120</v>
          </cell>
          <cell r="H7">
            <v>0</v>
          </cell>
          <cell r="I7">
            <v>25</v>
          </cell>
          <cell r="J7">
            <v>0</v>
          </cell>
        </row>
        <row r="8">
          <cell r="A8">
            <v>7</v>
          </cell>
          <cell r="B8" t="str">
            <v>Uncle Bob's Organic Dried Pears</v>
          </cell>
          <cell r="C8">
            <v>3</v>
          </cell>
          <cell r="D8">
            <v>7</v>
          </cell>
          <cell r="E8" t="str">
            <v>12 - 1 lb pkgs.</v>
          </cell>
          <cell r="F8">
            <v>30</v>
          </cell>
          <cell r="G8">
            <v>15</v>
          </cell>
          <cell r="H8">
            <v>0</v>
          </cell>
          <cell r="I8">
            <v>10</v>
          </cell>
          <cell r="J8">
            <v>0</v>
          </cell>
        </row>
        <row r="9">
          <cell r="A9">
            <v>8</v>
          </cell>
          <cell r="B9" t="str">
            <v>Northwoods Cranberry Sauce</v>
          </cell>
          <cell r="C9">
            <v>3</v>
          </cell>
          <cell r="D9">
            <v>2</v>
          </cell>
          <cell r="E9" t="str">
            <v>12 - 12 oz jars</v>
          </cell>
          <cell r="F9">
            <v>40</v>
          </cell>
          <cell r="G9">
            <v>6</v>
          </cell>
          <cell r="H9">
            <v>0</v>
          </cell>
          <cell r="I9">
            <v>0</v>
          </cell>
          <cell r="J9">
            <v>0</v>
          </cell>
        </row>
        <row r="10">
          <cell r="A10">
            <v>9</v>
          </cell>
          <cell r="B10" t="str">
            <v>Mishi Kobe Niku</v>
          </cell>
          <cell r="C10">
            <v>4</v>
          </cell>
          <cell r="D10">
            <v>6</v>
          </cell>
          <cell r="E10" t="str">
            <v>18 - 500 g pkgs.</v>
          </cell>
          <cell r="F10">
            <v>97</v>
          </cell>
          <cell r="G10">
            <v>29</v>
          </cell>
          <cell r="H10">
            <v>0</v>
          </cell>
          <cell r="I10">
            <v>0</v>
          </cell>
          <cell r="J10">
            <v>-1</v>
          </cell>
        </row>
        <row r="11">
          <cell r="A11">
            <v>10</v>
          </cell>
          <cell r="B11" t="str">
            <v>Ikura</v>
          </cell>
          <cell r="C11">
            <v>4</v>
          </cell>
          <cell r="D11">
            <v>8</v>
          </cell>
          <cell r="E11" t="str">
            <v>12 - 200 ml jars</v>
          </cell>
          <cell r="F11">
            <v>31</v>
          </cell>
          <cell r="G11">
            <v>31</v>
          </cell>
          <cell r="H11">
            <v>0</v>
          </cell>
          <cell r="I11">
            <v>0</v>
          </cell>
          <cell r="J11">
            <v>0</v>
          </cell>
        </row>
        <row r="12">
          <cell r="A12">
            <v>11</v>
          </cell>
          <cell r="B12" t="str">
            <v>Queso Cabrales</v>
          </cell>
          <cell r="C12">
            <v>5</v>
          </cell>
          <cell r="D12">
            <v>4</v>
          </cell>
          <cell r="E12" t="str">
            <v>1 kg pkg.</v>
          </cell>
          <cell r="F12">
            <v>21</v>
          </cell>
          <cell r="G12">
            <v>22</v>
          </cell>
          <cell r="H12">
            <v>30</v>
          </cell>
          <cell r="I12">
            <v>30</v>
          </cell>
          <cell r="J12">
            <v>0</v>
          </cell>
        </row>
        <row r="13">
          <cell r="A13">
            <v>12</v>
          </cell>
          <cell r="B13" t="str">
            <v>Queso Manchego La Pastora</v>
          </cell>
          <cell r="C13">
            <v>5</v>
          </cell>
          <cell r="D13">
            <v>4</v>
          </cell>
          <cell r="E13" t="str">
            <v>10 - 500 g pkgs.</v>
          </cell>
          <cell r="F13">
            <v>38</v>
          </cell>
          <cell r="G13">
            <v>86</v>
          </cell>
          <cell r="H13">
            <v>0</v>
          </cell>
          <cell r="I13">
            <v>0</v>
          </cell>
          <cell r="J13">
            <v>0</v>
          </cell>
        </row>
        <row r="14">
          <cell r="A14">
            <v>13</v>
          </cell>
          <cell r="B14" t="str">
            <v>Konbu</v>
          </cell>
          <cell r="C14">
            <v>6</v>
          </cell>
          <cell r="D14">
            <v>8</v>
          </cell>
          <cell r="E14" t="str">
            <v>2 kg box</v>
          </cell>
          <cell r="F14">
            <v>6</v>
          </cell>
          <cell r="G14">
            <v>24</v>
          </cell>
          <cell r="H14">
            <v>0</v>
          </cell>
          <cell r="I14">
            <v>5</v>
          </cell>
          <cell r="J14">
            <v>0</v>
          </cell>
        </row>
        <row r="15">
          <cell r="A15">
            <v>14</v>
          </cell>
          <cell r="B15" t="str">
            <v>Tofu</v>
          </cell>
          <cell r="C15">
            <v>6</v>
          </cell>
          <cell r="D15">
            <v>7</v>
          </cell>
          <cell r="E15" t="str">
            <v>40 - 100 g pkgs.</v>
          </cell>
          <cell r="F15">
            <v>23.25</v>
          </cell>
          <cell r="G15">
            <v>35</v>
          </cell>
          <cell r="H15">
            <v>0</v>
          </cell>
          <cell r="I15">
            <v>0</v>
          </cell>
          <cell r="J15">
            <v>0</v>
          </cell>
        </row>
        <row r="16">
          <cell r="A16">
            <v>15</v>
          </cell>
          <cell r="B16" t="str">
            <v>Genen Shouyu</v>
          </cell>
          <cell r="C16">
            <v>6</v>
          </cell>
          <cell r="D16">
            <v>2</v>
          </cell>
          <cell r="E16" t="str">
            <v>24 - 250 ml bottles</v>
          </cell>
          <cell r="F16">
            <v>15.5</v>
          </cell>
          <cell r="G16">
            <v>39</v>
          </cell>
          <cell r="H16">
            <v>0</v>
          </cell>
          <cell r="I16">
            <v>5</v>
          </cell>
          <cell r="J16">
            <v>0</v>
          </cell>
        </row>
        <row r="17">
          <cell r="A17">
            <v>16</v>
          </cell>
          <cell r="B17" t="str">
            <v>Pavlova</v>
          </cell>
          <cell r="C17">
            <v>7</v>
          </cell>
          <cell r="D17">
            <v>3</v>
          </cell>
          <cell r="E17" t="str">
            <v>32 - 500 g boxes</v>
          </cell>
          <cell r="F17">
            <v>17.45</v>
          </cell>
          <cell r="G17">
            <v>29</v>
          </cell>
          <cell r="H17">
            <v>0</v>
          </cell>
          <cell r="I17">
            <v>10</v>
          </cell>
          <cell r="J17">
            <v>0</v>
          </cell>
        </row>
        <row r="18">
          <cell r="A18">
            <v>17</v>
          </cell>
          <cell r="B18" t="str">
            <v>Alice Mutton</v>
          </cell>
          <cell r="C18">
            <v>7</v>
          </cell>
          <cell r="D18">
            <v>6</v>
          </cell>
          <cell r="E18" t="str">
            <v>20 - 1 kg tins</v>
          </cell>
          <cell r="F18">
            <v>39</v>
          </cell>
          <cell r="G18">
            <v>0</v>
          </cell>
          <cell r="H18">
            <v>0</v>
          </cell>
          <cell r="I18">
            <v>0</v>
          </cell>
          <cell r="J18">
            <v>-1</v>
          </cell>
        </row>
        <row r="19">
          <cell r="A19">
            <v>18</v>
          </cell>
          <cell r="B19" t="str">
            <v>Carnarvon Tigers</v>
          </cell>
          <cell r="C19">
            <v>7</v>
          </cell>
          <cell r="D19">
            <v>8</v>
          </cell>
          <cell r="E19" t="str">
            <v>16 kg pkg.</v>
          </cell>
          <cell r="F19">
            <v>62.5</v>
          </cell>
          <cell r="G19">
            <v>42</v>
          </cell>
          <cell r="H19">
            <v>0</v>
          </cell>
          <cell r="I19">
            <v>0</v>
          </cell>
          <cell r="J19">
            <v>0</v>
          </cell>
        </row>
        <row r="20">
          <cell r="A20">
            <v>19</v>
          </cell>
          <cell r="B20" t="str">
            <v>Teatime Chocolate Biscuits</v>
          </cell>
          <cell r="C20">
            <v>8</v>
          </cell>
          <cell r="D20">
            <v>3</v>
          </cell>
          <cell r="E20" t="str">
            <v>10 boxes x 12 pieces</v>
          </cell>
          <cell r="F20">
            <v>9.1999999999999993</v>
          </cell>
          <cell r="G20">
            <v>25</v>
          </cell>
          <cell r="H20">
            <v>0</v>
          </cell>
          <cell r="I20">
            <v>5</v>
          </cell>
          <cell r="J20">
            <v>0</v>
          </cell>
        </row>
        <row r="21">
          <cell r="A21">
            <v>20</v>
          </cell>
          <cell r="B21" t="str">
            <v>Sir Rodney's Marmalade</v>
          </cell>
          <cell r="C21">
            <v>8</v>
          </cell>
          <cell r="D21">
            <v>3</v>
          </cell>
          <cell r="E21" t="str">
            <v>30 gift boxes</v>
          </cell>
          <cell r="F21">
            <v>81</v>
          </cell>
          <cell r="G21">
            <v>40</v>
          </cell>
          <cell r="H21">
            <v>0</v>
          </cell>
          <cell r="I21">
            <v>0</v>
          </cell>
          <cell r="J21">
            <v>0</v>
          </cell>
        </row>
        <row r="22">
          <cell r="A22">
            <v>21</v>
          </cell>
          <cell r="B22" t="str">
            <v>Sir Rodney's Scones</v>
          </cell>
          <cell r="C22">
            <v>8</v>
          </cell>
          <cell r="D22">
            <v>3</v>
          </cell>
          <cell r="E22" t="str">
            <v>24 pkgs. x 4 pieces</v>
          </cell>
          <cell r="F22">
            <v>10</v>
          </cell>
          <cell r="G22">
            <v>3</v>
          </cell>
          <cell r="H22">
            <v>40</v>
          </cell>
          <cell r="I22">
            <v>5</v>
          </cell>
          <cell r="J22">
            <v>0</v>
          </cell>
        </row>
        <row r="23">
          <cell r="A23">
            <v>22</v>
          </cell>
          <cell r="B23" t="str">
            <v>Gustaf's Knäckebröd</v>
          </cell>
          <cell r="C23">
            <v>9</v>
          </cell>
          <cell r="D23">
            <v>5</v>
          </cell>
          <cell r="E23" t="str">
            <v>24 - 500 g pkgs.</v>
          </cell>
          <cell r="F23">
            <v>21</v>
          </cell>
          <cell r="G23">
            <v>104</v>
          </cell>
          <cell r="H23">
            <v>0</v>
          </cell>
          <cell r="I23">
            <v>25</v>
          </cell>
          <cell r="J23">
            <v>0</v>
          </cell>
        </row>
        <row r="24">
          <cell r="A24">
            <v>23</v>
          </cell>
          <cell r="B24" t="str">
            <v>Tunnbröd</v>
          </cell>
          <cell r="C24">
            <v>9</v>
          </cell>
          <cell r="D24">
            <v>5</v>
          </cell>
          <cell r="E24" t="str">
            <v>12 - 250 g pkgs.</v>
          </cell>
          <cell r="F24">
            <v>9</v>
          </cell>
          <cell r="G24">
            <v>61</v>
          </cell>
          <cell r="H24">
            <v>0</v>
          </cell>
          <cell r="I24">
            <v>25</v>
          </cell>
          <cell r="J24">
            <v>0</v>
          </cell>
        </row>
        <row r="25">
          <cell r="A25">
            <v>24</v>
          </cell>
          <cell r="B25" t="str">
            <v>Guaraná Fantástica</v>
          </cell>
          <cell r="C25">
            <v>10</v>
          </cell>
          <cell r="D25">
            <v>1</v>
          </cell>
          <cell r="E25" t="str">
            <v>12 - 355 ml cans</v>
          </cell>
          <cell r="F25">
            <v>4.5</v>
          </cell>
          <cell r="G25">
            <v>20</v>
          </cell>
          <cell r="H25">
            <v>0</v>
          </cell>
          <cell r="I25">
            <v>0</v>
          </cell>
          <cell r="J25">
            <v>-1</v>
          </cell>
        </row>
        <row r="26">
          <cell r="A26">
            <v>25</v>
          </cell>
          <cell r="B26" t="str">
            <v>NuNuCa Nuß-Nougat-Creme</v>
          </cell>
          <cell r="C26">
            <v>11</v>
          </cell>
          <cell r="D26">
            <v>3</v>
          </cell>
          <cell r="E26" t="str">
            <v>20 - 450 g glasses</v>
          </cell>
          <cell r="F26">
            <v>14</v>
          </cell>
          <cell r="G26">
            <v>76</v>
          </cell>
          <cell r="H26">
            <v>0</v>
          </cell>
          <cell r="I26">
            <v>30</v>
          </cell>
          <cell r="J26">
            <v>0</v>
          </cell>
        </row>
        <row r="27">
          <cell r="A27">
            <v>26</v>
          </cell>
          <cell r="B27" t="str">
            <v>Gumbär Gummibärchen</v>
          </cell>
          <cell r="C27">
            <v>11</v>
          </cell>
          <cell r="D27">
            <v>3</v>
          </cell>
          <cell r="E27" t="str">
            <v>100 - 250 g bags</v>
          </cell>
          <cell r="F27">
            <v>31.23</v>
          </cell>
          <cell r="G27">
            <v>15</v>
          </cell>
          <cell r="H27">
            <v>0</v>
          </cell>
          <cell r="I27">
            <v>0</v>
          </cell>
          <cell r="J27">
            <v>0</v>
          </cell>
        </row>
        <row r="28">
          <cell r="A28">
            <v>27</v>
          </cell>
          <cell r="B28" t="str">
            <v>Schoggi Schokolade</v>
          </cell>
          <cell r="C28">
            <v>11</v>
          </cell>
          <cell r="D28">
            <v>3</v>
          </cell>
          <cell r="E28" t="str">
            <v>100 - 100 g pieces</v>
          </cell>
          <cell r="F28">
            <v>43.9</v>
          </cell>
          <cell r="G28">
            <v>49</v>
          </cell>
          <cell r="H28">
            <v>0</v>
          </cell>
          <cell r="I28">
            <v>30</v>
          </cell>
          <cell r="J28">
            <v>0</v>
          </cell>
        </row>
        <row r="29">
          <cell r="A29">
            <v>28</v>
          </cell>
          <cell r="B29" t="str">
            <v>Rössle Sauerkraut</v>
          </cell>
          <cell r="C29">
            <v>12</v>
          </cell>
          <cell r="D29">
            <v>7</v>
          </cell>
          <cell r="E29" t="str">
            <v>25 - 825 g cans</v>
          </cell>
          <cell r="F29">
            <v>45.6</v>
          </cell>
          <cell r="G29">
            <v>26</v>
          </cell>
          <cell r="H29">
            <v>0</v>
          </cell>
          <cell r="I29">
            <v>0</v>
          </cell>
          <cell r="J29">
            <v>-1</v>
          </cell>
        </row>
        <row r="30">
          <cell r="A30">
            <v>29</v>
          </cell>
          <cell r="B30" t="str">
            <v>Thüringer Rostbratwurst</v>
          </cell>
          <cell r="C30">
            <v>12</v>
          </cell>
          <cell r="D30">
            <v>6</v>
          </cell>
          <cell r="E30" t="str">
            <v>50 bags x 30 sausgs.</v>
          </cell>
          <cell r="F30">
            <v>123.79</v>
          </cell>
          <cell r="G30">
            <v>0</v>
          </cell>
          <cell r="H30">
            <v>0</v>
          </cell>
          <cell r="I30">
            <v>0</v>
          </cell>
          <cell r="J30">
            <v>-1</v>
          </cell>
        </row>
        <row r="31">
          <cell r="A31">
            <v>30</v>
          </cell>
          <cell r="B31" t="str">
            <v>Nord-Ost Matjeshering</v>
          </cell>
          <cell r="C31">
            <v>13</v>
          </cell>
          <cell r="D31">
            <v>8</v>
          </cell>
          <cell r="E31" t="str">
            <v>10 - 200 g glasses</v>
          </cell>
          <cell r="F31">
            <v>25.89</v>
          </cell>
          <cell r="G31">
            <v>10</v>
          </cell>
          <cell r="H31">
            <v>0</v>
          </cell>
          <cell r="I31">
            <v>15</v>
          </cell>
          <cell r="J31">
            <v>0</v>
          </cell>
        </row>
        <row r="32">
          <cell r="A32">
            <v>31</v>
          </cell>
          <cell r="B32" t="str">
            <v>Gorgonzola Telino</v>
          </cell>
          <cell r="C32">
            <v>14</v>
          </cell>
          <cell r="D32">
            <v>4</v>
          </cell>
          <cell r="E32" t="str">
            <v>12 - 100 g pkgs</v>
          </cell>
          <cell r="F32">
            <v>12.5</v>
          </cell>
          <cell r="G32">
            <v>0</v>
          </cell>
          <cell r="H32">
            <v>70</v>
          </cell>
          <cell r="I32">
            <v>20</v>
          </cell>
          <cell r="J32">
            <v>0</v>
          </cell>
        </row>
        <row r="33">
          <cell r="A33">
            <v>32</v>
          </cell>
          <cell r="B33" t="str">
            <v>Mascarpone Fabioli</v>
          </cell>
          <cell r="C33">
            <v>14</v>
          </cell>
          <cell r="D33">
            <v>4</v>
          </cell>
          <cell r="E33" t="str">
            <v>24 - 200 g pkgs.</v>
          </cell>
          <cell r="F33">
            <v>32</v>
          </cell>
          <cell r="G33">
            <v>9</v>
          </cell>
          <cell r="H33">
            <v>40</v>
          </cell>
          <cell r="I33">
            <v>25</v>
          </cell>
          <cell r="J33">
            <v>0</v>
          </cell>
        </row>
        <row r="34">
          <cell r="A34">
            <v>33</v>
          </cell>
          <cell r="B34" t="str">
            <v>Geitost</v>
          </cell>
          <cell r="C34">
            <v>15</v>
          </cell>
          <cell r="D34">
            <v>4</v>
          </cell>
          <cell r="E34" t="str">
            <v>500 g</v>
          </cell>
          <cell r="F34">
            <v>2.5</v>
          </cell>
          <cell r="G34">
            <v>112</v>
          </cell>
          <cell r="H34">
            <v>0</v>
          </cell>
          <cell r="I34">
            <v>20</v>
          </cell>
          <cell r="J34">
            <v>0</v>
          </cell>
        </row>
        <row r="35">
          <cell r="A35">
            <v>34</v>
          </cell>
          <cell r="B35" t="str">
            <v>Sasquatch Ale</v>
          </cell>
          <cell r="C35">
            <v>16</v>
          </cell>
          <cell r="D35">
            <v>1</v>
          </cell>
          <cell r="E35" t="str">
            <v>24 - 12 oz bottles</v>
          </cell>
          <cell r="F35">
            <v>14</v>
          </cell>
          <cell r="G35">
            <v>111</v>
          </cell>
          <cell r="H35">
            <v>0</v>
          </cell>
          <cell r="I35">
            <v>15</v>
          </cell>
          <cell r="J35">
            <v>0</v>
          </cell>
        </row>
        <row r="36">
          <cell r="A36">
            <v>35</v>
          </cell>
          <cell r="B36" t="str">
            <v>Steeleye Stout</v>
          </cell>
          <cell r="C36">
            <v>16</v>
          </cell>
          <cell r="D36">
            <v>1</v>
          </cell>
          <cell r="E36" t="str">
            <v>24 - 12 oz bottles</v>
          </cell>
          <cell r="F36">
            <v>18</v>
          </cell>
          <cell r="G36">
            <v>20</v>
          </cell>
          <cell r="H36">
            <v>0</v>
          </cell>
          <cell r="I36">
            <v>15</v>
          </cell>
          <cell r="J36">
            <v>0</v>
          </cell>
        </row>
        <row r="37">
          <cell r="A37">
            <v>36</v>
          </cell>
          <cell r="B37" t="str">
            <v>Inlagd Sill</v>
          </cell>
          <cell r="C37">
            <v>17</v>
          </cell>
          <cell r="D37">
            <v>8</v>
          </cell>
          <cell r="E37" t="str">
            <v>24 - 250 g  jars</v>
          </cell>
          <cell r="F37">
            <v>19</v>
          </cell>
          <cell r="G37">
            <v>112</v>
          </cell>
          <cell r="H37">
            <v>0</v>
          </cell>
          <cell r="I37">
            <v>20</v>
          </cell>
          <cell r="J37">
            <v>0</v>
          </cell>
        </row>
        <row r="38">
          <cell r="A38">
            <v>37</v>
          </cell>
          <cell r="B38" t="str">
            <v>Gravad lax</v>
          </cell>
          <cell r="C38">
            <v>17</v>
          </cell>
          <cell r="D38">
            <v>8</v>
          </cell>
          <cell r="E38" t="str">
            <v>12 - 500 g pkgs.</v>
          </cell>
          <cell r="F38">
            <v>26</v>
          </cell>
          <cell r="G38">
            <v>11</v>
          </cell>
          <cell r="H38">
            <v>50</v>
          </cell>
          <cell r="I38">
            <v>25</v>
          </cell>
          <cell r="J38">
            <v>0</v>
          </cell>
        </row>
        <row r="39">
          <cell r="A39">
            <v>38</v>
          </cell>
          <cell r="B39" t="str">
            <v>Côte de Blaye</v>
          </cell>
          <cell r="C39">
            <v>18</v>
          </cell>
          <cell r="D39">
            <v>1</v>
          </cell>
          <cell r="E39" t="str">
            <v>12 - 75 cl bottles</v>
          </cell>
          <cell r="F39">
            <v>263.5</v>
          </cell>
          <cell r="G39">
            <v>17</v>
          </cell>
          <cell r="H39">
            <v>0</v>
          </cell>
          <cell r="I39">
            <v>15</v>
          </cell>
          <cell r="J39">
            <v>0</v>
          </cell>
        </row>
        <row r="40">
          <cell r="A40">
            <v>39</v>
          </cell>
          <cell r="B40" t="str">
            <v>Chartreuse verte</v>
          </cell>
          <cell r="C40">
            <v>18</v>
          </cell>
          <cell r="D40">
            <v>1</v>
          </cell>
          <cell r="E40" t="str">
            <v>750 cc per bottle</v>
          </cell>
          <cell r="F40">
            <v>18</v>
          </cell>
          <cell r="G40">
            <v>69</v>
          </cell>
          <cell r="H40">
            <v>0</v>
          </cell>
          <cell r="I40">
            <v>5</v>
          </cell>
          <cell r="J40">
            <v>0</v>
          </cell>
        </row>
        <row r="41">
          <cell r="A41">
            <v>40</v>
          </cell>
          <cell r="B41" t="str">
            <v>Boston Crab Meat</v>
          </cell>
          <cell r="C41">
            <v>19</v>
          </cell>
          <cell r="D41">
            <v>8</v>
          </cell>
          <cell r="E41" t="str">
            <v>24 - 4 oz tins</v>
          </cell>
          <cell r="F41">
            <v>18.399999999999999</v>
          </cell>
          <cell r="G41">
            <v>123</v>
          </cell>
          <cell r="H41">
            <v>0</v>
          </cell>
          <cell r="I41">
            <v>30</v>
          </cell>
          <cell r="J41">
            <v>0</v>
          </cell>
        </row>
        <row r="42">
          <cell r="A42">
            <v>41</v>
          </cell>
          <cell r="B42" t="str">
            <v>Jack's New England Clam Chowder</v>
          </cell>
          <cell r="C42">
            <v>19</v>
          </cell>
          <cell r="D42">
            <v>8</v>
          </cell>
          <cell r="E42" t="str">
            <v>12 - 12 oz cans</v>
          </cell>
          <cell r="F42">
            <v>9.65</v>
          </cell>
          <cell r="G42">
            <v>85</v>
          </cell>
          <cell r="H42">
            <v>0</v>
          </cell>
          <cell r="I42">
            <v>10</v>
          </cell>
          <cell r="J42">
            <v>0</v>
          </cell>
        </row>
        <row r="43">
          <cell r="A43">
            <v>42</v>
          </cell>
          <cell r="B43" t="str">
            <v>Singaporean Hokkien Fried Mee</v>
          </cell>
          <cell r="C43">
            <v>20</v>
          </cell>
          <cell r="D43">
            <v>5</v>
          </cell>
          <cell r="E43" t="str">
            <v>32 - 1 kg pkgs.</v>
          </cell>
          <cell r="F43">
            <v>14</v>
          </cell>
          <cell r="G43">
            <v>26</v>
          </cell>
          <cell r="H43">
            <v>0</v>
          </cell>
          <cell r="I43">
            <v>0</v>
          </cell>
          <cell r="J43">
            <v>-1</v>
          </cell>
        </row>
        <row r="44">
          <cell r="A44">
            <v>43</v>
          </cell>
          <cell r="B44" t="str">
            <v>Ipoh Coffee</v>
          </cell>
          <cell r="C44">
            <v>20</v>
          </cell>
          <cell r="D44">
            <v>1</v>
          </cell>
          <cell r="E44" t="str">
            <v>16 - 500 g tins</v>
          </cell>
          <cell r="F44">
            <v>46</v>
          </cell>
          <cell r="G44">
            <v>17</v>
          </cell>
          <cell r="H44">
            <v>10</v>
          </cell>
          <cell r="I44">
            <v>25</v>
          </cell>
          <cell r="J44">
            <v>0</v>
          </cell>
        </row>
        <row r="45">
          <cell r="A45">
            <v>44</v>
          </cell>
          <cell r="B45" t="str">
            <v>Gula Malacca</v>
          </cell>
          <cell r="C45">
            <v>20</v>
          </cell>
          <cell r="D45">
            <v>2</v>
          </cell>
          <cell r="E45" t="str">
            <v>20 - 2 kg bags</v>
          </cell>
          <cell r="F45">
            <v>19.45</v>
          </cell>
          <cell r="G45">
            <v>27</v>
          </cell>
          <cell r="H45">
            <v>0</v>
          </cell>
          <cell r="I45">
            <v>15</v>
          </cell>
          <cell r="J45">
            <v>0</v>
          </cell>
        </row>
        <row r="46">
          <cell r="A46">
            <v>45</v>
          </cell>
          <cell r="B46" t="str">
            <v>Rogede sild</v>
          </cell>
          <cell r="C46">
            <v>21</v>
          </cell>
          <cell r="D46">
            <v>8</v>
          </cell>
          <cell r="E46" t="str">
            <v>1k pkg.</v>
          </cell>
          <cell r="F46">
            <v>9.5</v>
          </cell>
          <cell r="G46">
            <v>5</v>
          </cell>
          <cell r="H46">
            <v>70</v>
          </cell>
          <cell r="I46">
            <v>15</v>
          </cell>
          <cell r="J46">
            <v>0</v>
          </cell>
        </row>
        <row r="47">
          <cell r="A47">
            <v>46</v>
          </cell>
          <cell r="B47" t="str">
            <v>Spegesild</v>
          </cell>
          <cell r="C47">
            <v>21</v>
          </cell>
          <cell r="D47">
            <v>8</v>
          </cell>
          <cell r="E47" t="str">
            <v>4 - 450 g glasses</v>
          </cell>
          <cell r="F47">
            <v>12</v>
          </cell>
          <cell r="G47">
            <v>95</v>
          </cell>
          <cell r="H47">
            <v>0</v>
          </cell>
          <cell r="I47">
            <v>0</v>
          </cell>
          <cell r="J47">
            <v>0</v>
          </cell>
        </row>
        <row r="48">
          <cell r="A48">
            <v>47</v>
          </cell>
          <cell r="B48" t="str">
            <v>Zaanse koeken</v>
          </cell>
          <cell r="C48">
            <v>22</v>
          </cell>
          <cell r="D48">
            <v>3</v>
          </cell>
          <cell r="E48" t="str">
            <v>10 - 4 oz boxes</v>
          </cell>
          <cell r="F48">
            <v>9.5</v>
          </cell>
          <cell r="G48">
            <v>36</v>
          </cell>
          <cell r="H48">
            <v>0</v>
          </cell>
          <cell r="I48">
            <v>0</v>
          </cell>
          <cell r="J48">
            <v>0</v>
          </cell>
        </row>
        <row r="49">
          <cell r="A49">
            <v>48</v>
          </cell>
          <cell r="B49" t="str">
            <v>Chocolade</v>
          </cell>
          <cell r="C49">
            <v>22</v>
          </cell>
          <cell r="D49">
            <v>3</v>
          </cell>
          <cell r="E49" t="str">
            <v>10 pkgs.</v>
          </cell>
          <cell r="F49">
            <v>12.75</v>
          </cell>
          <cell r="G49">
            <v>15</v>
          </cell>
          <cell r="H49">
            <v>70</v>
          </cell>
          <cell r="I49">
            <v>25</v>
          </cell>
          <cell r="J49">
            <v>0</v>
          </cell>
        </row>
        <row r="50">
          <cell r="A50">
            <v>49</v>
          </cell>
          <cell r="B50" t="str">
            <v>Maxilaku</v>
          </cell>
          <cell r="C50">
            <v>23</v>
          </cell>
          <cell r="D50">
            <v>3</v>
          </cell>
          <cell r="E50" t="str">
            <v>24 - 50 g pkgs.</v>
          </cell>
          <cell r="F50">
            <v>20</v>
          </cell>
          <cell r="G50">
            <v>10</v>
          </cell>
          <cell r="H50">
            <v>60</v>
          </cell>
          <cell r="I50">
            <v>15</v>
          </cell>
          <cell r="J50">
            <v>0</v>
          </cell>
        </row>
        <row r="51">
          <cell r="A51">
            <v>50</v>
          </cell>
          <cell r="B51" t="str">
            <v>Valkoinen suklaa</v>
          </cell>
          <cell r="C51">
            <v>23</v>
          </cell>
          <cell r="D51">
            <v>3</v>
          </cell>
          <cell r="E51" t="str">
            <v>12 - 100 g bars</v>
          </cell>
          <cell r="F51">
            <v>16.25</v>
          </cell>
          <cell r="G51">
            <v>65</v>
          </cell>
          <cell r="H51">
            <v>0</v>
          </cell>
          <cell r="I51">
            <v>30</v>
          </cell>
          <cell r="J51">
            <v>0</v>
          </cell>
        </row>
        <row r="52">
          <cell r="A52">
            <v>51</v>
          </cell>
          <cell r="B52" t="str">
            <v>Manjimup Dried Apples</v>
          </cell>
          <cell r="C52">
            <v>24</v>
          </cell>
          <cell r="D52">
            <v>7</v>
          </cell>
          <cell r="E52" t="str">
            <v>50 - 300 g pkgs.</v>
          </cell>
          <cell r="F52">
            <v>53</v>
          </cell>
          <cell r="G52">
            <v>20</v>
          </cell>
          <cell r="H52">
            <v>0</v>
          </cell>
          <cell r="I52">
            <v>10</v>
          </cell>
          <cell r="J52">
            <v>0</v>
          </cell>
        </row>
        <row r="53">
          <cell r="A53">
            <v>52</v>
          </cell>
          <cell r="B53" t="str">
            <v>Filo Mix</v>
          </cell>
          <cell r="C53">
            <v>24</v>
          </cell>
          <cell r="D53">
            <v>5</v>
          </cell>
          <cell r="E53" t="str">
            <v>16 - 2 kg boxes</v>
          </cell>
          <cell r="F53">
            <v>7</v>
          </cell>
          <cell r="G53">
            <v>38</v>
          </cell>
          <cell r="H53">
            <v>0</v>
          </cell>
          <cell r="I53">
            <v>25</v>
          </cell>
          <cell r="J53">
            <v>0</v>
          </cell>
        </row>
        <row r="54">
          <cell r="A54">
            <v>53</v>
          </cell>
          <cell r="B54" t="str">
            <v>Perth Pasties</v>
          </cell>
          <cell r="C54">
            <v>24</v>
          </cell>
          <cell r="D54">
            <v>6</v>
          </cell>
          <cell r="E54" t="str">
            <v>48 pieces</v>
          </cell>
          <cell r="F54">
            <v>32.799999999999997</v>
          </cell>
          <cell r="G54">
            <v>0</v>
          </cell>
          <cell r="H54">
            <v>0</v>
          </cell>
          <cell r="I54">
            <v>0</v>
          </cell>
          <cell r="J54">
            <v>-1</v>
          </cell>
        </row>
        <row r="55">
          <cell r="A55">
            <v>54</v>
          </cell>
          <cell r="B55" t="str">
            <v>Tourtière</v>
          </cell>
          <cell r="C55">
            <v>25</v>
          </cell>
          <cell r="D55">
            <v>6</v>
          </cell>
          <cell r="E55" t="str">
            <v>16 pies</v>
          </cell>
          <cell r="F55">
            <v>7.45</v>
          </cell>
          <cell r="G55">
            <v>21</v>
          </cell>
          <cell r="H55">
            <v>0</v>
          </cell>
          <cell r="I55">
            <v>10</v>
          </cell>
          <cell r="J55">
            <v>0</v>
          </cell>
        </row>
        <row r="56">
          <cell r="A56">
            <v>55</v>
          </cell>
          <cell r="B56" t="str">
            <v>Pâté chinois</v>
          </cell>
          <cell r="C56">
            <v>25</v>
          </cell>
          <cell r="D56">
            <v>6</v>
          </cell>
          <cell r="E56" t="str">
            <v>24 boxes x 2 pies</v>
          </cell>
          <cell r="F56">
            <v>24</v>
          </cell>
          <cell r="G56">
            <v>115</v>
          </cell>
          <cell r="H56">
            <v>0</v>
          </cell>
          <cell r="I56">
            <v>20</v>
          </cell>
          <cell r="J56">
            <v>0</v>
          </cell>
        </row>
        <row r="57">
          <cell r="A57">
            <v>56</v>
          </cell>
          <cell r="B57" t="str">
            <v>Gnocchi di nonna Alice</v>
          </cell>
          <cell r="C57">
            <v>26</v>
          </cell>
          <cell r="D57">
            <v>5</v>
          </cell>
          <cell r="E57" t="str">
            <v>24 - 250 g pkgs.</v>
          </cell>
          <cell r="F57">
            <v>38</v>
          </cell>
          <cell r="G57">
            <v>21</v>
          </cell>
          <cell r="H57">
            <v>10</v>
          </cell>
          <cell r="I57">
            <v>30</v>
          </cell>
          <cell r="J57">
            <v>0</v>
          </cell>
        </row>
        <row r="58">
          <cell r="A58">
            <v>57</v>
          </cell>
          <cell r="B58" t="str">
            <v>Ravioli Angelo</v>
          </cell>
          <cell r="C58">
            <v>26</v>
          </cell>
          <cell r="D58">
            <v>5</v>
          </cell>
          <cell r="E58" t="str">
            <v>24 - 250 g pkgs.</v>
          </cell>
          <cell r="F58">
            <v>19.5</v>
          </cell>
          <cell r="G58">
            <v>36</v>
          </cell>
          <cell r="H58">
            <v>0</v>
          </cell>
          <cell r="I58">
            <v>20</v>
          </cell>
          <cell r="J58">
            <v>0</v>
          </cell>
        </row>
        <row r="59">
          <cell r="A59">
            <v>58</v>
          </cell>
          <cell r="B59" t="str">
            <v>Escargots de Bourgogne</v>
          </cell>
          <cell r="C59">
            <v>27</v>
          </cell>
          <cell r="D59">
            <v>8</v>
          </cell>
          <cell r="E59" t="str">
            <v>24 pieces</v>
          </cell>
          <cell r="F59">
            <v>13.25</v>
          </cell>
          <cell r="G59">
            <v>62</v>
          </cell>
          <cell r="H59">
            <v>0</v>
          </cell>
          <cell r="I59">
            <v>20</v>
          </cell>
          <cell r="J59">
            <v>0</v>
          </cell>
        </row>
        <row r="60">
          <cell r="A60">
            <v>59</v>
          </cell>
          <cell r="B60" t="str">
            <v>Raclette Courdavault</v>
          </cell>
          <cell r="C60">
            <v>28</v>
          </cell>
          <cell r="D60">
            <v>4</v>
          </cell>
          <cell r="E60" t="str">
            <v>5 kg pkg.</v>
          </cell>
          <cell r="F60">
            <v>55</v>
          </cell>
          <cell r="G60">
            <v>79</v>
          </cell>
          <cell r="H60">
            <v>0</v>
          </cell>
          <cell r="I60">
            <v>0</v>
          </cell>
          <cell r="J60">
            <v>0</v>
          </cell>
        </row>
        <row r="61">
          <cell r="A61">
            <v>60</v>
          </cell>
          <cell r="B61" t="str">
            <v>Camembert Pierrot</v>
          </cell>
          <cell r="C61">
            <v>28</v>
          </cell>
          <cell r="D61">
            <v>4</v>
          </cell>
          <cell r="E61" t="str">
            <v>15 - 300 g rounds</v>
          </cell>
          <cell r="F61">
            <v>34</v>
          </cell>
          <cell r="G61">
            <v>19</v>
          </cell>
          <cell r="H61">
            <v>0</v>
          </cell>
          <cell r="I61">
            <v>0</v>
          </cell>
          <cell r="J61">
            <v>0</v>
          </cell>
        </row>
        <row r="62">
          <cell r="A62">
            <v>61</v>
          </cell>
          <cell r="B62" t="str">
            <v>Sirop d'érable</v>
          </cell>
          <cell r="C62">
            <v>29</v>
          </cell>
          <cell r="D62">
            <v>2</v>
          </cell>
          <cell r="E62" t="str">
            <v>24 - 500 ml bottles</v>
          </cell>
          <cell r="F62">
            <v>28.5</v>
          </cell>
          <cell r="G62">
            <v>113</v>
          </cell>
          <cell r="H62">
            <v>0</v>
          </cell>
          <cell r="I62">
            <v>25</v>
          </cell>
          <cell r="J62">
            <v>0</v>
          </cell>
        </row>
        <row r="63">
          <cell r="A63">
            <v>62</v>
          </cell>
          <cell r="B63" t="str">
            <v>Tarte au sucre</v>
          </cell>
          <cell r="C63">
            <v>29</v>
          </cell>
          <cell r="D63">
            <v>3</v>
          </cell>
          <cell r="E63" t="str">
            <v>48 pies</v>
          </cell>
          <cell r="F63">
            <v>49.3</v>
          </cell>
          <cell r="G63">
            <v>17</v>
          </cell>
          <cell r="H63">
            <v>0</v>
          </cell>
          <cell r="I63">
            <v>0</v>
          </cell>
          <cell r="J63">
            <v>0</v>
          </cell>
        </row>
        <row r="64">
          <cell r="A64">
            <v>63</v>
          </cell>
          <cell r="B64" t="str">
            <v>Vegie-spread</v>
          </cell>
          <cell r="C64">
            <v>7</v>
          </cell>
          <cell r="D64">
            <v>2</v>
          </cell>
          <cell r="E64" t="str">
            <v>15 - 625 g jars</v>
          </cell>
          <cell r="F64">
            <v>43.9</v>
          </cell>
          <cell r="G64">
            <v>24</v>
          </cell>
          <cell r="H64">
            <v>0</v>
          </cell>
          <cell r="I64">
            <v>5</v>
          </cell>
          <cell r="J64">
            <v>0</v>
          </cell>
        </row>
        <row r="65">
          <cell r="A65">
            <v>64</v>
          </cell>
          <cell r="B65" t="str">
            <v>Wimmers gute Semmelknödel</v>
          </cell>
          <cell r="C65">
            <v>12</v>
          </cell>
          <cell r="D65">
            <v>5</v>
          </cell>
          <cell r="E65" t="str">
            <v>20 bags x 4 pieces</v>
          </cell>
          <cell r="F65">
            <v>33.25</v>
          </cell>
          <cell r="G65">
            <v>22</v>
          </cell>
          <cell r="H65">
            <v>80</v>
          </cell>
          <cell r="I65">
            <v>30</v>
          </cell>
          <cell r="J65">
            <v>0</v>
          </cell>
        </row>
        <row r="66">
          <cell r="A66">
            <v>65</v>
          </cell>
          <cell r="B66" t="str">
            <v>Louisiana Fiery Hot Pepper Sauce</v>
          </cell>
          <cell r="C66">
            <v>2</v>
          </cell>
          <cell r="D66">
            <v>2</v>
          </cell>
          <cell r="E66" t="str">
            <v>32 - 8 oz bottles</v>
          </cell>
          <cell r="F66">
            <v>21.05</v>
          </cell>
          <cell r="G66">
            <v>76</v>
          </cell>
          <cell r="H66">
            <v>0</v>
          </cell>
          <cell r="I66">
            <v>0</v>
          </cell>
          <cell r="J66">
            <v>0</v>
          </cell>
        </row>
        <row r="67">
          <cell r="A67">
            <v>66</v>
          </cell>
          <cell r="B67" t="str">
            <v>Louisiana Hot Spiced Okra</v>
          </cell>
          <cell r="C67">
            <v>2</v>
          </cell>
          <cell r="D67">
            <v>2</v>
          </cell>
          <cell r="E67" t="str">
            <v>24 - 8 oz jars</v>
          </cell>
          <cell r="F67">
            <v>17</v>
          </cell>
          <cell r="G67">
            <v>4</v>
          </cell>
          <cell r="H67">
            <v>100</v>
          </cell>
          <cell r="I67">
            <v>20</v>
          </cell>
          <cell r="J67">
            <v>0</v>
          </cell>
        </row>
        <row r="68">
          <cell r="A68">
            <v>67</v>
          </cell>
          <cell r="B68" t="str">
            <v>Laughing Lumberjack Lager</v>
          </cell>
          <cell r="C68">
            <v>16</v>
          </cell>
          <cell r="D68">
            <v>1</v>
          </cell>
          <cell r="E68" t="str">
            <v>24 - 12 oz bottles</v>
          </cell>
          <cell r="F68">
            <v>14</v>
          </cell>
          <cell r="G68">
            <v>52</v>
          </cell>
          <cell r="H68">
            <v>0</v>
          </cell>
          <cell r="I68">
            <v>10</v>
          </cell>
          <cell r="J68">
            <v>0</v>
          </cell>
        </row>
        <row r="69">
          <cell r="A69">
            <v>68</v>
          </cell>
          <cell r="B69" t="str">
            <v>Scottish Longbreads</v>
          </cell>
          <cell r="C69">
            <v>8</v>
          </cell>
          <cell r="D69">
            <v>3</v>
          </cell>
          <cell r="E69" t="str">
            <v>10 boxes x 8 pieces</v>
          </cell>
          <cell r="F69">
            <v>12.5</v>
          </cell>
          <cell r="G69">
            <v>6</v>
          </cell>
          <cell r="H69">
            <v>10</v>
          </cell>
          <cell r="I69">
            <v>15</v>
          </cell>
          <cell r="J69">
            <v>0</v>
          </cell>
        </row>
        <row r="70">
          <cell r="A70">
            <v>69</v>
          </cell>
          <cell r="B70" t="str">
            <v>Gudbrandsdalsost</v>
          </cell>
          <cell r="C70">
            <v>15</v>
          </cell>
          <cell r="D70">
            <v>4</v>
          </cell>
          <cell r="E70" t="str">
            <v>10 kg pkg.</v>
          </cell>
          <cell r="F70">
            <v>36</v>
          </cell>
          <cell r="G70">
            <v>26</v>
          </cell>
          <cell r="H70">
            <v>0</v>
          </cell>
          <cell r="I70">
            <v>15</v>
          </cell>
          <cell r="J70">
            <v>0</v>
          </cell>
        </row>
        <row r="71">
          <cell r="A71">
            <v>70</v>
          </cell>
          <cell r="B71" t="str">
            <v>Outback Lager</v>
          </cell>
          <cell r="C71">
            <v>7</v>
          </cell>
          <cell r="D71">
            <v>1</v>
          </cell>
          <cell r="E71" t="str">
            <v>24 - 355 ml bottles</v>
          </cell>
          <cell r="F71">
            <v>15</v>
          </cell>
          <cell r="G71">
            <v>15</v>
          </cell>
          <cell r="H71">
            <v>10</v>
          </cell>
          <cell r="I71">
            <v>30</v>
          </cell>
          <cell r="J71">
            <v>0</v>
          </cell>
        </row>
        <row r="72">
          <cell r="A72">
            <v>71</v>
          </cell>
          <cell r="B72" t="str">
            <v>Flotemysost</v>
          </cell>
          <cell r="C72">
            <v>15</v>
          </cell>
          <cell r="D72">
            <v>4</v>
          </cell>
          <cell r="E72" t="str">
            <v>10 - 500 g pkgs.</v>
          </cell>
          <cell r="F72">
            <v>21.5</v>
          </cell>
          <cell r="G72">
            <v>26</v>
          </cell>
          <cell r="H72">
            <v>0</v>
          </cell>
          <cell r="I72">
            <v>0</v>
          </cell>
          <cell r="J72">
            <v>0</v>
          </cell>
        </row>
        <row r="73">
          <cell r="A73">
            <v>72</v>
          </cell>
          <cell r="B73" t="str">
            <v>Mozzarella di Giovanni</v>
          </cell>
          <cell r="C73">
            <v>14</v>
          </cell>
          <cell r="D73">
            <v>4</v>
          </cell>
          <cell r="E73" t="str">
            <v>24 - 200 g pkgs.</v>
          </cell>
          <cell r="F73">
            <v>34.799999999999997</v>
          </cell>
          <cell r="G73">
            <v>14</v>
          </cell>
          <cell r="H73">
            <v>0</v>
          </cell>
          <cell r="I73">
            <v>0</v>
          </cell>
          <cell r="J73">
            <v>0</v>
          </cell>
        </row>
        <row r="74">
          <cell r="A74">
            <v>73</v>
          </cell>
          <cell r="B74" t="str">
            <v>Röd Kaviar</v>
          </cell>
          <cell r="C74">
            <v>17</v>
          </cell>
          <cell r="D74">
            <v>8</v>
          </cell>
          <cell r="E74" t="str">
            <v>24 - 150 g jars</v>
          </cell>
          <cell r="F74">
            <v>15</v>
          </cell>
          <cell r="G74">
            <v>101</v>
          </cell>
          <cell r="H74">
            <v>0</v>
          </cell>
          <cell r="I74">
            <v>5</v>
          </cell>
          <cell r="J74">
            <v>0</v>
          </cell>
        </row>
        <row r="75">
          <cell r="A75">
            <v>74</v>
          </cell>
          <cell r="B75" t="str">
            <v>Longlife Tofu</v>
          </cell>
          <cell r="C75">
            <v>4</v>
          </cell>
          <cell r="D75">
            <v>7</v>
          </cell>
          <cell r="E75" t="str">
            <v>5 kg pkg.</v>
          </cell>
          <cell r="F75">
            <v>10</v>
          </cell>
          <cell r="G75">
            <v>4</v>
          </cell>
          <cell r="H75">
            <v>20</v>
          </cell>
          <cell r="I75">
            <v>5</v>
          </cell>
          <cell r="J75">
            <v>0</v>
          </cell>
        </row>
        <row r="76">
          <cell r="A76">
            <v>75</v>
          </cell>
          <cell r="B76" t="str">
            <v>Rhönbräu Klosterbier</v>
          </cell>
          <cell r="C76">
            <v>12</v>
          </cell>
          <cell r="D76">
            <v>1</v>
          </cell>
          <cell r="E76" t="str">
            <v>24 - 0.5 l bottles</v>
          </cell>
          <cell r="F76">
            <v>7.75</v>
          </cell>
          <cell r="G76">
            <v>125</v>
          </cell>
          <cell r="H76">
            <v>0</v>
          </cell>
          <cell r="I76">
            <v>25</v>
          </cell>
          <cell r="J76">
            <v>0</v>
          </cell>
        </row>
        <row r="77">
          <cell r="A77">
            <v>76</v>
          </cell>
          <cell r="B77" t="str">
            <v>Lakkalikööri</v>
          </cell>
          <cell r="C77">
            <v>23</v>
          </cell>
          <cell r="D77">
            <v>1</v>
          </cell>
          <cell r="E77" t="str">
            <v>500 ml</v>
          </cell>
          <cell r="F77">
            <v>18</v>
          </cell>
          <cell r="G77">
            <v>57</v>
          </cell>
          <cell r="H77">
            <v>0</v>
          </cell>
          <cell r="I77">
            <v>20</v>
          </cell>
          <cell r="J77">
            <v>0</v>
          </cell>
        </row>
        <row r="78">
          <cell r="A78">
            <v>77</v>
          </cell>
          <cell r="B78" t="str">
            <v>Original Frankfurter grüne Soße</v>
          </cell>
          <cell r="C78">
            <v>12</v>
          </cell>
          <cell r="D78">
            <v>2</v>
          </cell>
          <cell r="E78" t="str">
            <v>12 boxes</v>
          </cell>
          <cell r="F78">
            <v>13</v>
          </cell>
          <cell r="G78">
            <v>32</v>
          </cell>
          <cell r="H78">
            <v>0</v>
          </cell>
          <cell r="I78">
            <v>15</v>
          </cell>
          <cell r="J78">
            <v>0</v>
          </cell>
        </row>
      </sheetData>
      <sheetData sheetId="7">
        <row r="1">
          <cell r="A1" t="str">
            <v>RegionID</v>
          </cell>
          <cell r="B1" t="str">
            <v>RegionDescription</v>
          </cell>
        </row>
        <row r="2">
          <cell r="A2">
            <v>1</v>
          </cell>
          <cell r="B2" t="str">
            <v>Eastern</v>
          </cell>
        </row>
        <row r="3">
          <cell r="A3">
            <v>2</v>
          </cell>
          <cell r="B3" t="str">
            <v>Western</v>
          </cell>
        </row>
        <row r="4">
          <cell r="A4">
            <v>3</v>
          </cell>
          <cell r="B4" t="str">
            <v>Northern</v>
          </cell>
        </row>
        <row r="5">
          <cell r="A5">
            <v>4</v>
          </cell>
          <cell r="B5" t="str">
            <v>Southern</v>
          </cell>
        </row>
      </sheetData>
      <sheetData sheetId="8">
        <row r="1">
          <cell r="A1" t="str">
            <v>ShipperID</v>
          </cell>
          <cell r="B1" t="str">
            <v>CompanyName</v>
          </cell>
          <cell r="C1" t="str">
            <v>Phone</v>
          </cell>
        </row>
        <row r="2">
          <cell r="A2">
            <v>1</v>
          </cell>
          <cell r="B2" t="str">
            <v>Speedy Express</v>
          </cell>
          <cell r="C2" t="str">
            <v>(503) 555-9831</v>
          </cell>
        </row>
        <row r="3">
          <cell r="A3">
            <v>2</v>
          </cell>
          <cell r="B3" t="str">
            <v>United Package</v>
          </cell>
          <cell r="C3" t="str">
            <v>(503) 555-3199</v>
          </cell>
        </row>
        <row r="4">
          <cell r="A4">
            <v>3</v>
          </cell>
          <cell r="B4" t="str">
            <v>Federal Shipping</v>
          </cell>
          <cell r="C4" t="str">
            <v>(503) 555-9931</v>
          </cell>
        </row>
      </sheetData>
      <sheetData sheetId="9"/>
      <sheetData sheetId="10">
        <row r="1">
          <cell r="A1" t="str">
            <v>TerritoryID</v>
          </cell>
          <cell r="B1" t="str">
            <v>TerritoryDescription</v>
          </cell>
          <cell r="C1" t="str">
            <v>RegionID</v>
          </cell>
        </row>
        <row r="2">
          <cell r="A2" t="str">
            <v>01581</v>
          </cell>
          <cell r="B2" t="str">
            <v>Westboro</v>
          </cell>
          <cell r="C2">
            <v>1</v>
          </cell>
        </row>
        <row r="3">
          <cell r="A3" t="str">
            <v>01730</v>
          </cell>
          <cell r="B3" t="str">
            <v>Bedford</v>
          </cell>
          <cell r="C3">
            <v>1</v>
          </cell>
        </row>
        <row r="4">
          <cell r="A4" t="str">
            <v>01833</v>
          </cell>
          <cell r="B4" t="str">
            <v>Georgetow</v>
          </cell>
          <cell r="C4">
            <v>1</v>
          </cell>
        </row>
        <row r="5">
          <cell r="A5" t="str">
            <v>02116</v>
          </cell>
          <cell r="B5" t="str">
            <v>Boston</v>
          </cell>
          <cell r="C5">
            <v>1</v>
          </cell>
        </row>
        <row r="6">
          <cell r="A6" t="str">
            <v>02139</v>
          </cell>
          <cell r="B6" t="str">
            <v>Cambridge</v>
          </cell>
          <cell r="C6">
            <v>1</v>
          </cell>
        </row>
        <row r="7">
          <cell r="A7" t="str">
            <v>02184</v>
          </cell>
          <cell r="B7" t="str">
            <v>Braintree</v>
          </cell>
          <cell r="C7">
            <v>1</v>
          </cell>
        </row>
        <row r="8">
          <cell r="A8" t="str">
            <v>02903</v>
          </cell>
          <cell r="B8" t="str">
            <v>Providence</v>
          </cell>
          <cell r="C8">
            <v>1</v>
          </cell>
        </row>
        <row r="9">
          <cell r="A9" t="str">
            <v>03049</v>
          </cell>
          <cell r="B9" t="str">
            <v>Hollis</v>
          </cell>
          <cell r="C9">
            <v>3</v>
          </cell>
        </row>
        <row r="10">
          <cell r="A10" t="str">
            <v>03801</v>
          </cell>
          <cell r="B10" t="str">
            <v>Portsmouth</v>
          </cell>
          <cell r="C10">
            <v>3</v>
          </cell>
        </row>
        <row r="11">
          <cell r="A11" t="str">
            <v>06897</v>
          </cell>
          <cell r="B11" t="str">
            <v>Wilton</v>
          </cell>
          <cell r="C11">
            <v>1</v>
          </cell>
        </row>
        <row r="12">
          <cell r="A12" t="str">
            <v>07960</v>
          </cell>
          <cell r="B12" t="str">
            <v>Morristown</v>
          </cell>
          <cell r="C12">
            <v>1</v>
          </cell>
        </row>
        <row r="13">
          <cell r="A13" t="str">
            <v>08837</v>
          </cell>
          <cell r="B13" t="str">
            <v>Edison</v>
          </cell>
          <cell r="C13">
            <v>1</v>
          </cell>
        </row>
        <row r="14">
          <cell r="A14" t="str">
            <v>10019</v>
          </cell>
          <cell r="B14" t="str">
            <v>New York</v>
          </cell>
          <cell r="C14">
            <v>1</v>
          </cell>
        </row>
        <row r="15">
          <cell r="A15" t="str">
            <v>10038</v>
          </cell>
          <cell r="B15" t="str">
            <v>New York</v>
          </cell>
          <cell r="C15">
            <v>1</v>
          </cell>
        </row>
        <row r="16">
          <cell r="A16" t="str">
            <v>11747</v>
          </cell>
          <cell r="B16" t="str">
            <v>Mellvile</v>
          </cell>
          <cell r="C16">
            <v>1</v>
          </cell>
        </row>
        <row r="17">
          <cell r="A17" t="str">
            <v>14450</v>
          </cell>
          <cell r="B17" t="str">
            <v>Fairport</v>
          </cell>
          <cell r="C17">
            <v>1</v>
          </cell>
        </row>
        <row r="18">
          <cell r="A18" t="str">
            <v>19428</v>
          </cell>
          <cell r="B18" t="str">
            <v>Philadelphia</v>
          </cell>
          <cell r="C18">
            <v>3</v>
          </cell>
        </row>
        <row r="19">
          <cell r="A19" t="str">
            <v>19713</v>
          </cell>
          <cell r="B19" t="str">
            <v>Neward</v>
          </cell>
          <cell r="C19">
            <v>1</v>
          </cell>
        </row>
        <row r="20">
          <cell r="A20" t="str">
            <v>20852</v>
          </cell>
          <cell r="B20" t="str">
            <v>Rockville</v>
          </cell>
          <cell r="C20">
            <v>1</v>
          </cell>
        </row>
        <row r="21">
          <cell r="A21" t="str">
            <v>27403</v>
          </cell>
          <cell r="B21" t="str">
            <v>Greensboro</v>
          </cell>
          <cell r="C21">
            <v>1</v>
          </cell>
        </row>
        <row r="22">
          <cell r="A22" t="str">
            <v>27511</v>
          </cell>
          <cell r="B22" t="str">
            <v>Cary</v>
          </cell>
          <cell r="C22">
            <v>1</v>
          </cell>
        </row>
        <row r="23">
          <cell r="A23" t="str">
            <v>30346</v>
          </cell>
          <cell r="B23" t="str">
            <v>Atlanta</v>
          </cell>
          <cell r="C23">
            <v>4</v>
          </cell>
        </row>
        <row r="24">
          <cell r="A24" t="str">
            <v>31406</v>
          </cell>
          <cell r="B24" t="str">
            <v>Savannah</v>
          </cell>
          <cell r="C24">
            <v>4</v>
          </cell>
        </row>
        <row r="25">
          <cell r="A25" t="str">
            <v>32859</v>
          </cell>
          <cell r="B25" t="str">
            <v>Orlando</v>
          </cell>
          <cell r="C25">
            <v>4</v>
          </cell>
        </row>
        <row r="26">
          <cell r="A26" t="str">
            <v>33607</v>
          </cell>
          <cell r="B26" t="str">
            <v>Tampa</v>
          </cell>
          <cell r="C26">
            <v>4</v>
          </cell>
        </row>
        <row r="27">
          <cell r="A27" t="str">
            <v>40222</v>
          </cell>
          <cell r="B27" t="str">
            <v>Louisville</v>
          </cell>
          <cell r="C27">
            <v>1</v>
          </cell>
        </row>
        <row r="28">
          <cell r="A28" t="str">
            <v>44122</v>
          </cell>
          <cell r="B28" t="str">
            <v>Beachwood</v>
          </cell>
          <cell r="C28">
            <v>3</v>
          </cell>
        </row>
        <row r="29">
          <cell r="A29" t="str">
            <v>45839</v>
          </cell>
          <cell r="B29" t="str">
            <v>Findlay</v>
          </cell>
          <cell r="C29">
            <v>3</v>
          </cell>
        </row>
        <row r="30">
          <cell r="A30" t="str">
            <v>48075</v>
          </cell>
          <cell r="B30" t="str">
            <v>Southfield</v>
          </cell>
          <cell r="C30">
            <v>3</v>
          </cell>
        </row>
        <row r="31">
          <cell r="A31" t="str">
            <v>48084</v>
          </cell>
          <cell r="B31" t="str">
            <v>Troy</v>
          </cell>
          <cell r="C31">
            <v>3</v>
          </cell>
        </row>
        <row r="32">
          <cell r="A32" t="str">
            <v>48304</v>
          </cell>
          <cell r="B32" t="str">
            <v>Bloomfield Hills</v>
          </cell>
          <cell r="C32">
            <v>3</v>
          </cell>
        </row>
        <row r="33">
          <cell r="A33" t="str">
            <v>53404</v>
          </cell>
          <cell r="B33" t="str">
            <v>Racine</v>
          </cell>
          <cell r="C33">
            <v>3</v>
          </cell>
        </row>
        <row r="34">
          <cell r="A34" t="str">
            <v>55113</v>
          </cell>
          <cell r="B34" t="str">
            <v>Roseville</v>
          </cell>
          <cell r="C34">
            <v>3</v>
          </cell>
        </row>
        <row r="35">
          <cell r="A35" t="str">
            <v>55439</v>
          </cell>
          <cell r="B35" t="str">
            <v>Minneapolis</v>
          </cell>
          <cell r="C35">
            <v>3</v>
          </cell>
        </row>
        <row r="36">
          <cell r="A36" t="str">
            <v>60179</v>
          </cell>
          <cell r="B36" t="str">
            <v>Hoffman Estates</v>
          </cell>
          <cell r="C36">
            <v>2</v>
          </cell>
        </row>
        <row r="37">
          <cell r="A37" t="str">
            <v>60601</v>
          </cell>
          <cell r="B37" t="str">
            <v>Chicago</v>
          </cell>
          <cell r="C37">
            <v>2</v>
          </cell>
        </row>
        <row r="38">
          <cell r="A38" t="str">
            <v>80202</v>
          </cell>
          <cell r="B38" t="str">
            <v>Denver</v>
          </cell>
          <cell r="C38">
            <v>2</v>
          </cell>
        </row>
        <row r="39">
          <cell r="A39" t="str">
            <v>80909</v>
          </cell>
          <cell r="B39" t="str">
            <v>Colorado Springs</v>
          </cell>
          <cell r="C39">
            <v>2</v>
          </cell>
        </row>
        <row r="40">
          <cell r="A40" t="str">
            <v>85014</v>
          </cell>
          <cell r="B40" t="str">
            <v>Phoenix</v>
          </cell>
          <cell r="C40">
            <v>2</v>
          </cell>
        </row>
        <row r="41">
          <cell r="A41" t="str">
            <v>85251</v>
          </cell>
          <cell r="B41" t="str">
            <v>Scottsdale</v>
          </cell>
          <cell r="C41">
            <v>2</v>
          </cell>
        </row>
        <row r="42">
          <cell r="A42" t="str">
            <v>90405</v>
          </cell>
          <cell r="B42" t="str">
            <v>Santa Monica</v>
          </cell>
          <cell r="C42">
            <v>2</v>
          </cell>
        </row>
        <row r="43">
          <cell r="A43" t="str">
            <v>94025</v>
          </cell>
          <cell r="B43" t="str">
            <v>Menlo Park</v>
          </cell>
          <cell r="C43">
            <v>2</v>
          </cell>
        </row>
        <row r="44">
          <cell r="A44" t="str">
            <v>94105</v>
          </cell>
          <cell r="B44" t="str">
            <v>San Francisco</v>
          </cell>
          <cell r="C44">
            <v>2</v>
          </cell>
        </row>
        <row r="45">
          <cell r="A45" t="str">
            <v>95008</v>
          </cell>
          <cell r="B45" t="str">
            <v>Campbell</v>
          </cell>
          <cell r="C45">
            <v>2</v>
          </cell>
        </row>
        <row r="46">
          <cell r="A46" t="str">
            <v>95054</v>
          </cell>
          <cell r="B46" t="str">
            <v>Santa Clara</v>
          </cell>
          <cell r="C46">
            <v>2</v>
          </cell>
        </row>
        <row r="47">
          <cell r="A47" t="str">
            <v>95060</v>
          </cell>
          <cell r="B47" t="str">
            <v>Santa Cruz</v>
          </cell>
          <cell r="C47">
            <v>2</v>
          </cell>
        </row>
        <row r="48">
          <cell r="A48" t="str">
            <v>98004</v>
          </cell>
          <cell r="B48" t="str">
            <v>Bellevue</v>
          </cell>
          <cell r="C48">
            <v>2</v>
          </cell>
        </row>
        <row r="49">
          <cell r="A49" t="str">
            <v>98052</v>
          </cell>
          <cell r="B49" t="str">
            <v>Redmond</v>
          </cell>
          <cell r="C49">
            <v>2</v>
          </cell>
        </row>
        <row r="50">
          <cell r="A50" t="str">
            <v>98104</v>
          </cell>
          <cell r="B50" t="str">
            <v>Seattle</v>
          </cell>
          <cell r="C50">
            <v>2</v>
          </cell>
        </row>
      </sheetData>
      <sheetData sheetId="11"/>
      <sheetData sheetId="12"/>
      <sheetData sheetId="13"/>
      <sheetData sheetId="14"/>
      <sheetData sheetId="15"/>
      <sheetData sheetId="16"/>
      <sheetData sheetId="17"/>
      <sheetData sheetId="1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483.653489004631" createdVersion="8" refreshedVersion="8" minRefreshableVersion="3" recordCount="830" xr:uid="{375A2DA9-AD8D-400B-9C21-177F65512A5C}">
  <cacheSource type="worksheet">
    <worksheetSource ref="A1:T831" sheet="Consilidated Sheet"/>
  </cacheSource>
  <cacheFields count="23">
    <cacheField name="OrderID" numFmtId="0">
      <sharedItems containsSemiMixedTypes="0" containsString="0" containsNumber="1" containsInteger="1" minValue="10248" maxValue="11077"/>
    </cacheField>
    <cacheField name="CustomerID" numFmtId="0">
      <sharedItems/>
    </cacheField>
    <cacheField name="EmployeeID" numFmtId="0">
      <sharedItems containsSemiMixedTypes="0" containsString="0" containsNumber="1" containsInteger="1" minValue="1" maxValue="9"/>
    </cacheField>
    <cacheField name="Order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22"/>
    </cacheField>
    <cacheField name="Employee Name" numFmtId="0">
      <sharedItems/>
    </cacheField>
    <cacheField name="Shiv Via" numFmtId="0">
      <sharedItems containsSemiMixedTypes="0" containsString="0" containsNumber="1" containsInteger="1" minValue="1" maxValue="3"/>
    </cacheField>
    <cacheField name="Ship Company" numFmtId="0">
      <sharedItems count="3">
        <s v="Federal Shipping"/>
        <s v="Speedy Express"/>
        <s v="United Package"/>
      </sharedItems>
    </cacheField>
    <cacheField name="EmployeeTerritoriesID" numFmtId="0">
      <sharedItems/>
    </cacheField>
    <cacheField name="EmployeeID2" numFmtId="0">
      <sharedItems containsSemiMixedTypes="0" containsString="0" containsNumber="1" containsInteger="1" minValue="1" maxValue="9"/>
    </cacheField>
    <cacheField name="RegionID" numFmtId="0">
      <sharedItems containsSemiMixedTypes="0" containsString="0" containsNumber="1" containsInteger="1" minValue="1" maxValue="4"/>
    </cacheField>
    <cacheField name="Region Description" numFmtId="0">
      <sharedItems count="4">
        <s v="Eastern"/>
        <s v="Western"/>
        <s v="Southern"/>
        <s v="Northern"/>
      </sharedItems>
    </cacheField>
    <cacheField name="ProductID" numFmtId="0">
      <sharedItems containsSemiMixedTypes="0" containsString="0" containsNumber="1" containsInteger="1" minValue="1" maxValue="77"/>
    </cacheField>
    <cacheField name="Product Name" numFmtId="0">
      <sharedItems/>
    </cacheField>
    <cacheField name="CategoryID" numFmtId="0">
      <sharedItems containsSemiMixedTypes="0" containsString="0" containsNumber="1" containsInteger="1" minValue="1" maxValue="8"/>
    </cacheField>
    <cacheField name="CategoryName" numFmtId="164">
      <sharedItems count="8">
        <s v="Dairy Products"/>
        <s v="Produce"/>
        <s v="Seafood"/>
        <s v="Grains/Cereals"/>
        <s v="Confections"/>
        <s v="Beverages"/>
        <s v="Meat/Poultry"/>
        <s v="Condiments"/>
      </sharedItems>
    </cacheField>
    <cacheField name="UnitPrice" numFmtId="164">
      <sharedItems containsSemiMixedTypes="0" containsString="0" containsNumber="1" minValue="2" maxValue="263.5"/>
    </cacheField>
    <cacheField name="Quantity" numFmtId="0">
      <sharedItems containsSemiMixedTypes="0" containsString="0" containsNumber="1" containsInteger="1" minValue="1" maxValue="120"/>
    </cacheField>
    <cacheField name="Discount" numFmtId="0">
      <sharedItems containsSemiMixedTypes="0" containsString="0" containsNumber="1" minValue="0" maxValue="0.25"/>
    </cacheField>
    <cacheField name="Sale" numFmtId="164">
      <sharedItems containsSemiMixedTypes="0" containsString="0" containsNumber="1" minValue="4.8" maxValue="15810"/>
    </cacheField>
    <cacheField name="Freight" numFmtId="164">
      <sharedItems containsSemiMixedTypes="0" containsString="0" containsNumber="1" minValue="0.02" maxValue="1007.64"/>
    </cacheField>
    <cacheField name="Months (OrderDate)" numFmtId="0" databaseField="0">
      <fieldGroup base="3">
        <rangePr groupBy="months" startDate="1996-07-04T00:00:00" endDate="1998-05-07T00:00:00"/>
        <groupItems count="14">
          <s v="&lt;04-07-1996"/>
          <s v="Jan"/>
          <s v="Feb"/>
          <s v="Mar"/>
          <s v="Apr"/>
          <s v="May"/>
          <s v="Jun"/>
          <s v="Jul"/>
          <s v="Aug"/>
          <s v="Sep"/>
          <s v="Oct"/>
          <s v="Nov"/>
          <s v="Dec"/>
          <s v="&gt;07-05-1998"/>
        </groupItems>
      </fieldGroup>
    </cacheField>
    <cacheField name="Quarters (OrderDate)" numFmtId="0" databaseField="0">
      <fieldGroup base="3">
        <rangePr groupBy="quarters" startDate="1996-07-04T00:00:00" endDate="1998-05-07T00:00:00"/>
        <groupItems count="6">
          <s v="&lt;04-07-1996"/>
          <s v="Qtr1"/>
          <s v="Qtr2"/>
          <s v="Qtr3"/>
          <s v="Qtr4"/>
          <s v="&gt;07-05-1998"/>
        </groupItems>
      </fieldGroup>
    </cacheField>
    <cacheField name="Years (OrderDate)" numFmtId="0" databaseField="0">
      <fieldGroup base="3">
        <rangePr groupBy="years" startDate="1996-07-04T00:00:00" endDate="1998-05-07T00:00:00"/>
        <groupItems count="5">
          <s v="&lt;04-07-1996"/>
          <s v="1996"/>
          <s v="1997"/>
          <s v="1998"/>
          <s v="&gt;07-05-1998"/>
        </groupItems>
      </fieldGroup>
    </cacheField>
  </cacheFields>
  <extLst>
    <ext xmlns:x14="http://schemas.microsoft.com/office/spreadsheetml/2009/9/main" uri="{725AE2AE-9491-48be-B2B4-4EB974FC3084}">
      <x14:pivotCacheDefinition pivotCacheId="110269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s v="VINET"/>
    <n v="5"/>
    <x v="0"/>
    <s v="Buchanan Steven"/>
    <n v="3"/>
    <x v="0"/>
    <s v="02903"/>
    <n v="5"/>
    <n v="1"/>
    <x v="0"/>
    <n v="11"/>
    <s v="Queso Cabrales"/>
    <n v="4"/>
    <x v="0"/>
    <n v="14"/>
    <n v="12"/>
    <n v="0"/>
    <n v="168"/>
    <n v="32.380000000000003"/>
  </r>
  <r>
    <n v="10249"/>
    <s v="TOMSP"/>
    <n v="6"/>
    <x v="1"/>
    <s v="Suyama Michael"/>
    <n v="1"/>
    <x v="1"/>
    <s v="85014"/>
    <n v="6"/>
    <n v="2"/>
    <x v="1"/>
    <n v="14"/>
    <s v="Tofu"/>
    <n v="7"/>
    <x v="1"/>
    <n v="18.600000000000001"/>
    <n v="9"/>
    <n v="0"/>
    <n v="167.4"/>
    <n v="11.61"/>
  </r>
  <r>
    <n v="10250"/>
    <s v="HANAR"/>
    <n v="4"/>
    <x v="2"/>
    <s v="Peacock Margaret"/>
    <n v="2"/>
    <x v="2"/>
    <s v="20852"/>
    <n v="4"/>
    <n v="1"/>
    <x v="0"/>
    <n v="41"/>
    <s v="Jack's New England Clam Chowder"/>
    <n v="8"/>
    <x v="2"/>
    <n v="7.7"/>
    <n v="10"/>
    <n v="0"/>
    <n v="77"/>
    <n v="65.83"/>
  </r>
  <r>
    <n v="10251"/>
    <s v="VICTE"/>
    <n v="3"/>
    <x v="2"/>
    <s v="Leverling Janet"/>
    <n v="1"/>
    <x v="1"/>
    <s v="30346"/>
    <n v="3"/>
    <n v="4"/>
    <x v="2"/>
    <n v="22"/>
    <s v="Gustaf's Knäckebröd"/>
    <n v="5"/>
    <x v="3"/>
    <n v="16.8"/>
    <n v="6"/>
    <n v="5.000000074505806E-2"/>
    <n v="95.759999924898153"/>
    <n v="41.34"/>
  </r>
  <r>
    <n v="10252"/>
    <s v="SUPRD"/>
    <n v="4"/>
    <x v="3"/>
    <s v="Peacock Margaret"/>
    <n v="2"/>
    <x v="2"/>
    <s v="20852"/>
    <n v="4"/>
    <n v="1"/>
    <x v="0"/>
    <n v="20"/>
    <s v="Sir Rodney's Marmalade"/>
    <n v="3"/>
    <x v="4"/>
    <n v="64.8"/>
    <n v="40"/>
    <n v="5.000000074505806E-2"/>
    <n v="2462.3999980688095"/>
    <n v="51.3"/>
  </r>
  <r>
    <n v="10253"/>
    <s v="HANAR"/>
    <n v="3"/>
    <x v="4"/>
    <s v="Leverling Janet"/>
    <n v="2"/>
    <x v="2"/>
    <s v="30346"/>
    <n v="3"/>
    <n v="4"/>
    <x v="2"/>
    <n v="31"/>
    <s v="Gorgonzola Telino"/>
    <n v="4"/>
    <x v="0"/>
    <n v="10"/>
    <n v="20"/>
    <n v="0"/>
    <n v="200"/>
    <n v="58.17"/>
  </r>
  <r>
    <n v="10254"/>
    <s v="CHOPS"/>
    <n v="5"/>
    <x v="5"/>
    <s v="Buchanan Steven"/>
    <n v="2"/>
    <x v="2"/>
    <s v="02903"/>
    <n v="5"/>
    <n v="1"/>
    <x v="0"/>
    <n v="24"/>
    <s v="Guaraná Fantástica"/>
    <n v="1"/>
    <x v="5"/>
    <n v="3.6"/>
    <n v="15"/>
    <n v="0.15000000596046448"/>
    <n v="45.899999678134918"/>
    <n v="22.98"/>
  </r>
  <r>
    <n v="10255"/>
    <s v="RICSU"/>
    <n v="9"/>
    <x v="6"/>
    <s v="Dodsworth Anne"/>
    <n v="3"/>
    <x v="0"/>
    <s v="03049"/>
    <n v="9"/>
    <n v="3"/>
    <x v="3"/>
    <n v="2"/>
    <s v="Chang"/>
    <n v="1"/>
    <x v="5"/>
    <n v="15.2"/>
    <n v="20"/>
    <n v="0"/>
    <n v="304"/>
    <n v="148.33000000000001"/>
  </r>
  <r>
    <n v="10256"/>
    <s v="WELLI"/>
    <n v="3"/>
    <x v="7"/>
    <s v="Leverling Janet"/>
    <n v="2"/>
    <x v="2"/>
    <s v="30346"/>
    <n v="3"/>
    <n v="4"/>
    <x v="2"/>
    <n v="53"/>
    <s v="Perth Pasties"/>
    <n v="6"/>
    <x v="6"/>
    <n v="26.2"/>
    <n v="15"/>
    <n v="0"/>
    <n v="393"/>
    <n v="13.97"/>
  </r>
  <r>
    <n v="10257"/>
    <s v="HILAA"/>
    <n v="4"/>
    <x v="8"/>
    <s v="Peacock Margaret"/>
    <n v="3"/>
    <x v="0"/>
    <s v="20852"/>
    <n v="4"/>
    <n v="1"/>
    <x v="0"/>
    <n v="27"/>
    <s v="Schoggi Schokolade"/>
    <n v="3"/>
    <x v="4"/>
    <n v="35.1"/>
    <n v="25"/>
    <n v="0"/>
    <n v="877.5"/>
    <n v="81.91"/>
  </r>
  <r>
    <n v="10258"/>
    <s v="ERNSH"/>
    <n v="1"/>
    <x v="9"/>
    <s v="Davolio Nancy"/>
    <n v="1"/>
    <x v="1"/>
    <s v="06897"/>
    <n v="1"/>
    <n v="1"/>
    <x v="0"/>
    <n v="2"/>
    <s v="Chang"/>
    <n v="1"/>
    <x v="5"/>
    <n v="15.2"/>
    <n v="50"/>
    <n v="0.20000000298023224"/>
    <n v="607.9999977350235"/>
    <n v="140.51"/>
  </r>
  <r>
    <n v="10259"/>
    <s v="CENTC"/>
    <n v="4"/>
    <x v="10"/>
    <s v="Peacock Margaret"/>
    <n v="3"/>
    <x v="0"/>
    <s v="20852"/>
    <n v="4"/>
    <n v="1"/>
    <x v="0"/>
    <n v="21"/>
    <s v="Sir Rodney's Scones"/>
    <n v="3"/>
    <x v="4"/>
    <n v="8"/>
    <n v="10"/>
    <n v="0"/>
    <n v="80"/>
    <n v="3.25"/>
  </r>
  <r>
    <n v="10260"/>
    <s v="OTTIK"/>
    <n v="4"/>
    <x v="11"/>
    <s v="Peacock Margaret"/>
    <n v="1"/>
    <x v="1"/>
    <s v="20852"/>
    <n v="4"/>
    <n v="1"/>
    <x v="0"/>
    <n v="41"/>
    <s v="Jack's New England Clam Chowder"/>
    <n v="8"/>
    <x v="2"/>
    <n v="7.7"/>
    <n v="16"/>
    <n v="0.25"/>
    <n v="92.4"/>
    <n v="55.09"/>
  </r>
  <r>
    <n v="10261"/>
    <s v="QUEDE"/>
    <n v="4"/>
    <x v="11"/>
    <s v="Peacock Margaret"/>
    <n v="2"/>
    <x v="2"/>
    <s v="20852"/>
    <n v="4"/>
    <n v="1"/>
    <x v="0"/>
    <n v="21"/>
    <s v="Sir Rodney's Scones"/>
    <n v="3"/>
    <x v="4"/>
    <n v="8"/>
    <n v="20"/>
    <n v="0"/>
    <n v="160"/>
    <n v="3.05"/>
  </r>
  <r>
    <n v="10262"/>
    <s v="RATTC"/>
    <n v="8"/>
    <x v="12"/>
    <s v="Callahan Laura"/>
    <n v="3"/>
    <x v="0"/>
    <s v="19428"/>
    <n v="8"/>
    <n v="3"/>
    <x v="3"/>
    <n v="5"/>
    <s v="Chef Anton's Gumbo Mix"/>
    <n v="2"/>
    <x v="7"/>
    <n v="17"/>
    <n v="12"/>
    <n v="0.20000000298023224"/>
    <n v="163.19999939203262"/>
    <n v="48.29"/>
  </r>
  <r>
    <n v="10263"/>
    <s v="ERNSH"/>
    <n v="9"/>
    <x v="13"/>
    <s v="Dodsworth Anne"/>
    <n v="3"/>
    <x v="0"/>
    <s v="03049"/>
    <n v="9"/>
    <n v="3"/>
    <x v="3"/>
    <n v="16"/>
    <s v="Pavlova"/>
    <n v="3"/>
    <x v="4"/>
    <n v="13.9"/>
    <n v="60"/>
    <n v="0.25"/>
    <n v="625.5"/>
    <n v="146.06"/>
  </r>
  <r>
    <n v="10264"/>
    <s v="FOLKO"/>
    <n v="6"/>
    <x v="14"/>
    <s v="Suyama Michael"/>
    <n v="3"/>
    <x v="0"/>
    <s v="85014"/>
    <n v="6"/>
    <n v="2"/>
    <x v="1"/>
    <n v="2"/>
    <s v="Chang"/>
    <n v="1"/>
    <x v="5"/>
    <n v="15.2"/>
    <n v="35"/>
    <n v="0"/>
    <n v="532"/>
    <n v="3.67"/>
  </r>
  <r>
    <n v="10265"/>
    <s v="BLONP"/>
    <n v="2"/>
    <x v="15"/>
    <s v="Fuller Andrew"/>
    <n v="1"/>
    <x v="1"/>
    <s v="01581"/>
    <n v="2"/>
    <n v="1"/>
    <x v="0"/>
    <n v="17"/>
    <s v="Alice Mutton"/>
    <n v="6"/>
    <x v="6"/>
    <n v="31.2"/>
    <n v="30"/>
    <n v="0"/>
    <n v="936"/>
    <n v="55.28"/>
  </r>
  <r>
    <n v="10266"/>
    <s v="WARTH"/>
    <n v="3"/>
    <x v="16"/>
    <s v="Leverling Janet"/>
    <n v="3"/>
    <x v="0"/>
    <s v="30346"/>
    <n v="3"/>
    <n v="4"/>
    <x v="2"/>
    <n v="12"/>
    <s v="Queso Manchego La Pastora"/>
    <n v="4"/>
    <x v="0"/>
    <n v="30.4"/>
    <n v="12"/>
    <n v="5.000000074505806E-2"/>
    <n v="346.5599997282028"/>
    <n v="25.73"/>
  </r>
  <r>
    <n v="10267"/>
    <s v="FRANK"/>
    <n v="4"/>
    <x v="17"/>
    <s v="Peacock Margaret"/>
    <n v="1"/>
    <x v="1"/>
    <s v="20852"/>
    <n v="4"/>
    <n v="1"/>
    <x v="0"/>
    <n v="40"/>
    <s v="Boston Crab Meat"/>
    <n v="8"/>
    <x v="2"/>
    <n v="14.7"/>
    <n v="50"/>
    <n v="0"/>
    <n v="735"/>
    <n v="208.58"/>
  </r>
  <r>
    <n v="10268"/>
    <s v="GROSR"/>
    <n v="8"/>
    <x v="18"/>
    <s v="Callahan Laura"/>
    <n v="3"/>
    <x v="0"/>
    <s v="19428"/>
    <n v="8"/>
    <n v="3"/>
    <x v="3"/>
    <n v="29"/>
    <s v="Thüringer Rostbratwurst"/>
    <n v="6"/>
    <x v="6"/>
    <n v="99"/>
    <n v="10"/>
    <n v="0"/>
    <n v="990"/>
    <n v="66.290000000000006"/>
  </r>
  <r>
    <n v="10269"/>
    <s v="WHITC"/>
    <n v="5"/>
    <x v="19"/>
    <s v="Buchanan Steven"/>
    <n v="1"/>
    <x v="1"/>
    <s v="02903"/>
    <n v="5"/>
    <n v="1"/>
    <x v="0"/>
    <n v="33"/>
    <s v="Geitost"/>
    <n v="4"/>
    <x v="0"/>
    <n v="2"/>
    <n v="60"/>
    <n v="5.000000074505806E-2"/>
    <n v="113.99999991059303"/>
    <n v="4.5599999999999996"/>
  </r>
  <r>
    <n v="10270"/>
    <s v="WARTH"/>
    <n v="1"/>
    <x v="20"/>
    <s v="Davolio Nancy"/>
    <n v="1"/>
    <x v="1"/>
    <s v="06897"/>
    <n v="1"/>
    <n v="1"/>
    <x v="0"/>
    <n v="36"/>
    <s v="Inlagd Sill"/>
    <n v="8"/>
    <x v="2"/>
    <n v="15.2"/>
    <n v="30"/>
    <n v="0"/>
    <n v="456"/>
    <n v="136.54"/>
  </r>
  <r>
    <n v="10271"/>
    <s v="SPLIR"/>
    <n v="6"/>
    <x v="20"/>
    <s v="Suyama Michael"/>
    <n v="2"/>
    <x v="2"/>
    <s v="85014"/>
    <n v="6"/>
    <n v="2"/>
    <x v="1"/>
    <n v="33"/>
    <s v="Geitost"/>
    <n v="4"/>
    <x v="0"/>
    <n v="2"/>
    <n v="24"/>
    <n v="0"/>
    <n v="48"/>
    <n v="4.54"/>
  </r>
  <r>
    <n v="10272"/>
    <s v="RATTC"/>
    <n v="6"/>
    <x v="21"/>
    <s v="Suyama Michael"/>
    <n v="2"/>
    <x v="2"/>
    <s v="85014"/>
    <n v="6"/>
    <n v="2"/>
    <x v="1"/>
    <n v="20"/>
    <s v="Sir Rodney's Marmalade"/>
    <n v="3"/>
    <x v="4"/>
    <n v="64.8"/>
    <n v="6"/>
    <n v="0"/>
    <n v="388.79999999999995"/>
    <n v="98.03"/>
  </r>
  <r>
    <n v="10273"/>
    <s v="QUICK"/>
    <n v="3"/>
    <x v="22"/>
    <s v="Leverling Janet"/>
    <n v="3"/>
    <x v="0"/>
    <s v="30346"/>
    <n v="3"/>
    <n v="4"/>
    <x v="2"/>
    <n v="10"/>
    <s v="Ikura"/>
    <n v="8"/>
    <x v="2"/>
    <n v="24.8"/>
    <n v="24"/>
    <n v="5.000000074505806E-2"/>
    <n v="565.43999955654147"/>
    <n v="76.069999999999993"/>
  </r>
  <r>
    <n v="10274"/>
    <s v="VINET"/>
    <n v="6"/>
    <x v="23"/>
    <s v="Suyama Michael"/>
    <n v="1"/>
    <x v="1"/>
    <s v="85014"/>
    <n v="6"/>
    <n v="2"/>
    <x v="1"/>
    <n v="71"/>
    <s v="Flotemysost"/>
    <n v="4"/>
    <x v="0"/>
    <n v="17.2"/>
    <n v="20"/>
    <n v="0"/>
    <n v="344"/>
    <n v="6.01"/>
  </r>
  <r>
    <n v="10275"/>
    <s v="MAGAA"/>
    <n v="1"/>
    <x v="24"/>
    <s v="Davolio Nancy"/>
    <n v="1"/>
    <x v="1"/>
    <s v="06897"/>
    <n v="1"/>
    <n v="1"/>
    <x v="0"/>
    <n v="24"/>
    <s v="Guaraná Fantástica"/>
    <n v="1"/>
    <x v="5"/>
    <n v="3.6"/>
    <n v="12"/>
    <n v="5.000000074505806E-2"/>
    <n v="41.039999967813493"/>
    <n v="26.93"/>
  </r>
  <r>
    <n v="10276"/>
    <s v="TORTU"/>
    <n v="8"/>
    <x v="25"/>
    <s v="Callahan Laura"/>
    <n v="3"/>
    <x v="0"/>
    <s v="19428"/>
    <n v="8"/>
    <n v="3"/>
    <x v="3"/>
    <n v="10"/>
    <s v="Ikura"/>
    <n v="8"/>
    <x v="2"/>
    <n v="24.8"/>
    <n v="15"/>
    <n v="0"/>
    <n v="372"/>
    <n v="13.84"/>
  </r>
  <r>
    <n v="10277"/>
    <s v="MORGK"/>
    <n v="2"/>
    <x v="26"/>
    <s v="Fuller Andrew"/>
    <n v="3"/>
    <x v="0"/>
    <s v="01581"/>
    <n v="2"/>
    <n v="1"/>
    <x v="0"/>
    <n v="28"/>
    <s v="Rössle Sauerkraut"/>
    <n v="7"/>
    <x v="1"/>
    <n v="36.4"/>
    <n v="20"/>
    <n v="0"/>
    <n v="728"/>
    <n v="125.77"/>
  </r>
  <r>
    <n v="10278"/>
    <s v="BERGS"/>
    <n v="8"/>
    <x v="27"/>
    <s v="Callahan Laura"/>
    <n v="2"/>
    <x v="2"/>
    <s v="19428"/>
    <n v="8"/>
    <n v="3"/>
    <x v="3"/>
    <n v="44"/>
    <s v="Gula Malacca"/>
    <n v="2"/>
    <x v="7"/>
    <n v="15.5"/>
    <n v="16"/>
    <n v="0"/>
    <n v="248"/>
    <n v="92.69"/>
  </r>
  <r>
    <n v="10279"/>
    <s v="LEHMS"/>
    <n v="8"/>
    <x v="28"/>
    <s v="Callahan Laura"/>
    <n v="2"/>
    <x v="2"/>
    <s v="19428"/>
    <n v="8"/>
    <n v="3"/>
    <x v="3"/>
    <n v="17"/>
    <s v="Alice Mutton"/>
    <n v="6"/>
    <x v="6"/>
    <n v="31.2"/>
    <n v="15"/>
    <n v="0.25"/>
    <n v="351"/>
    <n v="25.83"/>
  </r>
  <r>
    <n v="10280"/>
    <s v="BERGS"/>
    <n v="2"/>
    <x v="29"/>
    <s v="Fuller Andrew"/>
    <n v="1"/>
    <x v="1"/>
    <s v="01581"/>
    <n v="2"/>
    <n v="1"/>
    <x v="0"/>
    <n v="24"/>
    <s v="Guaraná Fantástica"/>
    <n v="1"/>
    <x v="5"/>
    <n v="3.6"/>
    <n v="12"/>
    <n v="0"/>
    <n v="43.2"/>
    <n v="8.98"/>
  </r>
  <r>
    <n v="10281"/>
    <s v="ROMEY"/>
    <n v="4"/>
    <x v="29"/>
    <s v="Peacock Margaret"/>
    <n v="1"/>
    <x v="1"/>
    <s v="20852"/>
    <n v="4"/>
    <n v="1"/>
    <x v="0"/>
    <n v="19"/>
    <s v="Teatime Chocolate Biscuits"/>
    <n v="3"/>
    <x v="4"/>
    <n v="7.3"/>
    <n v="1"/>
    <n v="0"/>
    <n v="7.3"/>
    <n v="2.94"/>
  </r>
  <r>
    <n v="10282"/>
    <s v="ROMEY"/>
    <n v="4"/>
    <x v="30"/>
    <s v="Peacock Margaret"/>
    <n v="1"/>
    <x v="1"/>
    <s v="20852"/>
    <n v="4"/>
    <n v="1"/>
    <x v="0"/>
    <n v="30"/>
    <s v="Nord-Ost Matjeshering"/>
    <n v="8"/>
    <x v="2"/>
    <n v="20.7"/>
    <n v="6"/>
    <n v="0"/>
    <n v="124.19999999999999"/>
    <n v="12.69"/>
  </r>
  <r>
    <n v="10283"/>
    <s v="LILAS"/>
    <n v="3"/>
    <x v="31"/>
    <s v="Leverling Janet"/>
    <n v="3"/>
    <x v="0"/>
    <s v="30346"/>
    <n v="3"/>
    <n v="4"/>
    <x v="2"/>
    <n v="15"/>
    <s v="Genen Shouyu"/>
    <n v="2"/>
    <x v="7"/>
    <n v="12.4"/>
    <n v="20"/>
    <n v="0"/>
    <n v="248"/>
    <n v="84.81"/>
  </r>
  <r>
    <n v="10284"/>
    <s v="LEHMS"/>
    <n v="4"/>
    <x v="32"/>
    <s v="Peacock Margaret"/>
    <n v="1"/>
    <x v="1"/>
    <s v="20852"/>
    <n v="4"/>
    <n v="1"/>
    <x v="0"/>
    <n v="27"/>
    <s v="Schoggi Schokolade"/>
    <n v="3"/>
    <x v="4"/>
    <n v="35.1"/>
    <n v="15"/>
    <n v="0.25"/>
    <n v="394.875"/>
    <n v="76.56"/>
  </r>
  <r>
    <n v="10285"/>
    <s v="QUICK"/>
    <n v="1"/>
    <x v="33"/>
    <s v="Davolio Nancy"/>
    <n v="2"/>
    <x v="2"/>
    <s v="06897"/>
    <n v="1"/>
    <n v="1"/>
    <x v="0"/>
    <n v="1"/>
    <s v="Chai"/>
    <n v="1"/>
    <x v="5"/>
    <n v="14.4"/>
    <n v="45"/>
    <n v="0.20000000298023224"/>
    <n v="518.39999806880951"/>
    <n v="76.83"/>
  </r>
  <r>
    <n v="10286"/>
    <s v="QUICK"/>
    <n v="8"/>
    <x v="34"/>
    <s v="Callahan Laura"/>
    <n v="3"/>
    <x v="0"/>
    <s v="19428"/>
    <n v="8"/>
    <n v="3"/>
    <x v="3"/>
    <n v="35"/>
    <s v="Steeleye Stout"/>
    <n v="1"/>
    <x v="5"/>
    <n v="14.4"/>
    <n v="100"/>
    <n v="0"/>
    <n v="1440"/>
    <n v="229.24"/>
  </r>
  <r>
    <n v="10287"/>
    <s v="RICAR"/>
    <n v="8"/>
    <x v="35"/>
    <s v="Callahan Laura"/>
    <n v="3"/>
    <x v="0"/>
    <s v="19428"/>
    <n v="8"/>
    <n v="3"/>
    <x v="3"/>
    <n v="16"/>
    <s v="Pavlova"/>
    <n v="3"/>
    <x v="4"/>
    <n v="13.9"/>
    <n v="40"/>
    <n v="0.15000000596046448"/>
    <n v="472.59999668598175"/>
    <n v="12.76"/>
  </r>
  <r>
    <n v="10288"/>
    <s v="REGGC"/>
    <n v="4"/>
    <x v="36"/>
    <s v="Peacock Margaret"/>
    <n v="1"/>
    <x v="1"/>
    <s v="20852"/>
    <n v="4"/>
    <n v="1"/>
    <x v="0"/>
    <n v="54"/>
    <s v="Tourtière"/>
    <n v="6"/>
    <x v="6"/>
    <n v="5.9"/>
    <n v="10"/>
    <n v="0.10000000149011612"/>
    <n v="53.099999912083149"/>
    <n v="7.45"/>
  </r>
  <r>
    <n v="10289"/>
    <s v="BSBEV"/>
    <n v="7"/>
    <x v="37"/>
    <s v="King Robert"/>
    <n v="3"/>
    <x v="0"/>
    <s v="60179"/>
    <n v="7"/>
    <n v="2"/>
    <x v="1"/>
    <n v="3"/>
    <s v="Aniseed Syrup"/>
    <n v="2"/>
    <x v="7"/>
    <n v="8"/>
    <n v="30"/>
    <n v="0"/>
    <n v="240"/>
    <n v="22.77"/>
  </r>
  <r>
    <n v="10290"/>
    <s v="COMMI"/>
    <n v="8"/>
    <x v="38"/>
    <s v="Callahan Laura"/>
    <n v="1"/>
    <x v="1"/>
    <s v="19428"/>
    <n v="8"/>
    <n v="3"/>
    <x v="3"/>
    <n v="5"/>
    <s v="Chef Anton's Gumbo Mix"/>
    <n v="2"/>
    <x v="7"/>
    <n v="17"/>
    <n v="20"/>
    <n v="0"/>
    <n v="340"/>
    <n v="79.7"/>
  </r>
  <r>
    <n v="10291"/>
    <s v="QUEDE"/>
    <n v="6"/>
    <x v="38"/>
    <s v="Suyama Michael"/>
    <n v="2"/>
    <x v="2"/>
    <s v="85014"/>
    <n v="6"/>
    <n v="2"/>
    <x v="1"/>
    <n v="13"/>
    <s v="Konbu"/>
    <n v="8"/>
    <x v="2"/>
    <n v="4.8"/>
    <n v="20"/>
    <n v="0.10000000149011612"/>
    <n v="86.399999856948853"/>
    <n v="6.4"/>
  </r>
  <r>
    <n v="10292"/>
    <s v="TRADH"/>
    <n v="1"/>
    <x v="39"/>
    <s v="Davolio Nancy"/>
    <n v="2"/>
    <x v="2"/>
    <s v="06897"/>
    <n v="1"/>
    <n v="1"/>
    <x v="0"/>
    <n v="20"/>
    <s v="Sir Rodney's Marmalade"/>
    <n v="3"/>
    <x v="4"/>
    <n v="64.8"/>
    <n v="20"/>
    <n v="0"/>
    <n v="1296"/>
    <n v="1.35"/>
  </r>
  <r>
    <n v="10293"/>
    <s v="TORTU"/>
    <n v="1"/>
    <x v="40"/>
    <s v="Davolio Nancy"/>
    <n v="3"/>
    <x v="0"/>
    <s v="06897"/>
    <n v="1"/>
    <n v="1"/>
    <x v="0"/>
    <n v="18"/>
    <s v="Carnarvon Tigers"/>
    <n v="8"/>
    <x v="2"/>
    <n v="50"/>
    <n v="12"/>
    <n v="0"/>
    <n v="600"/>
    <n v="21.18"/>
  </r>
  <r>
    <n v="10294"/>
    <s v="RATTC"/>
    <n v="4"/>
    <x v="41"/>
    <s v="Peacock Margaret"/>
    <n v="2"/>
    <x v="2"/>
    <s v="20852"/>
    <n v="4"/>
    <n v="1"/>
    <x v="0"/>
    <n v="1"/>
    <s v="Chai"/>
    <n v="1"/>
    <x v="5"/>
    <n v="14.4"/>
    <n v="18"/>
    <n v="0"/>
    <n v="259.2"/>
    <n v="147.26"/>
  </r>
  <r>
    <n v="10295"/>
    <s v="VINET"/>
    <n v="2"/>
    <x v="42"/>
    <s v="Fuller Andrew"/>
    <n v="2"/>
    <x v="2"/>
    <s v="01581"/>
    <n v="2"/>
    <n v="1"/>
    <x v="0"/>
    <n v="56"/>
    <s v="Gnocchi di nonna Alice"/>
    <n v="5"/>
    <x v="3"/>
    <n v="30.4"/>
    <n v="4"/>
    <n v="0"/>
    <n v="121.6"/>
    <n v="1.1499999999999999"/>
  </r>
  <r>
    <n v="10296"/>
    <s v="LILAS"/>
    <n v="6"/>
    <x v="43"/>
    <s v="Suyama Michael"/>
    <n v="1"/>
    <x v="1"/>
    <s v="85014"/>
    <n v="6"/>
    <n v="2"/>
    <x v="1"/>
    <n v="11"/>
    <s v="Queso Cabrales"/>
    <n v="4"/>
    <x v="0"/>
    <n v="16.8"/>
    <n v="12"/>
    <n v="0"/>
    <n v="201.60000000000002"/>
    <n v="0.12"/>
  </r>
  <r>
    <n v="10297"/>
    <s v="BLONP"/>
    <n v="5"/>
    <x v="44"/>
    <s v="Buchanan Steven"/>
    <n v="2"/>
    <x v="2"/>
    <s v="02903"/>
    <n v="5"/>
    <n v="1"/>
    <x v="0"/>
    <n v="39"/>
    <s v="Chartreuse verte"/>
    <n v="1"/>
    <x v="5"/>
    <n v="14.4"/>
    <n v="60"/>
    <n v="0"/>
    <n v="864"/>
    <n v="5.74"/>
  </r>
  <r>
    <n v="10298"/>
    <s v="HUNGO"/>
    <n v="6"/>
    <x v="45"/>
    <s v="Suyama Michael"/>
    <n v="2"/>
    <x v="2"/>
    <s v="85014"/>
    <n v="6"/>
    <n v="2"/>
    <x v="1"/>
    <n v="2"/>
    <s v="Chang"/>
    <n v="1"/>
    <x v="5"/>
    <n v="15.2"/>
    <n v="40"/>
    <n v="0"/>
    <n v="608"/>
    <n v="168.22"/>
  </r>
  <r>
    <n v="10299"/>
    <s v="RICAR"/>
    <n v="4"/>
    <x v="46"/>
    <s v="Peacock Margaret"/>
    <n v="2"/>
    <x v="2"/>
    <s v="20852"/>
    <n v="4"/>
    <n v="1"/>
    <x v="0"/>
    <n v="19"/>
    <s v="Teatime Chocolate Biscuits"/>
    <n v="3"/>
    <x v="4"/>
    <n v="7.3"/>
    <n v="15"/>
    <n v="0"/>
    <n v="109.5"/>
    <n v="29.76"/>
  </r>
  <r>
    <n v="10300"/>
    <s v="MAGAA"/>
    <n v="2"/>
    <x v="47"/>
    <s v="Fuller Andrew"/>
    <n v="2"/>
    <x v="2"/>
    <s v="01581"/>
    <n v="2"/>
    <n v="1"/>
    <x v="0"/>
    <n v="66"/>
    <s v="Louisiana Hot Spiced Okra"/>
    <n v="2"/>
    <x v="7"/>
    <n v="13.6"/>
    <n v="30"/>
    <n v="0"/>
    <n v="408"/>
    <n v="17.68"/>
  </r>
  <r>
    <n v="10301"/>
    <s v="WANDK"/>
    <n v="8"/>
    <x v="47"/>
    <s v="Callahan Laura"/>
    <n v="2"/>
    <x v="2"/>
    <s v="19428"/>
    <n v="8"/>
    <n v="3"/>
    <x v="3"/>
    <n v="40"/>
    <s v="Boston Crab Meat"/>
    <n v="8"/>
    <x v="2"/>
    <n v="14.7"/>
    <n v="10"/>
    <n v="0"/>
    <n v="147"/>
    <n v="45.08"/>
  </r>
  <r>
    <n v="10302"/>
    <s v="SUPRD"/>
    <n v="4"/>
    <x v="48"/>
    <s v="Peacock Margaret"/>
    <n v="2"/>
    <x v="2"/>
    <s v="20852"/>
    <n v="4"/>
    <n v="1"/>
    <x v="0"/>
    <n v="17"/>
    <s v="Alice Mutton"/>
    <n v="6"/>
    <x v="6"/>
    <n v="31.2"/>
    <n v="40"/>
    <n v="0"/>
    <n v="1248"/>
    <n v="6.27"/>
  </r>
  <r>
    <n v="10303"/>
    <s v="GODOS"/>
    <n v="7"/>
    <x v="49"/>
    <s v="King Robert"/>
    <n v="2"/>
    <x v="2"/>
    <s v="60179"/>
    <n v="7"/>
    <n v="2"/>
    <x v="1"/>
    <n v="40"/>
    <s v="Boston Crab Meat"/>
    <n v="8"/>
    <x v="2"/>
    <n v="14.7"/>
    <n v="40"/>
    <n v="0.10000000149011612"/>
    <n v="529.19999912381172"/>
    <n v="107.83"/>
  </r>
  <r>
    <n v="10304"/>
    <s v="TORTU"/>
    <n v="1"/>
    <x v="50"/>
    <s v="Davolio Nancy"/>
    <n v="2"/>
    <x v="2"/>
    <s v="06897"/>
    <n v="1"/>
    <n v="1"/>
    <x v="0"/>
    <n v="49"/>
    <s v="Maxilaku"/>
    <n v="3"/>
    <x v="4"/>
    <n v="16"/>
    <n v="30"/>
    <n v="0"/>
    <n v="480"/>
    <n v="63.79"/>
  </r>
  <r>
    <n v="10305"/>
    <s v="OLDWO"/>
    <n v="8"/>
    <x v="51"/>
    <s v="Callahan Laura"/>
    <n v="3"/>
    <x v="0"/>
    <s v="19428"/>
    <n v="8"/>
    <n v="3"/>
    <x v="3"/>
    <n v="18"/>
    <s v="Carnarvon Tigers"/>
    <n v="8"/>
    <x v="2"/>
    <n v="50"/>
    <n v="25"/>
    <n v="0.10000000149011612"/>
    <n v="1124.9999981373549"/>
    <n v="257.62"/>
  </r>
  <r>
    <n v="10306"/>
    <s v="ROMEY"/>
    <n v="1"/>
    <x v="52"/>
    <s v="Davolio Nancy"/>
    <n v="3"/>
    <x v="0"/>
    <s v="06897"/>
    <n v="1"/>
    <n v="1"/>
    <x v="0"/>
    <n v="30"/>
    <s v="Nord-Ost Matjeshering"/>
    <n v="8"/>
    <x v="2"/>
    <n v="20.7"/>
    <n v="10"/>
    <n v="0"/>
    <n v="207"/>
    <n v="7.56"/>
  </r>
  <r>
    <n v="10307"/>
    <s v="LONEP"/>
    <n v="2"/>
    <x v="53"/>
    <s v="Fuller Andrew"/>
    <n v="2"/>
    <x v="2"/>
    <s v="01581"/>
    <n v="2"/>
    <n v="1"/>
    <x v="0"/>
    <n v="62"/>
    <s v="Tarte au sucre"/>
    <n v="3"/>
    <x v="4"/>
    <n v="39.4"/>
    <n v="10"/>
    <n v="0"/>
    <n v="394"/>
    <n v="0.56000000000000005"/>
  </r>
  <r>
    <n v="10308"/>
    <s v="ANATR"/>
    <n v="7"/>
    <x v="54"/>
    <s v="King Robert"/>
    <n v="3"/>
    <x v="0"/>
    <s v="60179"/>
    <n v="7"/>
    <n v="2"/>
    <x v="1"/>
    <n v="69"/>
    <s v="Gudbrandsdalsost"/>
    <n v="4"/>
    <x v="0"/>
    <n v="28.8"/>
    <n v="1"/>
    <n v="0"/>
    <n v="28.8"/>
    <n v="1.61"/>
  </r>
  <r>
    <n v="10309"/>
    <s v="HUNGO"/>
    <n v="3"/>
    <x v="55"/>
    <s v="Leverling Janet"/>
    <n v="1"/>
    <x v="1"/>
    <s v="30346"/>
    <n v="3"/>
    <n v="4"/>
    <x v="2"/>
    <n v="4"/>
    <s v="Chef Anton's Cajun Seasoning"/>
    <n v="2"/>
    <x v="7"/>
    <n v="17.600000000000001"/>
    <n v="20"/>
    <n v="0"/>
    <n v="352"/>
    <n v="47.3"/>
  </r>
  <r>
    <n v="10310"/>
    <s v="THEBI"/>
    <n v="8"/>
    <x v="56"/>
    <s v="Callahan Laura"/>
    <n v="2"/>
    <x v="2"/>
    <s v="19428"/>
    <n v="8"/>
    <n v="3"/>
    <x v="3"/>
    <n v="16"/>
    <s v="Pavlova"/>
    <n v="3"/>
    <x v="4"/>
    <n v="13.9"/>
    <n v="10"/>
    <n v="0"/>
    <n v="139"/>
    <n v="17.52"/>
  </r>
  <r>
    <n v="10311"/>
    <s v="DUMON"/>
    <n v="1"/>
    <x v="56"/>
    <s v="Davolio Nancy"/>
    <n v="3"/>
    <x v="0"/>
    <s v="06897"/>
    <n v="1"/>
    <n v="1"/>
    <x v="0"/>
    <n v="42"/>
    <s v="Singaporean Hokkien Fried Mee"/>
    <n v="5"/>
    <x v="3"/>
    <n v="11.2"/>
    <n v="6"/>
    <n v="0"/>
    <n v="67.199999999999989"/>
    <n v="24.69"/>
  </r>
  <r>
    <n v="10312"/>
    <s v="WANDK"/>
    <n v="2"/>
    <x v="57"/>
    <s v="Fuller Andrew"/>
    <n v="2"/>
    <x v="2"/>
    <s v="01581"/>
    <n v="2"/>
    <n v="1"/>
    <x v="0"/>
    <n v="28"/>
    <s v="Rössle Sauerkraut"/>
    <n v="7"/>
    <x v="1"/>
    <n v="36.4"/>
    <n v="4"/>
    <n v="0"/>
    <n v="145.6"/>
    <n v="40.26"/>
  </r>
  <r>
    <n v="10313"/>
    <s v="QUICK"/>
    <n v="2"/>
    <x v="58"/>
    <s v="Fuller Andrew"/>
    <n v="2"/>
    <x v="2"/>
    <s v="01581"/>
    <n v="2"/>
    <n v="1"/>
    <x v="0"/>
    <n v="36"/>
    <s v="Inlagd Sill"/>
    <n v="8"/>
    <x v="2"/>
    <n v="15.2"/>
    <n v="12"/>
    <n v="0"/>
    <n v="182.39999999999998"/>
    <n v="1.96"/>
  </r>
  <r>
    <n v="10314"/>
    <s v="RATTC"/>
    <n v="1"/>
    <x v="59"/>
    <s v="Davolio Nancy"/>
    <n v="2"/>
    <x v="2"/>
    <s v="06897"/>
    <n v="1"/>
    <n v="1"/>
    <x v="0"/>
    <n v="32"/>
    <s v="Mascarpone Fabioli"/>
    <n v="4"/>
    <x v="0"/>
    <n v="25.6"/>
    <n v="40"/>
    <n v="0.10000000149011612"/>
    <n v="921.59999847412109"/>
    <n v="74.16"/>
  </r>
  <r>
    <n v="10315"/>
    <s v="ISLAT"/>
    <n v="4"/>
    <x v="60"/>
    <s v="Peacock Margaret"/>
    <n v="2"/>
    <x v="2"/>
    <s v="20852"/>
    <n v="4"/>
    <n v="1"/>
    <x v="0"/>
    <n v="34"/>
    <s v="Sasquatch Ale"/>
    <n v="1"/>
    <x v="5"/>
    <n v="11.2"/>
    <n v="14"/>
    <n v="0"/>
    <n v="156.79999999999998"/>
    <n v="41.76"/>
  </r>
  <r>
    <n v="10316"/>
    <s v="RATTC"/>
    <n v="1"/>
    <x v="61"/>
    <s v="Davolio Nancy"/>
    <n v="3"/>
    <x v="0"/>
    <s v="06897"/>
    <n v="1"/>
    <n v="1"/>
    <x v="0"/>
    <n v="41"/>
    <s v="Jack's New England Clam Chowder"/>
    <n v="8"/>
    <x v="2"/>
    <n v="7.7"/>
    <n v="10"/>
    <n v="0"/>
    <n v="77"/>
    <n v="150.15"/>
  </r>
  <r>
    <n v="10317"/>
    <s v="LONEP"/>
    <n v="6"/>
    <x v="62"/>
    <s v="Suyama Michael"/>
    <n v="1"/>
    <x v="1"/>
    <s v="85014"/>
    <n v="6"/>
    <n v="2"/>
    <x v="1"/>
    <n v="1"/>
    <s v="Chai"/>
    <n v="1"/>
    <x v="5"/>
    <n v="14.4"/>
    <n v="20"/>
    <n v="0"/>
    <n v="288"/>
    <n v="12.69"/>
  </r>
  <r>
    <n v="10318"/>
    <s v="ISLAT"/>
    <n v="8"/>
    <x v="63"/>
    <s v="Callahan Laura"/>
    <n v="2"/>
    <x v="2"/>
    <s v="19428"/>
    <n v="8"/>
    <n v="3"/>
    <x v="3"/>
    <n v="41"/>
    <s v="Jack's New England Clam Chowder"/>
    <n v="8"/>
    <x v="2"/>
    <n v="7.7"/>
    <n v="20"/>
    <n v="0"/>
    <n v="154"/>
    <n v="4.7300000000000004"/>
  </r>
  <r>
    <n v="10319"/>
    <s v="TORTU"/>
    <n v="7"/>
    <x v="64"/>
    <s v="King Robert"/>
    <n v="3"/>
    <x v="0"/>
    <s v="60179"/>
    <n v="7"/>
    <n v="2"/>
    <x v="1"/>
    <n v="17"/>
    <s v="Alice Mutton"/>
    <n v="6"/>
    <x v="6"/>
    <n v="31.2"/>
    <n v="8"/>
    <n v="0"/>
    <n v="249.6"/>
    <n v="64.5"/>
  </r>
  <r>
    <n v="10320"/>
    <s v="WARTH"/>
    <n v="5"/>
    <x v="65"/>
    <s v="Buchanan Steven"/>
    <n v="3"/>
    <x v="0"/>
    <s v="02903"/>
    <n v="5"/>
    <n v="1"/>
    <x v="0"/>
    <n v="71"/>
    <s v="Flotemysost"/>
    <n v="4"/>
    <x v="0"/>
    <n v="17.2"/>
    <n v="30"/>
    <n v="0"/>
    <n v="516"/>
    <n v="34.57"/>
  </r>
  <r>
    <n v="10321"/>
    <s v="ISLAT"/>
    <n v="3"/>
    <x v="65"/>
    <s v="Leverling Janet"/>
    <n v="2"/>
    <x v="2"/>
    <s v="30346"/>
    <n v="3"/>
    <n v="4"/>
    <x v="2"/>
    <n v="35"/>
    <s v="Steeleye Stout"/>
    <n v="1"/>
    <x v="5"/>
    <n v="14.4"/>
    <n v="10"/>
    <n v="0"/>
    <n v="144"/>
    <n v="3.43"/>
  </r>
  <r>
    <n v="10322"/>
    <s v="PERIC"/>
    <n v="7"/>
    <x v="66"/>
    <s v="King Robert"/>
    <n v="3"/>
    <x v="0"/>
    <s v="60179"/>
    <n v="7"/>
    <n v="2"/>
    <x v="1"/>
    <n v="52"/>
    <s v="Filo Mix"/>
    <n v="5"/>
    <x v="3"/>
    <n v="5.6"/>
    <n v="20"/>
    <n v="0"/>
    <n v="112"/>
    <n v="0.4"/>
  </r>
  <r>
    <n v="10323"/>
    <s v="KOENE"/>
    <n v="4"/>
    <x v="67"/>
    <s v="Peacock Margaret"/>
    <n v="1"/>
    <x v="1"/>
    <s v="20852"/>
    <n v="4"/>
    <n v="1"/>
    <x v="0"/>
    <n v="15"/>
    <s v="Genen Shouyu"/>
    <n v="2"/>
    <x v="7"/>
    <n v="12.4"/>
    <n v="5"/>
    <n v="0"/>
    <n v="62"/>
    <n v="4.88"/>
  </r>
  <r>
    <n v="10324"/>
    <s v="SAVEA"/>
    <n v="9"/>
    <x v="68"/>
    <s v="Dodsworth Anne"/>
    <n v="1"/>
    <x v="1"/>
    <s v="03049"/>
    <n v="9"/>
    <n v="3"/>
    <x v="3"/>
    <n v="16"/>
    <s v="Pavlova"/>
    <n v="3"/>
    <x v="4"/>
    <n v="13.9"/>
    <n v="21"/>
    <n v="0.15000000596046448"/>
    <n v="248.11499826014045"/>
    <n v="214.27"/>
  </r>
  <r>
    <n v="10325"/>
    <s v="KOENE"/>
    <n v="1"/>
    <x v="69"/>
    <s v="Davolio Nancy"/>
    <n v="3"/>
    <x v="0"/>
    <s v="06897"/>
    <n v="1"/>
    <n v="1"/>
    <x v="0"/>
    <n v="6"/>
    <s v="Grandma's Boysenberry Spread"/>
    <n v="2"/>
    <x v="7"/>
    <n v="20"/>
    <n v="6"/>
    <n v="0"/>
    <n v="120"/>
    <n v="64.86"/>
  </r>
  <r>
    <n v="10326"/>
    <s v="BOLID"/>
    <n v="4"/>
    <x v="70"/>
    <s v="Peacock Margaret"/>
    <n v="2"/>
    <x v="2"/>
    <s v="20852"/>
    <n v="4"/>
    <n v="1"/>
    <x v="0"/>
    <n v="4"/>
    <s v="Chef Anton's Cajun Seasoning"/>
    <n v="2"/>
    <x v="7"/>
    <n v="17.600000000000001"/>
    <n v="24"/>
    <n v="0"/>
    <n v="422.40000000000003"/>
    <n v="77.92"/>
  </r>
  <r>
    <n v="10327"/>
    <s v="FOLKO"/>
    <n v="2"/>
    <x v="71"/>
    <s v="Fuller Andrew"/>
    <n v="1"/>
    <x v="1"/>
    <s v="01581"/>
    <n v="2"/>
    <n v="1"/>
    <x v="0"/>
    <n v="2"/>
    <s v="Chang"/>
    <n v="1"/>
    <x v="5"/>
    <n v="15.2"/>
    <n v="25"/>
    <n v="0.20000000298023224"/>
    <n v="303.99999886751175"/>
    <n v="63.36"/>
  </r>
  <r>
    <n v="10328"/>
    <s v="FURIB"/>
    <n v="4"/>
    <x v="72"/>
    <s v="Peacock Margaret"/>
    <n v="3"/>
    <x v="0"/>
    <s v="20852"/>
    <n v="4"/>
    <n v="1"/>
    <x v="0"/>
    <n v="59"/>
    <s v="Raclette Courdavault"/>
    <n v="4"/>
    <x v="0"/>
    <n v="44"/>
    <n v="9"/>
    <n v="0"/>
    <n v="396"/>
    <n v="87.03"/>
  </r>
  <r>
    <n v="10329"/>
    <s v="SPLIR"/>
    <n v="4"/>
    <x v="73"/>
    <s v="Peacock Margaret"/>
    <n v="2"/>
    <x v="2"/>
    <s v="20852"/>
    <n v="4"/>
    <n v="1"/>
    <x v="0"/>
    <n v="19"/>
    <s v="Teatime Chocolate Biscuits"/>
    <n v="3"/>
    <x v="4"/>
    <n v="7.3"/>
    <n v="10"/>
    <n v="5.000000074505806E-2"/>
    <n v="69.349999945610762"/>
    <n v="191.67"/>
  </r>
  <r>
    <n v="10330"/>
    <s v="LILAS"/>
    <n v="3"/>
    <x v="74"/>
    <s v="Leverling Janet"/>
    <n v="1"/>
    <x v="1"/>
    <s v="30346"/>
    <n v="3"/>
    <n v="4"/>
    <x v="2"/>
    <n v="26"/>
    <s v="Gumbär Gummibärchen"/>
    <n v="3"/>
    <x v="4"/>
    <n v="24.9"/>
    <n v="50"/>
    <n v="0.15000000596046448"/>
    <n v="1058.2499925792217"/>
    <n v="12.75"/>
  </r>
  <r>
    <n v="10331"/>
    <s v="BONAP"/>
    <n v="9"/>
    <x v="74"/>
    <s v="Dodsworth Anne"/>
    <n v="1"/>
    <x v="1"/>
    <s v="03049"/>
    <n v="9"/>
    <n v="3"/>
    <x v="3"/>
    <n v="54"/>
    <s v="Tourtière"/>
    <n v="6"/>
    <x v="6"/>
    <n v="5.9"/>
    <n v="15"/>
    <n v="0"/>
    <n v="88.5"/>
    <n v="10.19"/>
  </r>
  <r>
    <n v="10332"/>
    <s v="MEREP"/>
    <n v="3"/>
    <x v="75"/>
    <s v="Leverling Janet"/>
    <n v="2"/>
    <x v="2"/>
    <s v="30346"/>
    <n v="3"/>
    <n v="4"/>
    <x v="2"/>
    <n v="18"/>
    <s v="Carnarvon Tigers"/>
    <n v="8"/>
    <x v="2"/>
    <n v="50"/>
    <n v="40"/>
    <n v="0.20000000298023224"/>
    <n v="1599.9999940395355"/>
    <n v="52.84"/>
  </r>
  <r>
    <n v="10333"/>
    <s v="WARTH"/>
    <n v="5"/>
    <x v="76"/>
    <s v="Buchanan Steven"/>
    <n v="3"/>
    <x v="0"/>
    <s v="02903"/>
    <n v="5"/>
    <n v="1"/>
    <x v="0"/>
    <n v="14"/>
    <s v="Tofu"/>
    <n v="7"/>
    <x v="1"/>
    <n v="18.600000000000001"/>
    <n v="10"/>
    <n v="0"/>
    <n v="186"/>
    <n v="0.59"/>
  </r>
  <r>
    <n v="10334"/>
    <s v="VICTE"/>
    <n v="8"/>
    <x v="77"/>
    <s v="Callahan Laura"/>
    <n v="2"/>
    <x v="2"/>
    <s v="19428"/>
    <n v="8"/>
    <n v="3"/>
    <x v="3"/>
    <n v="52"/>
    <s v="Filo Mix"/>
    <n v="5"/>
    <x v="3"/>
    <n v="5.6"/>
    <n v="8"/>
    <n v="0"/>
    <n v="44.8"/>
    <n v="8.56"/>
  </r>
  <r>
    <n v="10335"/>
    <s v="HUNGO"/>
    <n v="7"/>
    <x v="78"/>
    <s v="King Robert"/>
    <n v="2"/>
    <x v="2"/>
    <s v="60179"/>
    <n v="7"/>
    <n v="2"/>
    <x v="1"/>
    <n v="2"/>
    <s v="Chang"/>
    <n v="1"/>
    <x v="5"/>
    <n v="15.2"/>
    <n v="7"/>
    <n v="0.20000000298023224"/>
    <n v="85.119999682903284"/>
    <n v="42.11"/>
  </r>
  <r>
    <n v="10336"/>
    <s v="PRINI"/>
    <n v="7"/>
    <x v="79"/>
    <s v="King Robert"/>
    <n v="2"/>
    <x v="2"/>
    <s v="60179"/>
    <n v="7"/>
    <n v="2"/>
    <x v="1"/>
    <n v="4"/>
    <s v="Chef Anton's Cajun Seasoning"/>
    <n v="2"/>
    <x v="7"/>
    <n v="17.600000000000001"/>
    <n v="18"/>
    <n v="0.10000000149011612"/>
    <n v="285.11999952793121"/>
    <n v="15.51"/>
  </r>
  <r>
    <n v="10337"/>
    <s v="FRANK"/>
    <n v="4"/>
    <x v="80"/>
    <s v="Peacock Margaret"/>
    <n v="3"/>
    <x v="0"/>
    <s v="20852"/>
    <n v="4"/>
    <n v="1"/>
    <x v="0"/>
    <n v="23"/>
    <s v="Tunnbröd"/>
    <n v="5"/>
    <x v="3"/>
    <n v="7.2"/>
    <n v="40"/>
    <n v="0"/>
    <n v="288"/>
    <n v="108.26"/>
  </r>
  <r>
    <n v="10338"/>
    <s v="OLDWO"/>
    <n v="4"/>
    <x v="81"/>
    <s v="Peacock Margaret"/>
    <n v="3"/>
    <x v="0"/>
    <s v="20852"/>
    <n v="4"/>
    <n v="1"/>
    <x v="0"/>
    <n v="17"/>
    <s v="Alice Mutton"/>
    <n v="6"/>
    <x v="6"/>
    <n v="31.2"/>
    <n v="20"/>
    <n v="0"/>
    <n v="624"/>
    <n v="84.21"/>
  </r>
  <r>
    <n v="10339"/>
    <s v="MEREP"/>
    <n v="2"/>
    <x v="82"/>
    <s v="Fuller Andrew"/>
    <n v="2"/>
    <x v="2"/>
    <s v="01581"/>
    <n v="2"/>
    <n v="1"/>
    <x v="0"/>
    <n v="4"/>
    <s v="Chef Anton's Cajun Seasoning"/>
    <n v="2"/>
    <x v="7"/>
    <n v="17.600000000000001"/>
    <n v="10"/>
    <n v="0"/>
    <n v="176"/>
    <n v="15.66"/>
  </r>
  <r>
    <n v="10340"/>
    <s v="BONAP"/>
    <n v="1"/>
    <x v="83"/>
    <s v="Davolio Nancy"/>
    <n v="3"/>
    <x v="0"/>
    <s v="06897"/>
    <n v="1"/>
    <n v="1"/>
    <x v="0"/>
    <n v="18"/>
    <s v="Carnarvon Tigers"/>
    <n v="8"/>
    <x v="2"/>
    <n v="50"/>
    <n v="20"/>
    <n v="5.000000074505806E-2"/>
    <n v="949.99999925494194"/>
    <n v="166.31"/>
  </r>
  <r>
    <n v="10341"/>
    <s v="SIMOB"/>
    <n v="7"/>
    <x v="83"/>
    <s v="King Robert"/>
    <n v="3"/>
    <x v="0"/>
    <s v="60179"/>
    <n v="7"/>
    <n v="2"/>
    <x v="1"/>
    <n v="33"/>
    <s v="Geitost"/>
    <n v="4"/>
    <x v="0"/>
    <n v="2"/>
    <n v="8"/>
    <n v="0"/>
    <n v="16"/>
    <n v="26.78"/>
  </r>
  <r>
    <n v="10342"/>
    <s v="FRANK"/>
    <n v="4"/>
    <x v="84"/>
    <s v="Peacock Margaret"/>
    <n v="2"/>
    <x v="2"/>
    <s v="20852"/>
    <n v="4"/>
    <n v="1"/>
    <x v="0"/>
    <n v="2"/>
    <s v="Chang"/>
    <n v="1"/>
    <x v="5"/>
    <n v="15.2"/>
    <n v="24"/>
    <n v="0.20000000298023224"/>
    <n v="291.83999891281127"/>
    <n v="54.83"/>
  </r>
  <r>
    <n v="10343"/>
    <s v="LEHMS"/>
    <n v="4"/>
    <x v="85"/>
    <s v="Peacock Margaret"/>
    <n v="1"/>
    <x v="1"/>
    <s v="20852"/>
    <n v="4"/>
    <n v="1"/>
    <x v="0"/>
    <n v="64"/>
    <s v="Wimmers gute Semmelknödel"/>
    <n v="5"/>
    <x v="3"/>
    <n v="26.6"/>
    <n v="50"/>
    <n v="0"/>
    <n v="1330"/>
    <n v="110.37"/>
  </r>
  <r>
    <n v="10344"/>
    <s v="WHITC"/>
    <n v="4"/>
    <x v="86"/>
    <s v="Peacock Margaret"/>
    <n v="2"/>
    <x v="2"/>
    <s v="20852"/>
    <n v="4"/>
    <n v="1"/>
    <x v="0"/>
    <n v="4"/>
    <s v="Chef Anton's Cajun Seasoning"/>
    <n v="2"/>
    <x v="7"/>
    <n v="17.600000000000001"/>
    <n v="35"/>
    <n v="0"/>
    <n v="616"/>
    <n v="23.29"/>
  </r>
  <r>
    <n v="10345"/>
    <s v="QUICK"/>
    <n v="2"/>
    <x v="87"/>
    <s v="Fuller Andrew"/>
    <n v="2"/>
    <x v="2"/>
    <s v="01581"/>
    <n v="2"/>
    <n v="1"/>
    <x v="0"/>
    <n v="8"/>
    <s v="Northwoods Cranberry Sauce"/>
    <n v="2"/>
    <x v="7"/>
    <n v="32"/>
    <n v="70"/>
    <n v="0"/>
    <n v="2240"/>
    <n v="249.06"/>
  </r>
  <r>
    <n v="10346"/>
    <s v="RATTC"/>
    <n v="3"/>
    <x v="88"/>
    <s v="Leverling Janet"/>
    <n v="3"/>
    <x v="0"/>
    <s v="30346"/>
    <n v="3"/>
    <n v="4"/>
    <x v="2"/>
    <n v="17"/>
    <s v="Alice Mutton"/>
    <n v="6"/>
    <x v="6"/>
    <n v="31.2"/>
    <n v="36"/>
    <n v="0.10000000149011612"/>
    <n v="1010.8799983263016"/>
    <n v="142.08000000000001"/>
  </r>
  <r>
    <n v="10347"/>
    <s v="FAMIA"/>
    <n v="4"/>
    <x v="89"/>
    <s v="Peacock Margaret"/>
    <n v="3"/>
    <x v="0"/>
    <s v="20852"/>
    <n v="4"/>
    <n v="1"/>
    <x v="0"/>
    <n v="25"/>
    <s v="NuNuCa Nuß-Nougat-Creme"/>
    <n v="3"/>
    <x v="4"/>
    <n v="11.2"/>
    <n v="10"/>
    <n v="0"/>
    <n v="112"/>
    <n v="3.1"/>
  </r>
  <r>
    <n v="10348"/>
    <s v="WANDK"/>
    <n v="4"/>
    <x v="90"/>
    <s v="Peacock Margaret"/>
    <n v="2"/>
    <x v="2"/>
    <s v="20852"/>
    <n v="4"/>
    <n v="1"/>
    <x v="0"/>
    <n v="1"/>
    <s v="Chai"/>
    <n v="1"/>
    <x v="5"/>
    <n v="14.4"/>
    <n v="15"/>
    <n v="0.15000000596046448"/>
    <n v="183.59999871253967"/>
    <n v="0.78"/>
  </r>
  <r>
    <n v="10349"/>
    <s v="SPLIR"/>
    <n v="7"/>
    <x v="91"/>
    <s v="King Robert"/>
    <n v="1"/>
    <x v="1"/>
    <s v="60179"/>
    <n v="7"/>
    <n v="2"/>
    <x v="1"/>
    <n v="54"/>
    <s v="Tourtière"/>
    <n v="6"/>
    <x v="6"/>
    <n v="5.9"/>
    <n v="24"/>
    <n v="0"/>
    <n v="141.60000000000002"/>
    <n v="8.6300000000000008"/>
  </r>
  <r>
    <n v="10350"/>
    <s v="LAMAI"/>
    <n v="6"/>
    <x v="92"/>
    <s v="Suyama Michael"/>
    <n v="2"/>
    <x v="2"/>
    <s v="85014"/>
    <n v="6"/>
    <n v="2"/>
    <x v="1"/>
    <n v="50"/>
    <s v="Valkoinen suklaa"/>
    <n v="3"/>
    <x v="4"/>
    <n v="13"/>
    <n v="15"/>
    <n v="0.10000000149011612"/>
    <n v="175.49999970942736"/>
    <n v="64.19"/>
  </r>
  <r>
    <n v="10351"/>
    <s v="ERNSH"/>
    <n v="1"/>
    <x v="92"/>
    <s v="Davolio Nancy"/>
    <n v="1"/>
    <x v="1"/>
    <s v="06897"/>
    <n v="1"/>
    <n v="1"/>
    <x v="0"/>
    <n v="38"/>
    <s v="Côte de Blaye"/>
    <n v="1"/>
    <x v="5"/>
    <n v="210.8"/>
    <n v="20"/>
    <n v="5.000000074505806E-2"/>
    <n v="4005.1999968588352"/>
    <n v="162.33000000000001"/>
  </r>
  <r>
    <n v="10352"/>
    <s v="FURIB"/>
    <n v="3"/>
    <x v="93"/>
    <s v="Leverling Janet"/>
    <n v="3"/>
    <x v="0"/>
    <s v="30346"/>
    <n v="3"/>
    <n v="4"/>
    <x v="2"/>
    <n v="24"/>
    <s v="Guaraná Fantástica"/>
    <n v="1"/>
    <x v="5"/>
    <n v="3.6"/>
    <n v="10"/>
    <n v="0"/>
    <n v="36"/>
    <n v="1.3"/>
  </r>
  <r>
    <n v="10353"/>
    <s v="PICCO"/>
    <n v="7"/>
    <x v="94"/>
    <s v="King Robert"/>
    <n v="3"/>
    <x v="0"/>
    <s v="60179"/>
    <n v="7"/>
    <n v="2"/>
    <x v="1"/>
    <n v="11"/>
    <s v="Queso Cabrales"/>
    <n v="4"/>
    <x v="0"/>
    <n v="16.8"/>
    <n v="12"/>
    <n v="0.20000000298023224"/>
    <n v="161.27999939918519"/>
    <n v="360.63"/>
  </r>
  <r>
    <n v="10354"/>
    <s v="PERIC"/>
    <n v="8"/>
    <x v="95"/>
    <s v="Callahan Laura"/>
    <n v="3"/>
    <x v="0"/>
    <s v="19428"/>
    <n v="8"/>
    <n v="3"/>
    <x v="3"/>
    <n v="1"/>
    <s v="Chai"/>
    <n v="1"/>
    <x v="5"/>
    <n v="14.4"/>
    <n v="12"/>
    <n v="0"/>
    <n v="172.8"/>
    <n v="53.8"/>
  </r>
  <r>
    <n v="10355"/>
    <s v="AROUT"/>
    <n v="6"/>
    <x v="96"/>
    <s v="Suyama Michael"/>
    <n v="1"/>
    <x v="1"/>
    <s v="85014"/>
    <n v="6"/>
    <n v="2"/>
    <x v="1"/>
    <n v="24"/>
    <s v="Guaraná Fantástica"/>
    <n v="1"/>
    <x v="5"/>
    <n v="3.6"/>
    <n v="25"/>
    <n v="0"/>
    <n v="90"/>
    <n v="41.95"/>
  </r>
  <r>
    <n v="10356"/>
    <s v="WANDK"/>
    <n v="6"/>
    <x v="97"/>
    <s v="Suyama Michael"/>
    <n v="2"/>
    <x v="2"/>
    <s v="85014"/>
    <n v="6"/>
    <n v="2"/>
    <x v="1"/>
    <n v="31"/>
    <s v="Gorgonzola Telino"/>
    <n v="4"/>
    <x v="0"/>
    <n v="10"/>
    <n v="30"/>
    <n v="0"/>
    <n v="300"/>
    <n v="36.71"/>
  </r>
  <r>
    <n v="10357"/>
    <s v="LILAS"/>
    <n v="1"/>
    <x v="98"/>
    <s v="Davolio Nancy"/>
    <n v="3"/>
    <x v="0"/>
    <s v="06897"/>
    <n v="1"/>
    <n v="1"/>
    <x v="0"/>
    <n v="10"/>
    <s v="Ikura"/>
    <n v="8"/>
    <x v="2"/>
    <n v="24.8"/>
    <n v="30"/>
    <n v="0.20000000298023224"/>
    <n v="595.19999778270721"/>
    <n v="34.880000000000003"/>
  </r>
  <r>
    <n v="10358"/>
    <s v="LAMAI"/>
    <n v="5"/>
    <x v="99"/>
    <s v="Buchanan Steven"/>
    <n v="1"/>
    <x v="1"/>
    <s v="02903"/>
    <n v="5"/>
    <n v="1"/>
    <x v="0"/>
    <n v="24"/>
    <s v="Guaraná Fantástica"/>
    <n v="1"/>
    <x v="5"/>
    <n v="3.6"/>
    <n v="10"/>
    <n v="5.000000074505806E-2"/>
    <n v="34.19999997317791"/>
    <n v="19.64"/>
  </r>
  <r>
    <n v="10359"/>
    <s v="SEVES"/>
    <n v="5"/>
    <x v="100"/>
    <s v="Buchanan Steven"/>
    <n v="3"/>
    <x v="0"/>
    <s v="02903"/>
    <n v="5"/>
    <n v="1"/>
    <x v="0"/>
    <n v="16"/>
    <s v="Pavlova"/>
    <n v="3"/>
    <x v="4"/>
    <n v="13.9"/>
    <n v="56"/>
    <n v="5.000000074505806E-2"/>
    <n v="739.47999942004674"/>
    <n v="288.43"/>
  </r>
  <r>
    <n v="10360"/>
    <s v="BLONP"/>
    <n v="4"/>
    <x v="101"/>
    <s v="Peacock Margaret"/>
    <n v="3"/>
    <x v="0"/>
    <s v="20852"/>
    <n v="4"/>
    <n v="1"/>
    <x v="0"/>
    <n v="28"/>
    <s v="Rössle Sauerkraut"/>
    <n v="7"/>
    <x v="1"/>
    <n v="36.4"/>
    <n v="30"/>
    <n v="0"/>
    <n v="1092"/>
    <n v="131.69999999999999"/>
  </r>
  <r>
    <n v="10361"/>
    <s v="QUICK"/>
    <n v="1"/>
    <x v="101"/>
    <s v="Davolio Nancy"/>
    <n v="2"/>
    <x v="2"/>
    <s v="06897"/>
    <n v="1"/>
    <n v="1"/>
    <x v="0"/>
    <n v="39"/>
    <s v="Chartreuse verte"/>
    <n v="1"/>
    <x v="5"/>
    <n v="14.4"/>
    <n v="54"/>
    <n v="0.10000000149011612"/>
    <n v="699.83999884128571"/>
    <n v="183.17"/>
  </r>
  <r>
    <n v="10362"/>
    <s v="BONAP"/>
    <n v="3"/>
    <x v="102"/>
    <s v="Leverling Janet"/>
    <n v="1"/>
    <x v="1"/>
    <s v="30346"/>
    <n v="3"/>
    <n v="4"/>
    <x v="2"/>
    <n v="25"/>
    <s v="NuNuCa Nuß-Nougat-Creme"/>
    <n v="3"/>
    <x v="4"/>
    <n v="11.2"/>
    <n v="50"/>
    <n v="0"/>
    <n v="560"/>
    <n v="96.04"/>
  </r>
  <r>
    <n v="10363"/>
    <s v="DRACD"/>
    <n v="4"/>
    <x v="103"/>
    <s v="Peacock Margaret"/>
    <n v="3"/>
    <x v="0"/>
    <s v="20852"/>
    <n v="4"/>
    <n v="1"/>
    <x v="0"/>
    <n v="31"/>
    <s v="Gorgonzola Telino"/>
    <n v="4"/>
    <x v="0"/>
    <n v="10"/>
    <n v="20"/>
    <n v="0"/>
    <n v="200"/>
    <n v="30.54"/>
  </r>
  <r>
    <n v="10364"/>
    <s v="EASTC"/>
    <n v="1"/>
    <x v="103"/>
    <s v="Davolio Nancy"/>
    <n v="1"/>
    <x v="1"/>
    <s v="06897"/>
    <n v="1"/>
    <n v="1"/>
    <x v="0"/>
    <n v="69"/>
    <s v="Gudbrandsdalsost"/>
    <n v="4"/>
    <x v="0"/>
    <n v="28.8"/>
    <n v="30"/>
    <n v="0"/>
    <n v="864"/>
    <n v="71.97"/>
  </r>
  <r>
    <n v="10365"/>
    <s v="ANTON"/>
    <n v="3"/>
    <x v="104"/>
    <s v="Leverling Janet"/>
    <n v="2"/>
    <x v="2"/>
    <s v="30346"/>
    <n v="3"/>
    <n v="4"/>
    <x v="2"/>
    <n v="11"/>
    <s v="Queso Cabrales"/>
    <n v="4"/>
    <x v="0"/>
    <n v="16.8"/>
    <n v="24"/>
    <n v="0"/>
    <n v="403.20000000000005"/>
    <n v="22"/>
  </r>
  <r>
    <n v="10366"/>
    <s v="GALED"/>
    <n v="8"/>
    <x v="105"/>
    <s v="Callahan Laura"/>
    <n v="2"/>
    <x v="2"/>
    <s v="19428"/>
    <n v="8"/>
    <n v="3"/>
    <x v="3"/>
    <n v="65"/>
    <s v="Louisiana Fiery Hot Pepper Sauce"/>
    <n v="2"/>
    <x v="7"/>
    <n v="16.8"/>
    <n v="5"/>
    <n v="0"/>
    <n v="84"/>
    <n v="10.14"/>
  </r>
  <r>
    <n v="10367"/>
    <s v="VAFFE"/>
    <n v="7"/>
    <x v="105"/>
    <s v="King Robert"/>
    <n v="3"/>
    <x v="0"/>
    <s v="60179"/>
    <n v="7"/>
    <n v="2"/>
    <x v="1"/>
    <n v="34"/>
    <s v="Sasquatch Ale"/>
    <n v="1"/>
    <x v="5"/>
    <n v="11.2"/>
    <n v="36"/>
    <n v="0"/>
    <n v="403.2"/>
    <n v="13.55"/>
  </r>
  <r>
    <n v="10368"/>
    <s v="ERNSH"/>
    <n v="2"/>
    <x v="106"/>
    <s v="Fuller Andrew"/>
    <n v="2"/>
    <x v="2"/>
    <s v="01581"/>
    <n v="2"/>
    <n v="1"/>
    <x v="0"/>
    <n v="21"/>
    <s v="Sir Rodney's Scones"/>
    <n v="3"/>
    <x v="4"/>
    <n v="8"/>
    <n v="5"/>
    <n v="0.10000000149011612"/>
    <n v="35.999999940395355"/>
    <n v="101.95"/>
  </r>
  <r>
    <n v="10369"/>
    <s v="SPLIR"/>
    <n v="8"/>
    <x v="107"/>
    <s v="Callahan Laura"/>
    <n v="2"/>
    <x v="2"/>
    <s v="19428"/>
    <n v="8"/>
    <n v="3"/>
    <x v="3"/>
    <n v="29"/>
    <s v="Thüringer Rostbratwurst"/>
    <n v="6"/>
    <x v="6"/>
    <n v="99"/>
    <n v="20"/>
    <n v="0"/>
    <n v="1980"/>
    <n v="195.68"/>
  </r>
  <r>
    <n v="10370"/>
    <s v="CHOPS"/>
    <n v="6"/>
    <x v="108"/>
    <s v="Suyama Michael"/>
    <n v="2"/>
    <x v="2"/>
    <s v="85014"/>
    <n v="6"/>
    <n v="2"/>
    <x v="1"/>
    <n v="1"/>
    <s v="Chai"/>
    <n v="1"/>
    <x v="5"/>
    <n v="14.4"/>
    <n v="15"/>
    <n v="0.15000000596046448"/>
    <n v="183.59999871253967"/>
    <n v="1.17"/>
  </r>
  <r>
    <n v="10371"/>
    <s v="LAMAI"/>
    <n v="1"/>
    <x v="108"/>
    <s v="Davolio Nancy"/>
    <n v="1"/>
    <x v="1"/>
    <s v="06897"/>
    <n v="1"/>
    <n v="1"/>
    <x v="0"/>
    <n v="36"/>
    <s v="Inlagd Sill"/>
    <n v="8"/>
    <x v="2"/>
    <n v="15.2"/>
    <n v="6"/>
    <n v="0.20000000298023224"/>
    <n v="72.959999728202817"/>
    <n v="0.45"/>
  </r>
  <r>
    <n v="10372"/>
    <s v="QUEEN"/>
    <n v="5"/>
    <x v="109"/>
    <s v="Buchanan Steven"/>
    <n v="2"/>
    <x v="2"/>
    <s v="02903"/>
    <n v="5"/>
    <n v="1"/>
    <x v="0"/>
    <n v="20"/>
    <s v="Sir Rodney's Marmalade"/>
    <n v="3"/>
    <x v="4"/>
    <n v="64.8"/>
    <n v="12"/>
    <n v="0.25"/>
    <n v="583.19999999999993"/>
    <n v="890.78"/>
  </r>
  <r>
    <n v="10373"/>
    <s v="HUNGO"/>
    <n v="4"/>
    <x v="110"/>
    <s v="Peacock Margaret"/>
    <n v="3"/>
    <x v="0"/>
    <s v="20852"/>
    <n v="4"/>
    <n v="1"/>
    <x v="0"/>
    <n v="58"/>
    <s v="Escargots de Bourgogne"/>
    <n v="8"/>
    <x v="2"/>
    <n v="10.6"/>
    <n v="80"/>
    <n v="0.20000000298023224"/>
    <n v="678.39999747276306"/>
    <n v="124.12"/>
  </r>
  <r>
    <n v="10374"/>
    <s v="WOLZA"/>
    <n v="1"/>
    <x v="110"/>
    <s v="Davolio Nancy"/>
    <n v="3"/>
    <x v="0"/>
    <s v="06897"/>
    <n v="1"/>
    <n v="1"/>
    <x v="0"/>
    <n v="31"/>
    <s v="Gorgonzola Telino"/>
    <n v="4"/>
    <x v="0"/>
    <n v="10"/>
    <n v="30"/>
    <n v="0"/>
    <n v="300"/>
    <n v="3.94"/>
  </r>
  <r>
    <n v="10375"/>
    <s v="HUNGC"/>
    <n v="3"/>
    <x v="111"/>
    <s v="Leverling Janet"/>
    <n v="2"/>
    <x v="2"/>
    <s v="30346"/>
    <n v="3"/>
    <n v="4"/>
    <x v="2"/>
    <n v="14"/>
    <s v="Tofu"/>
    <n v="7"/>
    <x v="1"/>
    <n v="18.600000000000001"/>
    <n v="15"/>
    <n v="0"/>
    <n v="279"/>
    <n v="20.12"/>
  </r>
  <r>
    <n v="10376"/>
    <s v="MEREP"/>
    <n v="1"/>
    <x v="112"/>
    <s v="Davolio Nancy"/>
    <n v="2"/>
    <x v="2"/>
    <s v="06897"/>
    <n v="1"/>
    <n v="1"/>
    <x v="0"/>
    <n v="31"/>
    <s v="Gorgonzola Telino"/>
    <n v="4"/>
    <x v="0"/>
    <n v="10"/>
    <n v="42"/>
    <n v="5.000000074505806E-2"/>
    <n v="398.99999968707561"/>
    <n v="20.39"/>
  </r>
  <r>
    <n v="10377"/>
    <s v="SEVES"/>
    <n v="1"/>
    <x v="112"/>
    <s v="Davolio Nancy"/>
    <n v="3"/>
    <x v="0"/>
    <s v="06897"/>
    <n v="1"/>
    <n v="1"/>
    <x v="0"/>
    <n v="28"/>
    <s v="Rössle Sauerkraut"/>
    <n v="7"/>
    <x v="1"/>
    <n v="36.4"/>
    <n v="20"/>
    <n v="0.15000000596046448"/>
    <n v="618.79999566078186"/>
    <n v="22.21"/>
  </r>
  <r>
    <n v="10378"/>
    <s v="FOLKO"/>
    <n v="5"/>
    <x v="113"/>
    <s v="Buchanan Steven"/>
    <n v="3"/>
    <x v="0"/>
    <s v="02903"/>
    <n v="5"/>
    <n v="1"/>
    <x v="0"/>
    <n v="71"/>
    <s v="Flotemysost"/>
    <n v="4"/>
    <x v="0"/>
    <n v="17.2"/>
    <n v="6"/>
    <n v="0"/>
    <n v="103.19999999999999"/>
    <n v="5.44"/>
  </r>
  <r>
    <n v="10379"/>
    <s v="QUEDE"/>
    <n v="2"/>
    <x v="114"/>
    <s v="Fuller Andrew"/>
    <n v="1"/>
    <x v="1"/>
    <s v="01581"/>
    <n v="2"/>
    <n v="1"/>
    <x v="0"/>
    <n v="41"/>
    <s v="Jack's New England Clam Chowder"/>
    <n v="8"/>
    <x v="2"/>
    <n v="7.7"/>
    <n v="8"/>
    <n v="0.10000000149011612"/>
    <n v="55.439999908208847"/>
    <n v="45.03"/>
  </r>
  <r>
    <n v="10380"/>
    <s v="HUNGO"/>
    <n v="8"/>
    <x v="115"/>
    <s v="Callahan Laura"/>
    <n v="3"/>
    <x v="0"/>
    <s v="19428"/>
    <n v="8"/>
    <n v="3"/>
    <x v="3"/>
    <n v="30"/>
    <s v="Nord-Ost Matjeshering"/>
    <n v="8"/>
    <x v="2"/>
    <n v="20.7"/>
    <n v="18"/>
    <n v="0.10000000149011612"/>
    <n v="335.33999944478268"/>
    <n v="35.03"/>
  </r>
  <r>
    <n v="10381"/>
    <s v="LILAS"/>
    <n v="3"/>
    <x v="115"/>
    <s v="Leverling Janet"/>
    <n v="3"/>
    <x v="0"/>
    <s v="30346"/>
    <n v="3"/>
    <n v="4"/>
    <x v="2"/>
    <n v="74"/>
    <s v="Longlife Tofu"/>
    <n v="7"/>
    <x v="1"/>
    <n v="8"/>
    <n v="14"/>
    <n v="0"/>
    <n v="112"/>
    <n v="7.99"/>
  </r>
  <r>
    <n v="10382"/>
    <s v="ERNSH"/>
    <n v="4"/>
    <x v="116"/>
    <s v="Peacock Margaret"/>
    <n v="1"/>
    <x v="1"/>
    <s v="20852"/>
    <n v="4"/>
    <n v="1"/>
    <x v="0"/>
    <n v="5"/>
    <s v="Chef Anton's Gumbo Mix"/>
    <n v="2"/>
    <x v="7"/>
    <n v="17"/>
    <n v="32"/>
    <n v="0"/>
    <n v="544"/>
    <n v="94.77"/>
  </r>
  <r>
    <n v="10383"/>
    <s v="AROUT"/>
    <n v="8"/>
    <x v="117"/>
    <s v="Callahan Laura"/>
    <n v="3"/>
    <x v="0"/>
    <s v="19428"/>
    <n v="8"/>
    <n v="3"/>
    <x v="3"/>
    <n v="13"/>
    <s v="Konbu"/>
    <n v="8"/>
    <x v="2"/>
    <n v="4.8"/>
    <n v="20"/>
    <n v="0"/>
    <n v="96"/>
    <n v="34.24"/>
  </r>
  <r>
    <n v="10384"/>
    <s v="BERGS"/>
    <n v="3"/>
    <x v="117"/>
    <s v="Leverling Janet"/>
    <n v="3"/>
    <x v="0"/>
    <s v="30346"/>
    <n v="3"/>
    <n v="4"/>
    <x v="2"/>
    <n v="20"/>
    <s v="Sir Rodney's Marmalade"/>
    <n v="3"/>
    <x v="4"/>
    <n v="64.8"/>
    <n v="28"/>
    <n v="0"/>
    <n v="1814.3999999999999"/>
    <n v="168.64"/>
  </r>
  <r>
    <n v="10385"/>
    <s v="SPLIR"/>
    <n v="1"/>
    <x v="118"/>
    <s v="Davolio Nancy"/>
    <n v="2"/>
    <x v="2"/>
    <s v="06897"/>
    <n v="1"/>
    <n v="1"/>
    <x v="0"/>
    <n v="7"/>
    <s v="Uncle Bob's Organic Dried Pears"/>
    <n v="7"/>
    <x v="1"/>
    <n v="24"/>
    <n v="10"/>
    <n v="0.20000000298023224"/>
    <n v="191.99999928474426"/>
    <n v="30.96"/>
  </r>
  <r>
    <n v="10386"/>
    <s v="FAMIA"/>
    <n v="9"/>
    <x v="119"/>
    <s v="Dodsworth Anne"/>
    <n v="3"/>
    <x v="0"/>
    <s v="03049"/>
    <n v="9"/>
    <n v="3"/>
    <x v="3"/>
    <n v="24"/>
    <s v="Guaraná Fantástica"/>
    <n v="1"/>
    <x v="5"/>
    <n v="3.6"/>
    <n v="15"/>
    <n v="0"/>
    <n v="54"/>
    <n v="13.99"/>
  </r>
  <r>
    <n v="10387"/>
    <s v="SANTG"/>
    <n v="1"/>
    <x v="119"/>
    <s v="Davolio Nancy"/>
    <n v="2"/>
    <x v="2"/>
    <s v="06897"/>
    <n v="1"/>
    <n v="1"/>
    <x v="0"/>
    <n v="24"/>
    <s v="Guaraná Fantástica"/>
    <n v="1"/>
    <x v="5"/>
    <n v="3.6"/>
    <n v="15"/>
    <n v="0"/>
    <n v="54"/>
    <n v="93.63"/>
  </r>
  <r>
    <n v="10388"/>
    <s v="SEVES"/>
    <n v="2"/>
    <x v="120"/>
    <s v="Fuller Andrew"/>
    <n v="1"/>
    <x v="1"/>
    <s v="01581"/>
    <n v="2"/>
    <n v="1"/>
    <x v="0"/>
    <n v="45"/>
    <s v="Rogede sild"/>
    <n v="8"/>
    <x v="2"/>
    <n v="7.6"/>
    <n v="15"/>
    <n v="0.20000000298023224"/>
    <n v="91.199999660253525"/>
    <n v="34.86"/>
  </r>
  <r>
    <n v="10389"/>
    <s v="BOTTM"/>
    <n v="4"/>
    <x v="121"/>
    <s v="Peacock Margaret"/>
    <n v="2"/>
    <x v="2"/>
    <s v="20852"/>
    <n v="4"/>
    <n v="1"/>
    <x v="0"/>
    <n v="10"/>
    <s v="Ikura"/>
    <n v="8"/>
    <x v="2"/>
    <n v="24.8"/>
    <n v="16"/>
    <n v="0"/>
    <n v="396.8"/>
    <n v="47.42"/>
  </r>
  <r>
    <n v="10390"/>
    <s v="ERNSH"/>
    <n v="6"/>
    <x v="122"/>
    <s v="Suyama Michael"/>
    <n v="1"/>
    <x v="1"/>
    <s v="85014"/>
    <n v="6"/>
    <n v="2"/>
    <x v="1"/>
    <n v="31"/>
    <s v="Gorgonzola Telino"/>
    <n v="4"/>
    <x v="0"/>
    <n v="10"/>
    <n v="60"/>
    <n v="0.10000000149011612"/>
    <n v="539.99999910593033"/>
    <n v="126.38"/>
  </r>
  <r>
    <n v="10391"/>
    <s v="DRACD"/>
    <n v="3"/>
    <x v="122"/>
    <s v="Leverling Janet"/>
    <n v="3"/>
    <x v="0"/>
    <s v="30346"/>
    <n v="3"/>
    <n v="4"/>
    <x v="2"/>
    <n v="13"/>
    <s v="Konbu"/>
    <n v="8"/>
    <x v="2"/>
    <n v="4.8"/>
    <n v="18"/>
    <n v="0"/>
    <n v="86.399999999999991"/>
    <n v="5.45"/>
  </r>
  <r>
    <n v="10392"/>
    <s v="PICCO"/>
    <n v="2"/>
    <x v="123"/>
    <s v="Fuller Andrew"/>
    <n v="3"/>
    <x v="0"/>
    <s v="01581"/>
    <n v="2"/>
    <n v="1"/>
    <x v="0"/>
    <n v="69"/>
    <s v="Gudbrandsdalsost"/>
    <n v="4"/>
    <x v="0"/>
    <n v="28.8"/>
    <n v="50"/>
    <n v="0"/>
    <n v="1440"/>
    <n v="122.46"/>
  </r>
  <r>
    <n v="10393"/>
    <s v="SAVEA"/>
    <n v="1"/>
    <x v="124"/>
    <s v="Davolio Nancy"/>
    <n v="3"/>
    <x v="0"/>
    <s v="06897"/>
    <n v="1"/>
    <n v="1"/>
    <x v="0"/>
    <n v="2"/>
    <s v="Chang"/>
    <n v="1"/>
    <x v="5"/>
    <n v="15.2"/>
    <n v="25"/>
    <n v="0.25"/>
    <n v="285"/>
    <n v="126.56"/>
  </r>
  <r>
    <n v="10394"/>
    <s v="HUNGC"/>
    <n v="1"/>
    <x v="124"/>
    <s v="Davolio Nancy"/>
    <n v="3"/>
    <x v="0"/>
    <s v="06897"/>
    <n v="1"/>
    <n v="1"/>
    <x v="0"/>
    <n v="13"/>
    <s v="Konbu"/>
    <n v="8"/>
    <x v="2"/>
    <n v="4.8"/>
    <n v="10"/>
    <n v="0"/>
    <n v="48"/>
    <n v="30.34"/>
  </r>
  <r>
    <n v="10395"/>
    <s v="HILAA"/>
    <n v="6"/>
    <x v="125"/>
    <s v="Suyama Michael"/>
    <n v="1"/>
    <x v="1"/>
    <s v="85014"/>
    <n v="6"/>
    <n v="2"/>
    <x v="1"/>
    <n v="46"/>
    <s v="Spegesild"/>
    <n v="8"/>
    <x v="2"/>
    <n v="9.6"/>
    <n v="28"/>
    <n v="0.10000000149011612"/>
    <n v="241.91999959945679"/>
    <n v="184.41"/>
  </r>
  <r>
    <n v="10396"/>
    <s v="FRANK"/>
    <n v="1"/>
    <x v="126"/>
    <s v="Davolio Nancy"/>
    <n v="3"/>
    <x v="0"/>
    <s v="06897"/>
    <n v="1"/>
    <n v="1"/>
    <x v="0"/>
    <n v="23"/>
    <s v="Tunnbröd"/>
    <n v="5"/>
    <x v="3"/>
    <n v="7.2"/>
    <n v="40"/>
    <n v="0"/>
    <n v="288"/>
    <n v="135.35"/>
  </r>
  <r>
    <n v="10397"/>
    <s v="PRINI"/>
    <n v="5"/>
    <x v="126"/>
    <s v="Buchanan Steven"/>
    <n v="1"/>
    <x v="1"/>
    <s v="02903"/>
    <n v="5"/>
    <n v="1"/>
    <x v="0"/>
    <n v="21"/>
    <s v="Sir Rodney's Scones"/>
    <n v="3"/>
    <x v="4"/>
    <n v="8"/>
    <n v="10"/>
    <n v="0.15000000596046448"/>
    <n v="67.999999523162842"/>
    <n v="60.26"/>
  </r>
  <r>
    <n v="10398"/>
    <s v="SAVEA"/>
    <n v="2"/>
    <x v="127"/>
    <s v="Fuller Andrew"/>
    <n v="3"/>
    <x v="0"/>
    <s v="01581"/>
    <n v="2"/>
    <n v="1"/>
    <x v="0"/>
    <n v="35"/>
    <s v="Steeleye Stout"/>
    <n v="1"/>
    <x v="5"/>
    <n v="14.4"/>
    <n v="30"/>
    <n v="0"/>
    <n v="432"/>
    <n v="89.16"/>
  </r>
  <r>
    <n v="10399"/>
    <s v="VAFFE"/>
    <n v="8"/>
    <x v="128"/>
    <s v="Callahan Laura"/>
    <n v="3"/>
    <x v="0"/>
    <s v="19428"/>
    <n v="8"/>
    <n v="3"/>
    <x v="3"/>
    <n v="68"/>
    <s v="Scottish Longbreads"/>
    <n v="3"/>
    <x v="4"/>
    <n v="10"/>
    <n v="60"/>
    <n v="0"/>
    <n v="600"/>
    <n v="27.36"/>
  </r>
  <r>
    <n v="10400"/>
    <s v="EASTC"/>
    <n v="1"/>
    <x v="129"/>
    <s v="Davolio Nancy"/>
    <n v="3"/>
    <x v="0"/>
    <s v="06897"/>
    <n v="1"/>
    <n v="1"/>
    <x v="0"/>
    <n v="29"/>
    <s v="Thüringer Rostbratwurst"/>
    <n v="6"/>
    <x v="6"/>
    <n v="99"/>
    <n v="21"/>
    <n v="0"/>
    <n v="2079"/>
    <n v="83.93"/>
  </r>
  <r>
    <n v="10401"/>
    <s v="RATTC"/>
    <n v="1"/>
    <x v="129"/>
    <s v="Davolio Nancy"/>
    <n v="1"/>
    <x v="1"/>
    <s v="06897"/>
    <n v="1"/>
    <n v="1"/>
    <x v="0"/>
    <n v="30"/>
    <s v="Nord-Ost Matjeshering"/>
    <n v="8"/>
    <x v="2"/>
    <n v="20.7"/>
    <n v="18"/>
    <n v="0"/>
    <n v="372.59999999999997"/>
    <n v="12.51"/>
  </r>
  <r>
    <n v="10402"/>
    <s v="ERNSH"/>
    <n v="8"/>
    <x v="130"/>
    <s v="Callahan Laura"/>
    <n v="2"/>
    <x v="2"/>
    <s v="19428"/>
    <n v="8"/>
    <n v="3"/>
    <x v="3"/>
    <n v="23"/>
    <s v="Tunnbröd"/>
    <n v="5"/>
    <x v="3"/>
    <n v="7.2"/>
    <n v="60"/>
    <n v="0"/>
    <n v="432"/>
    <n v="67.88"/>
  </r>
  <r>
    <n v="10403"/>
    <s v="ERNSH"/>
    <n v="4"/>
    <x v="131"/>
    <s v="Peacock Margaret"/>
    <n v="3"/>
    <x v="0"/>
    <s v="20852"/>
    <n v="4"/>
    <n v="1"/>
    <x v="0"/>
    <n v="16"/>
    <s v="Pavlova"/>
    <n v="3"/>
    <x v="4"/>
    <n v="13.9"/>
    <n v="21"/>
    <n v="0.15000000596046448"/>
    <n v="248.11499826014045"/>
    <n v="73.790000000000006"/>
  </r>
  <r>
    <n v="10404"/>
    <s v="MAGAA"/>
    <n v="2"/>
    <x v="131"/>
    <s v="Fuller Andrew"/>
    <n v="1"/>
    <x v="1"/>
    <s v="01581"/>
    <n v="2"/>
    <n v="1"/>
    <x v="0"/>
    <n v="26"/>
    <s v="Gumbär Gummibärchen"/>
    <n v="3"/>
    <x v="4"/>
    <n v="24.9"/>
    <n v="30"/>
    <n v="5.000000074505806E-2"/>
    <n v="709.64999944344163"/>
    <n v="155.97"/>
  </r>
  <r>
    <n v="10405"/>
    <s v="LINOD"/>
    <n v="1"/>
    <x v="132"/>
    <s v="Davolio Nancy"/>
    <n v="1"/>
    <x v="1"/>
    <s v="06897"/>
    <n v="1"/>
    <n v="1"/>
    <x v="0"/>
    <n v="3"/>
    <s v="Aniseed Syrup"/>
    <n v="2"/>
    <x v="7"/>
    <n v="8"/>
    <n v="50"/>
    <n v="0"/>
    <n v="400"/>
    <n v="34.82"/>
  </r>
  <r>
    <n v="10406"/>
    <s v="QUEEN"/>
    <n v="7"/>
    <x v="133"/>
    <s v="King Robert"/>
    <n v="1"/>
    <x v="1"/>
    <s v="60179"/>
    <n v="7"/>
    <n v="2"/>
    <x v="1"/>
    <n v="1"/>
    <s v="Chai"/>
    <n v="1"/>
    <x v="5"/>
    <n v="14.4"/>
    <n v="10"/>
    <n v="0"/>
    <n v="144"/>
    <n v="108.04"/>
  </r>
  <r>
    <n v="10407"/>
    <s v="OTTIK"/>
    <n v="2"/>
    <x v="133"/>
    <s v="Fuller Andrew"/>
    <n v="2"/>
    <x v="2"/>
    <s v="01581"/>
    <n v="2"/>
    <n v="1"/>
    <x v="0"/>
    <n v="11"/>
    <s v="Queso Cabrales"/>
    <n v="4"/>
    <x v="0"/>
    <n v="16.8"/>
    <n v="30"/>
    <n v="0"/>
    <n v="504"/>
    <n v="91.48"/>
  </r>
  <r>
    <n v="10408"/>
    <s v="FOLIG"/>
    <n v="8"/>
    <x v="134"/>
    <s v="Callahan Laura"/>
    <n v="1"/>
    <x v="1"/>
    <s v="19428"/>
    <n v="8"/>
    <n v="3"/>
    <x v="3"/>
    <n v="37"/>
    <s v="Gravad lax"/>
    <n v="8"/>
    <x v="2"/>
    <n v="20.8"/>
    <n v="10"/>
    <n v="0"/>
    <n v="208"/>
    <n v="11.26"/>
  </r>
  <r>
    <n v="10409"/>
    <s v="OCEAN"/>
    <n v="3"/>
    <x v="135"/>
    <s v="Leverling Janet"/>
    <n v="1"/>
    <x v="1"/>
    <s v="30346"/>
    <n v="3"/>
    <n v="4"/>
    <x v="2"/>
    <n v="14"/>
    <s v="Tofu"/>
    <n v="7"/>
    <x v="1"/>
    <n v="18.600000000000001"/>
    <n v="12"/>
    <n v="0"/>
    <n v="223.20000000000002"/>
    <n v="29.83"/>
  </r>
  <r>
    <n v="10410"/>
    <s v="BOTTM"/>
    <n v="3"/>
    <x v="136"/>
    <s v="Leverling Janet"/>
    <n v="3"/>
    <x v="0"/>
    <s v="30346"/>
    <n v="3"/>
    <n v="4"/>
    <x v="2"/>
    <n v="33"/>
    <s v="Geitost"/>
    <n v="4"/>
    <x v="0"/>
    <n v="2"/>
    <n v="49"/>
    <n v="0"/>
    <n v="98"/>
    <n v="2.4"/>
  </r>
  <r>
    <n v="10411"/>
    <s v="BOTTM"/>
    <n v="9"/>
    <x v="136"/>
    <s v="Dodsworth Anne"/>
    <n v="3"/>
    <x v="0"/>
    <s v="03049"/>
    <n v="9"/>
    <n v="3"/>
    <x v="3"/>
    <n v="41"/>
    <s v="Jack's New England Clam Chowder"/>
    <n v="8"/>
    <x v="2"/>
    <n v="7.7"/>
    <n v="25"/>
    <n v="0.20000000298023224"/>
    <n v="153.99999942630529"/>
    <n v="23.65"/>
  </r>
  <r>
    <n v="10412"/>
    <s v="WARTH"/>
    <n v="8"/>
    <x v="137"/>
    <s v="Callahan Laura"/>
    <n v="2"/>
    <x v="2"/>
    <s v="19428"/>
    <n v="8"/>
    <n v="3"/>
    <x v="3"/>
    <n v="14"/>
    <s v="Tofu"/>
    <n v="7"/>
    <x v="1"/>
    <n v="18.600000000000001"/>
    <n v="20"/>
    <n v="0.10000000149011612"/>
    <n v="334.7999994456768"/>
    <n v="3.77"/>
  </r>
  <r>
    <n v="10413"/>
    <s v="LAMAI"/>
    <n v="3"/>
    <x v="138"/>
    <s v="Leverling Janet"/>
    <n v="2"/>
    <x v="2"/>
    <s v="30346"/>
    <n v="3"/>
    <n v="4"/>
    <x v="2"/>
    <n v="1"/>
    <s v="Chai"/>
    <n v="1"/>
    <x v="5"/>
    <n v="14.4"/>
    <n v="24"/>
    <n v="0"/>
    <n v="345.6"/>
    <n v="95.66"/>
  </r>
  <r>
    <n v="10414"/>
    <s v="FAMIA"/>
    <n v="2"/>
    <x v="138"/>
    <s v="Fuller Andrew"/>
    <n v="3"/>
    <x v="0"/>
    <s v="01581"/>
    <n v="2"/>
    <n v="1"/>
    <x v="0"/>
    <n v="19"/>
    <s v="Teatime Chocolate Biscuits"/>
    <n v="3"/>
    <x v="4"/>
    <n v="7.3"/>
    <n v="18"/>
    <n v="5.000000074505806E-2"/>
    <n v="124.82999990209937"/>
    <n v="21.48"/>
  </r>
  <r>
    <n v="10415"/>
    <s v="HUNGC"/>
    <n v="3"/>
    <x v="139"/>
    <s v="Leverling Janet"/>
    <n v="1"/>
    <x v="1"/>
    <s v="30346"/>
    <n v="3"/>
    <n v="4"/>
    <x v="2"/>
    <n v="17"/>
    <s v="Alice Mutton"/>
    <n v="6"/>
    <x v="6"/>
    <n v="31.2"/>
    <n v="2"/>
    <n v="0"/>
    <n v="62.4"/>
    <n v="0.2"/>
  </r>
  <r>
    <n v="10416"/>
    <s v="WARTH"/>
    <n v="8"/>
    <x v="140"/>
    <s v="Callahan Laura"/>
    <n v="3"/>
    <x v="0"/>
    <s v="19428"/>
    <n v="8"/>
    <n v="3"/>
    <x v="3"/>
    <n v="19"/>
    <s v="Teatime Chocolate Biscuits"/>
    <n v="3"/>
    <x v="4"/>
    <n v="7.3"/>
    <n v="20"/>
    <n v="0"/>
    <n v="146"/>
    <n v="22.72"/>
  </r>
  <r>
    <n v="10417"/>
    <s v="SIMOB"/>
    <n v="4"/>
    <x v="140"/>
    <s v="Peacock Margaret"/>
    <n v="3"/>
    <x v="0"/>
    <s v="20852"/>
    <n v="4"/>
    <n v="1"/>
    <x v="0"/>
    <n v="38"/>
    <s v="Côte de Blaye"/>
    <n v="1"/>
    <x v="5"/>
    <n v="210.8"/>
    <n v="50"/>
    <n v="0"/>
    <n v="10540"/>
    <n v="70.290000000000006"/>
  </r>
  <r>
    <n v="10418"/>
    <s v="QUICK"/>
    <n v="4"/>
    <x v="141"/>
    <s v="Peacock Margaret"/>
    <n v="1"/>
    <x v="1"/>
    <s v="20852"/>
    <n v="4"/>
    <n v="1"/>
    <x v="0"/>
    <n v="2"/>
    <s v="Chang"/>
    <n v="1"/>
    <x v="5"/>
    <n v="15.2"/>
    <n v="60"/>
    <n v="0"/>
    <n v="912"/>
    <n v="17.55"/>
  </r>
  <r>
    <n v="10419"/>
    <s v="RICSU"/>
    <n v="4"/>
    <x v="142"/>
    <s v="Peacock Margaret"/>
    <n v="2"/>
    <x v="2"/>
    <s v="20852"/>
    <n v="4"/>
    <n v="1"/>
    <x v="0"/>
    <n v="60"/>
    <s v="Camembert Pierrot"/>
    <n v="4"/>
    <x v="0"/>
    <n v="27.2"/>
    <n v="60"/>
    <n v="5.000000074505806E-2"/>
    <n v="1550.3999987840652"/>
    <n v="137.35"/>
  </r>
  <r>
    <n v="10420"/>
    <s v="WELLI"/>
    <n v="3"/>
    <x v="143"/>
    <s v="Leverling Janet"/>
    <n v="1"/>
    <x v="1"/>
    <s v="30346"/>
    <n v="3"/>
    <n v="4"/>
    <x v="2"/>
    <n v="9"/>
    <s v="Mishi Kobe Niku"/>
    <n v="6"/>
    <x v="6"/>
    <n v="77.599999999999994"/>
    <n v="20"/>
    <n v="0.10000000149011612"/>
    <n v="1396.7999976873398"/>
    <n v="44.12"/>
  </r>
  <r>
    <n v="10421"/>
    <s v="QUEDE"/>
    <n v="8"/>
    <x v="143"/>
    <s v="Callahan Laura"/>
    <n v="1"/>
    <x v="1"/>
    <s v="19428"/>
    <n v="8"/>
    <n v="3"/>
    <x v="3"/>
    <n v="19"/>
    <s v="Teatime Chocolate Biscuits"/>
    <n v="3"/>
    <x v="4"/>
    <n v="7.3"/>
    <n v="4"/>
    <n v="0.15000000596046448"/>
    <n v="24.819999825954437"/>
    <n v="99.23"/>
  </r>
  <r>
    <n v="10422"/>
    <s v="FRANS"/>
    <n v="2"/>
    <x v="144"/>
    <s v="Fuller Andrew"/>
    <n v="1"/>
    <x v="1"/>
    <s v="01581"/>
    <n v="2"/>
    <n v="1"/>
    <x v="0"/>
    <n v="26"/>
    <s v="Gumbär Gummibärchen"/>
    <n v="3"/>
    <x v="4"/>
    <n v="24.9"/>
    <n v="2"/>
    <n v="0"/>
    <n v="49.8"/>
    <n v="3.02"/>
  </r>
  <r>
    <n v="10423"/>
    <s v="GOURL"/>
    <n v="6"/>
    <x v="145"/>
    <s v="Suyama Michael"/>
    <n v="3"/>
    <x v="0"/>
    <s v="85014"/>
    <n v="6"/>
    <n v="2"/>
    <x v="1"/>
    <n v="31"/>
    <s v="Gorgonzola Telino"/>
    <n v="4"/>
    <x v="0"/>
    <n v="10"/>
    <n v="14"/>
    <n v="0"/>
    <n v="140"/>
    <n v="24.5"/>
  </r>
  <r>
    <n v="10424"/>
    <s v="MEREP"/>
    <n v="7"/>
    <x v="145"/>
    <s v="King Robert"/>
    <n v="2"/>
    <x v="2"/>
    <s v="60179"/>
    <n v="7"/>
    <n v="2"/>
    <x v="1"/>
    <n v="35"/>
    <s v="Steeleye Stout"/>
    <n v="1"/>
    <x v="5"/>
    <n v="14.4"/>
    <n v="60"/>
    <n v="0.20000000298023224"/>
    <n v="691.19999742507935"/>
    <n v="370.61"/>
  </r>
  <r>
    <n v="10425"/>
    <s v="LAMAI"/>
    <n v="6"/>
    <x v="146"/>
    <s v="Suyama Michael"/>
    <n v="2"/>
    <x v="2"/>
    <s v="85014"/>
    <n v="6"/>
    <n v="2"/>
    <x v="1"/>
    <n v="55"/>
    <s v="Pâté chinois"/>
    <n v="6"/>
    <x v="6"/>
    <n v="19.2"/>
    <n v="10"/>
    <n v="0.25"/>
    <n v="144"/>
    <n v="7.93"/>
  </r>
  <r>
    <n v="10426"/>
    <s v="GALED"/>
    <n v="4"/>
    <x v="147"/>
    <s v="Peacock Margaret"/>
    <n v="1"/>
    <x v="1"/>
    <s v="20852"/>
    <n v="4"/>
    <n v="1"/>
    <x v="0"/>
    <n v="56"/>
    <s v="Gnocchi di nonna Alice"/>
    <n v="5"/>
    <x v="3"/>
    <n v="30.4"/>
    <n v="5"/>
    <n v="0"/>
    <n v="152"/>
    <n v="18.690000000000001"/>
  </r>
  <r>
    <n v="10427"/>
    <s v="PICCO"/>
    <n v="4"/>
    <x v="147"/>
    <s v="Peacock Margaret"/>
    <n v="2"/>
    <x v="2"/>
    <s v="20852"/>
    <n v="4"/>
    <n v="1"/>
    <x v="0"/>
    <n v="14"/>
    <s v="Tofu"/>
    <n v="7"/>
    <x v="1"/>
    <n v="18.600000000000001"/>
    <n v="35"/>
    <n v="0"/>
    <n v="651"/>
    <n v="31.29"/>
  </r>
  <r>
    <n v="10428"/>
    <s v="REGGC"/>
    <n v="7"/>
    <x v="148"/>
    <s v="King Robert"/>
    <n v="1"/>
    <x v="1"/>
    <s v="60179"/>
    <n v="7"/>
    <n v="2"/>
    <x v="1"/>
    <n v="46"/>
    <s v="Spegesild"/>
    <n v="8"/>
    <x v="2"/>
    <n v="9.6"/>
    <n v="20"/>
    <n v="0"/>
    <n v="192"/>
    <n v="11.09"/>
  </r>
  <r>
    <n v="10429"/>
    <s v="HUNGO"/>
    <n v="3"/>
    <x v="149"/>
    <s v="Leverling Janet"/>
    <n v="2"/>
    <x v="2"/>
    <s v="30346"/>
    <n v="3"/>
    <n v="4"/>
    <x v="2"/>
    <n v="50"/>
    <s v="Valkoinen suklaa"/>
    <n v="3"/>
    <x v="4"/>
    <n v="13"/>
    <n v="40"/>
    <n v="0"/>
    <n v="520"/>
    <n v="56.63"/>
  </r>
  <r>
    <n v="10430"/>
    <s v="ERNSH"/>
    <n v="4"/>
    <x v="150"/>
    <s v="Peacock Margaret"/>
    <n v="1"/>
    <x v="1"/>
    <s v="20852"/>
    <n v="4"/>
    <n v="1"/>
    <x v="0"/>
    <n v="17"/>
    <s v="Alice Mutton"/>
    <n v="6"/>
    <x v="6"/>
    <n v="31.2"/>
    <n v="45"/>
    <n v="0.20000000298023224"/>
    <n v="1123.1999958157539"/>
    <n v="458.78"/>
  </r>
  <r>
    <n v="10431"/>
    <s v="BOTTM"/>
    <n v="4"/>
    <x v="150"/>
    <s v="Peacock Margaret"/>
    <n v="2"/>
    <x v="2"/>
    <s v="20852"/>
    <n v="4"/>
    <n v="1"/>
    <x v="0"/>
    <n v="17"/>
    <s v="Alice Mutton"/>
    <n v="6"/>
    <x v="6"/>
    <n v="31.2"/>
    <n v="50"/>
    <n v="0.25"/>
    <n v="1170"/>
    <n v="44.17"/>
  </r>
  <r>
    <n v="10432"/>
    <s v="SPLIR"/>
    <n v="3"/>
    <x v="151"/>
    <s v="Leverling Janet"/>
    <n v="2"/>
    <x v="2"/>
    <s v="30346"/>
    <n v="3"/>
    <n v="4"/>
    <x v="2"/>
    <n v="26"/>
    <s v="Gumbär Gummibärchen"/>
    <n v="3"/>
    <x v="4"/>
    <n v="24.9"/>
    <n v="10"/>
    <n v="0"/>
    <n v="249"/>
    <n v="4.34"/>
  </r>
  <r>
    <n v="10433"/>
    <s v="PRINI"/>
    <n v="3"/>
    <x v="152"/>
    <s v="Leverling Janet"/>
    <n v="3"/>
    <x v="0"/>
    <s v="30346"/>
    <n v="3"/>
    <n v="4"/>
    <x v="2"/>
    <n v="56"/>
    <s v="Gnocchi di nonna Alice"/>
    <n v="5"/>
    <x v="3"/>
    <n v="30.4"/>
    <n v="28"/>
    <n v="0"/>
    <n v="851.19999999999993"/>
    <n v="73.83"/>
  </r>
  <r>
    <n v="10434"/>
    <s v="FOLKO"/>
    <n v="3"/>
    <x v="152"/>
    <s v="Leverling Janet"/>
    <n v="2"/>
    <x v="2"/>
    <s v="30346"/>
    <n v="3"/>
    <n v="4"/>
    <x v="2"/>
    <n v="11"/>
    <s v="Queso Cabrales"/>
    <n v="4"/>
    <x v="0"/>
    <n v="16.8"/>
    <n v="6"/>
    <n v="0"/>
    <n v="100.80000000000001"/>
    <n v="17.920000000000002"/>
  </r>
  <r>
    <n v="10435"/>
    <s v="CONSH"/>
    <n v="8"/>
    <x v="153"/>
    <s v="Callahan Laura"/>
    <n v="2"/>
    <x v="2"/>
    <s v="19428"/>
    <n v="8"/>
    <n v="3"/>
    <x v="3"/>
    <n v="2"/>
    <s v="Chang"/>
    <n v="1"/>
    <x v="5"/>
    <n v="15.2"/>
    <n v="10"/>
    <n v="0"/>
    <n v="152"/>
    <n v="9.2100000000000009"/>
  </r>
  <r>
    <n v="10436"/>
    <s v="BLONP"/>
    <n v="3"/>
    <x v="154"/>
    <s v="Leverling Janet"/>
    <n v="2"/>
    <x v="2"/>
    <s v="30346"/>
    <n v="3"/>
    <n v="4"/>
    <x v="2"/>
    <n v="46"/>
    <s v="Spegesild"/>
    <n v="8"/>
    <x v="2"/>
    <n v="9.6"/>
    <n v="5"/>
    <n v="0"/>
    <n v="48"/>
    <n v="156.66"/>
  </r>
  <r>
    <n v="10437"/>
    <s v="WARTH"/>
    <n v="8"/>
    <x v="154"/>
    <s v="Callahan Laura"/>
    <n v="1"/>
    <x v="1"/>
    <s v="19428"/>
    <n v="8"/>
    <n v="3"/>
    <x v="3"/>
    <n v="53"/>
    <s v="Perth Pasties"/>
    <n v="6"/>
    <x v="6"/>
    <n v="26.2"/>
    <n v="15"/>
    <n v="0"/>
    <n v="393"/>
    <n v="19.97"/>
  </r>
  <r>
    <n v="10438"/>
    <s v="TOMSP"/>
    <n v="3"/>
    <x v="155"/>
    <s v="Leverling Janet"/>
    <n v="2"/>
    <x v="2"/>
    <s v="30346"/>
    <n v="3"/>
    <n v="4"/>
    <x v="2"/>
    <n v="19"/>
    <s v="Teatime Chocolate Biscuits"/>
    <n v="3"/>
    <x v="4"/>
    <n v="7.3"/>
    <n v="15"/>
    <n v="0.20000000298023224"/>
    <n v="87.59999967366457"/>
    <n v="8.24"/>
  </r>
  <r>
    <n v="10439"/>
    <s v="MEREP"/>
    <n v="6"/>
    <x v="156"/>
    <s v="Suyama Michael"/>
    <n v="3"/>
    <x v="0"/>
    <s v="85014"/>
    <n v="6"/>
    <n v="2"/>
    <x v="1"/>
    <n v="12"/>
    <s v="Queso Manchego La Pastora"/>
    <n v="4"/>
    <x v="0"/>
    <n v="30.4"/>
    <n v="15"/>
    <n v="0"/>
    <n v="456"/>
    <n v="4.07"/>
  </r>
  <r>
    <n v="10440"/>
    <s v="SAVEA"/>
    <n v="4"/>
    <x v="157"/>
    <s v="Peacock Margaret"/>
    <n v="2"/>
    <x v="2"/>
    <s v="20852"/>
    <n v="4"/>
    <n v="1"/>
    <x v="0"/>
    <n v="2"/>
    <s v="Chang"/>
    <n v="1"/>
    <x v="5"/>
    <n v="15.2"/>
    <n v="45"/>
    <n v="0.15000000596046448"/>
    <n v="581.3999959230423"/>
    <n v="86.53"/>
  </r>
  <r>
    <n v="10441"/>
    <s v="OLDWO"/>
    <n v="3"/>
    <x v="157"/>
    <s v="Leverling Janet"/>
    <n v="2"/>
    <x v="2"/>
    <s v="30346"/>
    <n v="3"/>
    <n v="4"/>
    <x v="2"/>
    <n v="27"/>
    <s v="Schoggi Schokolade"/>
    <n v="3"/>
    <x v="4"/>
    <n v="35.1"/>
    <n v="50"/>
    <n v="0"/>
    <n v="1755"/>
    <n v="73.02"/>
  </r>
  <r>
    <n v="10442"/>
    <s v="ERNSH"/>
    <n v="3"/>
    <x v="158"/>
    <s v="Leverling Janet"/>
    <n v="2"/>
    <x v="2"/>
    <s v="30346"/>
    <n v="3"/>
    <n v="4"/>
    <x v="2"/>
    <n v="11"/>
    <s v="Queso Cabrales"/>
    <n v="4"/>
    <x v="0"/>
    <n v="16.8"/>
    <n v="30"/>
    <n v="0"/>
    <n v="504"/>
    <n v="47.94"/>
  </r>
  <r>
    <n v="10443"/>
    <s v="REGGC"/>
    <n v="8"/>
    <x v="159"/>
    <s v="Callahan Laura"/>
    <n v="1"/>
    <x v="1"/>
    <s v="19428"/>
    <n v="8"/>
    <n v="3"/>
    <x v="3"/>
    <n v="11"/>
    <s v="Queso Cabrales"/>
    <n v="4"/>
    <x v="0"/>
    <n v="16.8"/>
    <n v="6"/>
    <n v="0.20000000298023224"/>
    <n v="80.639999699592593"/>
    <n v="13.95"/>
  </r>
  <r>
    <n v="10444"/>
    <s v="BERGS"/>
    <n v="3"/>
    <x v="159"/>
    <s v="Leverling Janet"/>
    <n v="3"/>
    <x v="0"/>
    <s v="30346"/>
    <n v="3"/>
    <n v="4"/>
    <x v="2"/>
    <n v="17"/>
    <s v="Alice Mutton"/>
    <n v="6"/>
    <x v="6"/>
    <n v="31.2"/>
    <n v="10"/>
    <n v="0"/>
    <n v="312"/>
    <n v="3.5"/>
  </r>
  <r>
    <n v="10445"/>
    <s v="BERGS"/>
    <n v="3"/>
    <x v="160"/>
    <s v="Leverling Janet"/>
    <n v="1"/>
    <x v="1"/>
    <s v="30346"/>
    <n v="3"/>
    <n v="4"/>
    <x v="2"/>
    <n v="39"/>
    <s v="Chartreuse verte"/>
    <n v="1"/>
    <x v="5"/>
    <n v="14.4"/>
    <n v="6"/>
    <n v="0"/>
    <n v="86.4"/>
    <n v="9.3000000000000007"/>
  </r>
  <r>
    <n v="10446"/>
    <s v="TOMSP"/>
    <n v="6"/>
    <x v="161"/>
    <s v="Suyama Michael"/>
    <n v="1"/>
    <x v="1"/>
    <s v="85014"/>
    <n v="6"/>
    <n v="2"/>
    <x v="1"/>
    <n v="19"/>
    <s v="Teatime Chocolate Biscuits"/>
    <n v="3"/>
    <x v="4"/>
    <n v="7.3"/>
    <n v="12"/>
    <n v="0.10000000149011612"/>
    <n v="78.839999869465828"/>
    <n v="14.68"/>
  </r>
  <r>
    <n v="10447"/>
    <s v="RICAR"/>
    <n v="4"/>
    <x v="161"/>
    <s v="Peacock Margaret"/>
    <n v="2"/>
    <x v="2"/>
    <s v="20852"/>
    <n v="4"/>
    <n v="1"/>
    <x v="0"/>
    <n v="19"/>
    <s v="Teatime Chocolate Biscuits"/>
    <n v="3"/>
    <x v="4"/>
    <n v="7.3"/>
    <n v="40"/>
    <n v="0"/>
    <n v="292"/>
    <n v="68.66"/>
  </r>
  <r>
    <n v="10448"/>
    <s v="RANCH"/>
    <n v="4"/>
    <x v="162"/>
    <s v="Peacock Margaret"/>
    <n v="2"/>
    <x v="2"/>
    <s v="20852"/>
    <n v="4"/>
    <n v="1"/>
    <x v="0"/>
    <n v="26"/>
    <s v="Gumbär Gummibärchen"/>
    <n v="3"/>
    <x v="4"/>
    <n v="24.9"/>
    <n v="6"/>
    <n v="0"/>
    <n v="149.39999999999998"/>
    <n v="38.82"/>
  </r>
  <r>
    <n v="10449"/>
    <s v="BLONP"/>
    <n v="3"/>
    <x v="163"/>
    <s v="Leverling Janet"/>
    <n v="2"/>
    <x v="2"/>
    <s v="30346"/>
    <n v="3"/>
    <n v="4"/>
    <x v="2"/>
    <n v="10"/>
    <s v="Ikura"/>
    <n v="8"/>
    <x v="2"/>
    <n v="24.8"/>
    <n v="14"/>
    <n v="0"/>
    <n v="347.2"/>
    <n v="53.3"/>
  </r>
  <r>
    <n v="10450"/>
    <s v="VICTE"/>
    <n v="8"/>
    <x v="164"/>
    <s v="Callahan Laura"/>
    <n v="2"/>
    <x v="2"/>
    <s v="19428"/>
    <n v="8"/>
    <n v="3"/>
    <x v="3"/>
    <n v="10"/>
    <s v="Ikura"/>
    <n v="8"/>
    <x v="2"/>
    <n v="24.8"/>
    <n v="20"/>
    <n v="0.20000000298023224"/>
    <n v="396.79999852180481"/>
    <n v="7.23"/>
  </r>
  <r>
    <n v="10451"/>
    <s v="QUICK"/>
    <n v="4"/>
    <x v="164"/>
    <s v="Peacock Margaret"/>
    <n v="3"/>
    <x v="0"/>
    <s v="20852"/>
    <n v="4"/>
    <n v="1"/>
    <x v="0"/>
    <n v="55"/>
    <s v="Pâté chinois"/>
    <n v="6"/>
    <x v="6"/>
    <n v="19.2"/>
    <n v="120"/>
    <n v="0.10000000149011612"/>
    <n v="2073.5999965667725"/>
    <n v="189.09"/>
  </r>
  <r>
    <n v="10452"/>
    <s v="SAVEA"/>
    <n v="8"/>
    <x v="165"/>
    <s v="Callahan Laura"/>
    <n v="1"/>
    <x v="1"/>
    <s v="19428"/>
    <n v="8"/>
    <n v="3"/>
    <x v="3"/>
    <n v="28"/>
    <s v="Rössle Sauerkraut"/>
    <n v="7"/>
    <x v="1"/>
    <n v="36.4"/>
    <n v="15"/>
    <n v="0"/>
    <n v="546"/>
    <n v="140.26"/>
  </r>
  <r>
    <n v="10453"/>
    <s v="AROUT"/>
    <n v="1"/>
    <x v="166"/>
    <s v="Davolio Nancy"/>
    <n v="2"/>
    <x v="2"/>
    <s v="06897"/>
    <n v="1"/>
    <n v="1"/>
    <x v="0"/>
    <n v="48"/>
    <s v="Chocolade"/>
    <n v="3"/>
    <x v="4"/>
    <n v="10.199999999999999"/>
    <n v="15"/>
    <n v="0.10000000149011612"/>
    <n v="137.69999977201223"/>
    <n v="25.36"/>
  </r>
  <r>
    <n v="10454"/>
    <s v="LAMAI"/>
    <n v="4"/>
    <x v="166"/>
    <s v="Peacock Margaret"/>
    <n v="3"/>
    <x v="0"/>
    <s v="20852"/>
    <n v="4"/>
    <n v="1"/>
    <x v="0"/>
    <n v="16"/>
    <s v="Pavlova"/>
    <n v="3"/>
    <x v="4"/>
    <n v="13.9"/>
    <n v="20"/>
    <n v="0.20000000298023224"/>
    <n v="222.39999917149544"/>
    <n v="2.74"/>
  </r>
  <r>
    <n v="10455"/>
    <s v="WARTH"/>
    <n v="8"/>
    <x v="167"/>
    <s v="Callahan Laura"/>
    <n v="2"/>
    <x v="2"/>
    <s v="19428"/>
    <n v="8"/>
    <n v="3"/>
    <x v="3"/>
    <n v="39"/>
    <s v="Chartreuse verte"/>
    <n v="1"/>
    <x v="5"/>
    <n v="14.4"/>
    <n v="20"/>
    <n v="0"/>
    <n v="288"/>
    <n v="180.45"/>
  </r>
  <r>
    <n v="10456"/>
    <s v="KOENE"/>
    <n v="8"/>
    <x v="168"/>
    <s v="Callahan Laura"/>
    <n v="2"/>
    <x v="2"/>
    <s v="19428"/>
    <n v="8"/>
    <n v="3"/>
    <x v="3"/>
    <n v="21"/>
    <s v="Sir Rodney's Scones"/>
    <n v="3"/>
    <x v="4"/>
    <n v="8"/>
    <n v="40"/>
    <n v="0.15000000596046448"/>
    <n v="271.99999809265137"/>
    <n v="8.1199999999999992"/>
  </r>
  <r>
    <n v="10457"/>
    <s v="KOENE"/>
    <n v="2"/>
    <x v="168"/>
    <s v="Fuller Andrew"/>
    <n v="1"/>
    <x v="1"/>
    <s v="01581"/>
    <n v="2"/>
    <n v="1"/>
    <x v="0"/>
    <n v="59"/>
    <s v="Raclette Courdavault"/>
    <n v="4"/>
    <x v="0"/>
    <n v="44"/>
    <n v="36"/>
    <n v="0"/>
    <n v="1584"/>
    <n v="11.57"/>
  </r>
  <r>
    <n v="10458"/>
    <s v="SUPRD"/>
    <n v="7"/>
    <x v="169"/>
    <s v="King Robert"/>
    <n v="3"/>
    <x v="0"/>
    <s v="60179"/>
    <n v="7"/>
    <n v="2"/>
    <x v="1"/>
    <n v="26"/>
    <s v="Gumbär Gummibärchen"/>
    <n v="3"/>
    <x v="4"/>
    <n v="24.9"/>
    <n v="30"/>
    <n v="0"/>
    <n v="747"/>
    <n v="147.06"/>
  </r>
  <r>
    <n v="10459"/>
    <s v="VICTE"/>
    <n v="4"/>
    <x v="170"/>
    <s v="Peacock Margaret"/>
    <n v="2"/>
    <x v="2"/>
    <s v="20852"/>
    <n v="4"/>
    <n v="1"/>
    <x v="0"/>
    <n v="7"/>
    <s v="Uncle Bob's Organic Dried Pears"/>
    <n v="7"/>
    <x v="1"/>
    <n v="24"/>
    <n v="16"/>
    <n v="5.000000074505806E-2"/>
    <n v="364.79999971389771"/>
    <n v="25.09"/>
  </r>
  <r>
    <n v="10460"/>
    <s v="FOLKO"/>
    <n v="8"/>
    <x v="171"/>
    <s v="Callahan Laura"/>
    <n v="1"/>
    <x v="1"/>
    <s v="19428"/>
    <n v="8"/>
    <n v="3"/>
    <x v="3"/>
    <n v="68"/>
    <s v="Scottish Longbreads"/>
    <n v="3"/>
    <x v="4"/>
    <n v="10"/>
    <n v="21"/>
    <n v="0.25"/>
    <n v="157.5"/>
    <n v="16.27"/>
  </r>
  <r>
    <n v="10461"/>
    <s v="LILAS"/>
    <n v="1"/>
    <x v="171"/>
    <s v="Davolio Nancy"/>
    <n v="3"/>
    <x v="0"/>
    <s v="06897"/>
    <n v="1"/>
    <n v="1"/>
    <x v="0"/>
    <n v="21"/>
    <s v="Sir Rodney's Scones"/>
    <n v="3"/>
    <x v="4"/>
    <n v="8"/>
    <n v="40"/>
    <n v="0.25"/>
    <n v="240"/>
    <n v="148.61000000000001"/>
  </r>
  <r>
    <n v="10462"/>
    <s v="CONSH"/>
    <n v="2"/>
    <x v="172"/>
    <s v="Fuller Andrew"/>
    <n v="1"/>
    <x v="1"/>
    <s v="01581"/>
    <n v="2"/>
    <n v="1"/>
    <x v="0"/>
    <n v="13"/>
    <s v="Konbu"/>
    <n v="8"/>
    <x v="2"/>
    <n v="4.8"/>
    <n v="1"/>
    <n v="0"/>
    <n v="4.8"/>
    <n v="6.17"/>
  </r>
  <r>
    <n v="10463"/>
    <s v="SUPRD"/>
    <n v="5"/>
    <x v="173"/>
    <s v="Buchanan Steven"/>
    <n v="3"/>
    <x v="0"/>
    <s v="02903"/>
    <n v="5"/>
    <n v="1"/>
    <x v="0"/>
    <n v="19"/>
    <s v="Teatime Chocolate Biscuits"/>
    <n v="3"/>
    <x v="4"/>
    <n v="7.3"/>
    <n v="21"/>
    <n v="0"/>
    <n v="153.29999999999998"/>
    <n v="14.78"/>
  </r>
  <r>
    <n v="10464"/>
    <s v="FURIB"/>
    <n v="4"/>
    <x v="173"/>
    <s v="Peacock Margaret"/>
    <n v="2"/>
    <x v="2"/>
    <s v="20852"/>
    <n v="4"/>
    <n v="1"/>
    <x v="0"/>
    <n v="4"/>
    <s v="Chef Anton's Cajun Seasoning"/>
    <n v="2"/>
    <x v="7"/>
    <n v="17.600000000000001"/>
    <n v="16"/>
    <n v="0.20000000298023224"/>
    <n v="225.27999916076661"/>
    <n v="89"/>
  </r>
  <r>
    <n v="10465"/>
    <s v="VAFFE"/>
    <n v="1"/>
    <x v="174"/>
    <s v="Davolio Nancy"/>
    <n v="3"/>
    <x v="0"/>
    <s v="06897"/>
    <n v="1"/>
    <n v="1"/>
    <x v="0"/>
    <n v="24"/>
    <s v="Guaraná Fantástica"/>
    <n v="1"/>
    <x v="5"/>
    <n v="3.6"/>
    <n v="25"/>
    <n v="0"/>
    <n v="90"/>
    <n v="145.04"/>
  </r>
  <r>
    <n v="10466"/>
    <s v="COMMI"/>
    <n v="4"/>
    <x v="175"/>
    <s v="Peacock Margaret"/>
    <n v="1"/>
    <x v="1"/>
    <s v="20852"/>
    <n v="4"/>
    <n v="1"/>
    <x v="0"/>
    <n v="11"/>
    <s v="Queso Cabrales"/>
    <n v="4"/>
    <x v="0"/>
    <n v="16.8"/>
    <n v="10"/>
    <n v="0"/>
    <n v="168"/>
    <n v="11.93"/>
  </r>
  <r>
    <n v="10467"/>
    <s v="MAGAA"/>
    <n v="8"/>
    <x v="175"/>
    <s v="Callahan Laura"/>
    <n v="2"/>
    <x v="2"/>
    <s v="19428"/>
    <n v="8"/>
    <n v="3"/>
    <x v="3"/>
    <n v="24"/>
    <s v="Guaraná Fantástica"/>
    <n v="1"/>
    <x v="5"/>
    <n v="3.6"/>
    <n v="28"/>
    <n v="0"/>
    <n v="100.8"/>
    <n v="4.93"/>
  </r>
  <r>
    <n v="10468"/>
    <s v="KOENE"/>
    <n v="3"/>
    <x v="176"/>
    <s v="Leverling Janet"/>
    <n v="3"/>
    <x v="0"/>
    <s v="30346"/>
    <n v="3"/>
    <n v="4"/>
    <x v="2"/>
    <n v="30"/>
    <s v="Nord-Ost Matjeshering"/>
    <n v="8"/>
    <x v="2"/>
    <n v="20.7"/>
    <n v="8"/>
    <n v="0"/>
    <n v="165.6"/>
    <n v="44.12"/>
  </r>
  <r>
    <n v="10469"/>
    <s v="WHITC"/>
    <n v="1"/>
    <x v="177"/>
    <s v="Davolio Nancy"/>
    <n v="1"/>
    <x v="1"/>
    <s v="06897"/>
    <n v="1"/>
    <n v="1"/>
    <x v="0"/>
    <n v="2"/>
    <s v="Chang"/>
    <n v="1"/>
    <x v="5"/>
    <n v="15.2"/>
    <n v="40"/>
    <n v="0.15000000596046448"/>
    <n v="516.7999963760376"/>
    <n v="60.18"/>
  </r>
  <r>
    <n v="10470"/>
    <s v="BONAP"/>
    <n v="4"/>
    <x v="178"/>
    <s v="Peacock Margaret"/>
    <n v="2"/>
    <x v="2"/>
    <s v="20852"/>
    <n v="4"/>
    <n v="1"/>
    <x v="0"/>
    <n v="18"/>
    <s v="Carnarvon Tigers"/>
    <n v="8"/>
    <x v="2"/>
    <n v="50"/>
    <n v="30"/>
    <n v="0"/>
    <n v="1500"/>
    <n v="64.56"/>
  </r>
  <r>
    <n v="10471"/>
    <s v="BSBEV"/>
    <n v="2"/>
    <x v="178"/>
    <s v="Fuller Andrew"/>
    <n v="3"/>
    <x v="0"/>
    <s v="01581"/>
    <n v="2"/>
    <n v="1"/>
    <x v="0"/>
    <n v="7"/>
    <s v="Uncle Bob's Organic Dried Pears"/>
    <n v="7"/>
    <x v="1"/>
    <n v="24"/>
    <n v="30"/>
    <n v="0"/>
    <n v="720"/>
    <n v="45.59"/>
  </r>
  <r>
    <n v="10472"/>
    <s v="SEVES"/>
    <n v="8"/>
    <x v="179"/>
    <s v="Callahan Laura"/>
    <n v="1"/>
    <x v="1"/>
    <s v="19428"/>
    <n v="8"/>
    <n v="3"/>
    <x v="3"/>
    <n v="24"/>
    <s v="Guaraná Fantástica"/>
    <n v="1"/>
    <x v="5"/>
    <n v="3.6"/>
    <n v="80"/>
    <n v="5.000000074505806E-2"/>
    <n v="273.59999978542328"/>
    <n v="4.2"/>
  </r>
  <r>
    <n v="10473"/>
    <s v="ISLAT"/>
    <n v="1"/>
    <x v="180"/>
    <s v="Davolio Nancy"/>
    <n v="3"/>
    <x v="0"/>
    <s v="06897"/>
    <n v="1"/>
    <n v="1"/>
    <x v="0"/>
    <n v="33"/>
    <s v="Geitost"/>
    <n v="4"/>
    <x v="0"/>
    <n v="2"/>
    <n v="12"/>
    <n v="0"/>
    <n v="24"/>
    <n v="16.37"/>
  </r>
  <r>
    <n v="10474"/>
    <s v="PERIC"/>
    <n v="5"/>
    <x v="180"/>
    <s v="Buchanan Steven"/>
    <n v="2"/>
    <x v="2"/>
    <s v="02903"/>
    <n v="5"/>
    <n v="1"/>
    <x v="0"/>
    <n v="14"/>
    <s v="Tofu"/>
    <n v="7"/>
    <x v="1"/>
    <n v="18.600000000000001"/>
    <n v="12"/>
    <n v="0"/>
    <n v="223.20000000000002"/>
    <n v="83.49"/>
  </r>
  <r>
    <n v="10475"/>
    <s v="SUPRD"/>
    <n v="9"/>
    <x v="181"/>
    <s v="Dodsworth Anne"/>
    <n v="1"/>
    <x v="1"/>
    <s v="03049"/>
    <n v="9"/>
    <n v="3"/>
    <x v="3"/>
    <n v="31"/>
    <s v="Gorgonzola Telino"/>
    <n v="4"/>
    <x v="0"/>
    <n v="10"/>
    <n v="35"/>
    <n v="0.15000000596046448"/>
    <n v="297.49999791383743"/>
    <n v="68.52"/>
  </r>
  <r>
    <n v="10476"/>
    <s v="HILAA"/>
    <n v="8"/>
    <x v="182"/>
    <s v="Callahan Laura"/>
    <n v="3"/>
    <x v="0"/>
    <s v="19428"/>
    <n v="8"/>
    <n v="3"/>
    <x v="3"/>
    <n v="55"/>
    <s v="Pâté chinois"/>
    <n v="6"/>
    <x v="6"/>
    <n v="19.2"/>
    <n v="2"/>
    <n v="5.000000074505806E-2"/>
    <n v="36.479999971389766"/>
    <n v="4.41"/>
  </r>
  <r>
    <n v="10477"/>
    <s v="PRINI"/>
    <n v="5"/>
    <x v="182"/>
    <s v="Buchanan Steven"/>
    <n v="2"/>
    <x v="2"/>
    <s v="02903"/>
    <n v="5"/>
    <n v="1"/>
    <x v="0"/>
    <n v="1"/>
    <s v="Chai"/>
    <n v="1"/>
    <x v="5"/>
    <n v="14.4"/>
    <n v="15"/>
    <n v="0"/>
    <n v="216"/>
    <n v="13.02"/>
  </r>
  <r>
    <n v="10478"/>
    <s v="VICTE"/>
    <n v="2"/>
    <x v="183"/>
    <s v="Fuller Andrew"/>
    <n v="3"/>
    <x v="0"/>
    <s v="01581"/>
    <n v="2"/>
    <n v="1"/>
    <x v="0"/>
    <n v="10"/>
    <s v="Ikura"/>
    <n v="8"/>
    <x v="2"/>
    <n v="24.8"/>
    <n v="20"/>
    <n v="5.000000074505806E-2"/>
    <n v="471.1999996304512"/>
    <n v="4.8099999999999996"/>
  </r>
  <r>
    <n v="10479"/>
    <s v="RATTC"/>
    <n v="3"/>
    <x v="184"/>
    <s v="Leverling Janet"/>
    <n v="3"/>
    <x v="0"/>
    <s v="30346"/>
    <n v="3"/>
    <n v="4"/>
    <x v="2"/>
    <n v="38"/>
    <s v="Côte de Blaye"/>
    <n v="1"/>
    <x v="5"/>
    <n v="210.8"/>
    <n v="30"/>
    <n v="0"/>
    <n v="6324"/>
    <n v="708.95"/>
  </r>
  <r>
    <n v="10480"/>
    <s v="FOLIG"/>
    <n v="6"/>
    <x v="185"/>
    <s v="Suyama Michael"/>
    <n v="2"/>
    <x v="2"/>
    <s v="85014"/>
    <n v="6"/>
    <n v="2"/>
    <x v="1"/>
    <n v="47"/>
    <s v="Zaanse koeken"/>
    <n v="3"/>
    <x v="4"/>
    <n v="7.6"/>
    <n v="30"/>
    <n v="0"/>
    <n v="228"/>
    <n v="1.35"/>
  </r>
  <r>
    <n v="10481"/>
    <s v="RICAR"/>
    <n v="8"/>
    <x v="185"/>
    <s v="Callahan Laura"/>
    <n v="2"/>
    <x v="2"/>
    <s v="19428"/>
    <n v="8"/>
    <n v="3"/>
    <x v="3"/>
    <n v="49"/>
    <s v="Maxilaku"/>
    <n v="3"/>
    <x v="4"/>
    <n v="16"/>
    <n v="24"/>
    <n v="0"/>
    <n v="384"/>
    <n v="64.33"/>
  </r>
  <r>
    <n v="10482"/>
    <s v="LAZYK"/>
    <n v="1"/>
    <x v="186"/>
    <s v="Davolio Nancy"/>
    <n v="3"/>
    <x v="0"/>
    <s v="06897"/>
    <n v="1"/>
    <n v="1"/>
    <x v="0"/>
    <n v="40"/>
    <s v="Boston Crab Meat"/>
    <n v="8"/>
    <x v="2"/>
    <n v="14.7"/>
    <n v="10"/>
    <n v="0"/>
    <n v="147"/>
    <n v="7.48"/>
  </r>
  <r>
    <n v="10483"/>
    <s v="WHITC"/>
    <n v="7"/>
    <x v="187"/>
    <s v="King Robert"/>
    <n v="2"/>
    <x v="2"/>
    <s v="60179"/>
    <n v="7"/>
    <n v="2"/>
    <x v="1"/>
    <n v="34"/>
    <s v="Sasquatch Ale"/>
    <n v="1"/>
    <x v="5"/>
    <n v="11.2"/>
    <n v="35"/>
    <n v="5.000000074505806E-2"/>
    <n v="372.39999970793724"/>
    <n v="15.28"/>
  </r>
  <r>
    <n v="10484"/>
    <s v="BSBEV"/>
    <n v="3"/>
    <x v="187"/>
    <s v="Leverling Janet"/>
    <n v="3"/>
    <x v="0"/>
    <s v="30346"/>
    <n v="3"/>
    <n v="4"/>
    <x v="2"/>
    <n v="21"/>
    <s v="Sir Rodney's Scones"/>
    <n v="3"/>
    <x v="4"/>
    <n v="8"/>
    <n v="14"/>
    <n v="0"/>
    <n v="112"/>
    <n v="6.88"/>
  </r>
  <r>
    <n v="10485"/>
    <s v="LINOD"/>
    <n v="4"/>
    <x v="188"/>
    <s v="Peacock Margaret"/>
    <n v="2"/>
    <x v="2"/>
    <s v="20852"/>
    <n v="4"/>
    <n v="1"/>
    <x v="0"/>
    <n v="2"/>
    <s v="Chang"/>
    <n v="1"/>
    <x v="5"/>
    <n v="15.2"/>
    <n v="20"/>
    <n v="0.10000000149011612"/>
    <n v="273.5999995470047"/>
    <n v="64.45"/>
  </r>
  <r>
    <n v="10486"/>
    <s v="HILAA"/>
    <n v="1"/>
    <x v="189"/>
    <s v="Davolio Nancy"/>
    <n v="2"/>
    <x v="2"/>
    <s v="06897"/>
    <n v="1"/>
    <n v="1"/>
    <x v="0"/>
    <n v="11"/>
    <s v="Queso Cabrales"/>
    <n v="4"/>
    <x v="0"/>
    <n v="16.8"/>
    <n v="5"/>
    <n v="0"/>
    <n v="84"/>
    <n v="30.53"/>
  </r>
  <r>
    <n v="10487"/>
    <s v="QUEEN"/>
    <n v="2"/>
    <x v="189"/>
    <s v="Fuller Andrew"/>
    <n v="2"/>
    <x v="2"/>
    <s v="01581"/>
    <n v="2"/>
    <n v="1"/>
    <x v="0"/>
    <n v="19"/>
    <s v="Teatime Chocolate Biscuits"/>
    <n v="3"/>
    <x v="4"/>
    <n v="7.3"/>
    <n v="5"/>
    <n v="0"/>
    <n v="36.5"/>
    <n v="71.069999999999993"/>
  </r>
  <r>
    <n v="10488"/>
    <s v="FRANK"/>
    <n v="8"/>
    <x v="190"/>
    <s v="Callahan Laura"/>
    <n v="2"/>
    <x v="2"/>
    <s v="19428"/>
    <n v="8"/>
    <n v="3"/>
    <x v="3"/>
    <n v="59"/>
    <s v="Raclette Courdavault"/>
    <n v="4"/>
    <x v="0"/>
    <n v="44"/>
    <n v="30"/>
    <n v="0"/>
    <n v="1320"/>
    <n v="4.93"/>
  </r>
  <r>
    <n v="10489"/>
    <s v="PICCO"/>
    <n v="6"/>
    <x v="191"/>
    <s v="Suyama Michael"/>
    <n v="2"/>
    <x v="2"/>
    <s v="85014"/>
    <n v="6"/>
    <n v="2"/>
    <x v="1"/>
    <n v="11"/>
    <s v="Queso Cabrales"/>
    <n v="4"/>
    <x v="0"/>
    <n v="16.8"/>
    <n v="15"/>
    <n v="0.25"/>
    <n v="189"/>
    <n v="5.29"/>
  </r>
  <r>
    <n v="10490"/>
    <s v="HILAA"/>
    <n v="7"/>
    <x v="192"/>
    <s v="King Robert"/>
    <n v="2"/>
    <x v="2"/>
    <s v="60179"/>
    <n v="7"/>
    <n v="2"/>
    <x v="1"/>
    <n v="59"/>
    <s v="Raclette Courdavault"/>
    <n v="4"/>
    <x v="0"/>
    <n v="44"/>
    <n v="60"/>
    <n v="0"/>
    <n v="2640"/>
    <n v="210.19"/>
  </r>
  <r>
    <n v="10491"/>
    <s v="FURIB"/>
    <n v="8"/>
    <x v="192"/>
    <s v="Callahan Laura"/>
    <n v="3"/>
    <x v="0"/>
    <s v="19428"/>
    <n v="8"/>
    <n v="3"/>
    <x v="3"/>
    <n v="44"/>
    <s v="Gula Malacca"/>
    <n v="2"/>
    <x v="7"/>
    <n v="15.5"/>
    <n v="15"/>
    <n v="0.15000000596046448"/>
    <n v="197.62499861419201"/>
    <n v="16.96"/>
  </r>
  <r>
    <n v="10492"/>
    <s v="BOTTM"/>
    <n v="3"/>
    <x v="193"/>
    <s v="Leverling Janet"/>
    <n v="1"/>
    <x v="1"/>
    <s v="30346"/>
    <n v="3"/>
    <n v="4"/>
    <x v="2"/>
    <n v="25"/>
    <s v="NuNuCa Nuß-Nougat-Creme"/>
    <n v="3"/>
    <x v="4"/>
    <n v="11.2"/>
    <n v="60"/>
    <n v="5.000000074505806E-2"/>
    <n v="638.39999949932098"/>
    <n v="62.89"/>
  </r>
  <r>
    <n v="10493"/>
    <s v="LAMAI"/>
    <n v="4"/>
    <x v="194"/>
    <s v="Peacock Margaret"/>
    <n v="3"/>
    <x v="0"/>
    <s v="20852"/>
    <n v="4"/>
    <n v="1"/>
    <x v="0"/>
    <n v="65"/>
    <s v="Louisiana Fiery Hot Pepper Sauce"/>
    <n v="2"/>
    <x v="7"/>
    <n v="16.8"/>
    <n v="15"/>
    <n v="0.10000000149011612"/>
    <n v="226.79999962449074"/>
    <n v="10.64"/>
  </r>
  <r>
    <n v="10494"/>
    <s v="COMMI"/>
    <n v="4"/>
    <x v="194"/>
    <s v="Peacock Margaret"/>
    <n v="2"/>
    <x v="2"/>
    <s v="20852"/>
    <n v="4"/>
    <n v="1"/>
    <x v="0"/>
    <n v="56"/>
    <s v="Gnocchi di nonna Alice"/>
    <n v="5"/>
    <x v="3"/>
    <n v="30.4"/>
    <n v="30"/>
    <n v="0"/>
    <n v="912"/>
    <n v="65.989999999999995"/>
  </r>
  <r>
    <n v="10495"/>
    <s v="LAUGB"/>
    <n v="3"/>
    <x v="195"/>
    <s v="Leverling Janet"/>
    <n v="3"/>
    <x v="0"/>
    <s v="30346"/>
    <n v="3"/>
    <n v="4"/>
    <x v="2"/>
    <n v="23"/>
    <s v="Tunnbröd"/>
    <n v="5"/>
    <x v="3"/>
    <n v="7.2"/>
    <n v="10"/>
    <n v="0"/>
    <n v="72"/>
    <n v="4.6500000000000004"/>
  </r>
  <r>
    <n v="10496"/>
    <s v="TRADH"/>
    <n v="7"/>
    <x v="196"/>
    <s v="King Robert"/>
    <n v="2"/>
    <x v="2"/>
    <s v="60179"/>
    <n v="7"/>
    <n v="2"/>
    <x v="1"/>
    <n v="31"/>
    <s v="Gorgonzola Telino"/>
    <n v="4"/>
    <x v="0"/>
    <n v="10"/>
    <n v="20"/>
    <n v="5.000000074505806E-2"/>
    <n v="189.99999985098839"/>
    <n v="46.77"/>
  </r>
  <r>
    <n v="10497"/>
    <s v="LEHMS"/>
    <n v="7"/>
    <x v="196"/>
    <s v="King Robert"/>
    <n v="1"/>
    <x v="1"/>
    <s v="60179"/>
    <n v="7"/>
    <n v="2"/>
    <x v="1"/>
    <n v="56"/>
    <s v="Gnocchi di nonna Alice"/>
    <n v="5"/>
    <x v="3"/>
    <n v="30.4"/>
    <n v="14"/>
    <n v="0"/>
    <n v="425.59999999999997"/>
    <n v="36.21"/>
  </r>
  <r>
    <n v="10498"/>
    <s v="HILAA"/>
    <n v="8"/>
    <x v="197"/>
    <s v="Callahan Laura"/>
    <n v="2"/>
    <x v="2"/>
    <s v="19428"/>
    <n v="8"/>
    <n v="3"/>
    <x v="3"/>
    <n v="24"/>
    <s v="Guaraná Fantástica"/>
    <n v="1"/>
    <x v="5"/>
    <n v="4.5"/>
    <n v="14"/>
    <n v="0"/>
    <n v="63"/>
    <n v="29.75"/>
  </r>
  <r>
    <n v="10499"/>
    <s v="LILAS"/>
    <n v="4"/>
    <x v="198"/>
    <s v="Peacock Margaret"/>
    <n v="2"/>
    <x v="2"/>
    <s v="20852"/>
    <n v="4"/>
    <n v="1"/>
    <x v="0"/>
    <n v="28"/>
    <s v="Rössle Sauerkraut"/>
    <n v="7"/>
    <x v="1"/>
    <n v="45.6"/>
    <n v="20"/>
    <n v="0"/>
    <n v="912"/>
    <n v="102.02"/>
  </r>
  <r>
    <n v="10500"/>
    <s v="LAMAI"/>
    <n v="6"/>
    <x v="199"/>
    <s v="Suyama Michael"/>
    <n v="1"/>
    <x v="1"/>
    <s v="85014"/>
    <n v="6"/>
    <n v="2"/>
    <x v="1"/>
    <n v="15"/>
    <s v="Genen Shouyu"/>
    <n v="2"/>
    <x v="7"/>
    <n v="15.5"/>
    <n v="12"/>
    <n v="5.000000074505806E-2"/>
    <n v="176.6999998614192"/>
    <n v="42.68"/>
  </r>
  <r>
    <n v="10501"/>
    <s v="BLAUS"/>
    <n v="9"/>
    <x v="199"/>
    <s v="Dodsworth Anne"/>
    <n v="3"/>
    <x v="0"/>
    <s v="03049"/>
    <n v="9"/>
    <n v="3"/>
    <x v="3"/>
    <n v="54"/>
    <s v="Tourtière"/>
    <n v="6"/>
    <x v="6"/>
    <n v="7.45"/>
    <n v="20"/>
    <n v="0"/>
    <n v="149"/>
    <n v="8.85"/>
  </r>
  <r>
    <n v="10502"/>
    <s v="PERIC"/>
    <n v="2"/>
    <x v="200"/>
    <s v="Fuller Andrew"/>
    <n v="1"/>
    <x v="1"/>
    <s v="01581"/>
    <n v="2"/>
    <n v="1"/>
    <x v="0"/>
    <n v="45"/>
    <s v="Rogede sild"/>
    <n v="8"/>
    <x v="2"/>
    <n v="9.5"/>
    <n v="21"/>
    <n v="0"/>
    <n v="199.5"/>
    <n v="69.319999999999993"/>
  </r>
  <r>
    <n v="10503"/>
    <s v="HUNGO"/>
    <n v="6"/>
    <x v="201"/>
    <s v="Suyama Michael"/>
    <n v="2"/>
    <x v="2"/>
    <s v="85014"/>
    <n v="6"/>
    <n v="2"/>
    <x v="1"/>
    <n v="14"/>
    <s v="Tofu"/>
    <n v="7"/>
    <x v="1"/>
    <n v="23.25"/>
    <n v="70"/>
    <n v="0"/>
    <n v="1627.5"/>
    <n v="16.739999999999998"/>
  </r>
  <r>
    <n v="10504"/>
    <s v="WHITC"/>
    <n v="4"/>
    <x v="201"/>
    <s v="Peacock Margaret"/>
    <n v="3"/>
    <x v="0"/>
    <s v="20852"/>
    <n v="4"/>
    <n v="1"/>
    <x v="0"/>
    <n v="2"/>
    <s v="Chang"/>
    <n v="1"/>
    <x v="5"/>
    <n v="19"/>
    <n v="12"/>
    <n v="0"/>
    <n v="228"/>
    <n v="59.13"/>
  </r>
  <r>
    <n v="10505"/>
    <s v="MEREP"/>
    <n v="3"/>
    <x v="202"/>
    <s v="Leverling Janet"/>
    <n v="3"/>
    <x v="0"/>
    <s v="30346"/>
    <n v="3"/>
    <n v="4"/>
    <x v="2"/>
    <n v="62"/>
    <s v="Tarte au sucre"/>
    <n v="3"/>
    <x v="4"/>
    <n v="49.3"/>
    <n v="3"/>
    <n v="0"/>
    <n v="147.89999999999998"/>
    <n v="7.13"/>
  </r>
  <r>
    <n v="10506"/>
    <s v="KOENE"/>
    <n v="9"/>
    <x v="203"/>
    <s v="Dodsworth Anne"/>
    <n v="2"/>
    <x v="2"/>
    <s v="03049"/>
    <n v="9"/>
    <n v="3"/>
    <x v="3"/>
    <n v="25"/>
    <s v="NuNuCa Nuß-Nougat-Creme"/>
    <n v="3"/>
    <x v="4"/>
    <n v="14"/>
    <n v="18"/>
    <n v="0.10000000149011612"/>
    <n v="226.79999962449074"/>
    <n v="21.19"/>
  </r>
  <r>
    <n v="10507"/>
    <s v="ANTON"/>
    <n v="7"/>
    <x v="203"/>
    <s v="King Robert"/>
    <n v="1"/>
    <x v="1"/>
    <s v="60179"/>
    <n v="7"/>
    <n v="2"/>
    <x v="1"/>
    <n v="43"/>
    <s v="Ipoh Coffee"/>
    <n v="1"/>
    <x v="5"/>
    <n v="46"/>
    <n v="15"/>
    <n v="0.15000000596046448"/>
    <n v="586.49999588727951"/>
    <n v="47.45"/>
  </r>
  <r>
    <n v="10508"/>
    <s v="OTTIK"/>
    <n v="1"/>
    <x v="204"/>
    <s v="Davolio Nancy"/>
    <n v="2"/>
    <x v="2"/>
    <s v="06897"/>
    <n v="1"/>
    <n v="1"/>
    <x v="0"/>
    <n v="13"/>
    <s v="Konbu"/>
    <n v="8"/>
    <x v="2"/>
    <n v="6"/>
    <n v="10"/>
    <n v="0"/>
    <n v="60"/>
    <n v="4.99"/>
  </r>
  <r>
    <n v="10509"/>
    <s v="BLAUS"/>
    <n v="4"/>
    <x v="205"/>
    <s v="Peacock Margaret"/>
    <n v="1"/>
    <x v="1"/>
    <s v="20852"/>
    <n v="4"/>
    <n v="1"/>
    <x v="0"/>
    <n v="28"/>
    <s v="Rössle Sauerkraut"/>
    <n v="7"/>
    <x v="1"/>
    <n v="45.6"/>
    <n v="3"/>
    <n v="0"/>
    <n v="136.80000000000001"/>
    <n v="0.15"/>
  </r>
  <r>
    <n v="10510"/>
    <s v="SAVEA"/>
    <n v="6"/>
    <x v="206"/>
    <s v="Suyama Michael"/>
    <n v="3"/>
    <x v="0"/>
    <s v="85014"/>
    <n v="6"/>
    <n v="2"/>
    <x v="1"/>
    <n v="29"/>
    <s v="Thüringer Rostbratwurst"/>
    <n v="6"/>
    <x v="6"/>
    <n v="123.79"/>
    <n v="36"/>
    <n v="0"/>
    <n v="4456.4400000000005"/>
    <n v="367.63"/>
  </r>
  <r>
    <n v="10511"/>
    <s v="BONAP"/>
    <n v="4"/>
    <x v="206"/>
    <s v="Peacock Margaret"/>
    <n v="3"/>
    <x v="0"/>
    <s v="20852"/>
    <n v="4"/>
    <n v="1"/>
    <x v="0"/>
    <n v="4"/>
    <s v="Chef Anton's Cajun Seasoning"/>
    <n v="2"/>
    <x v="7"/>
    <n v="22"/>
    <n v="50"/>
    <n v="0.15000000596046448"/>
    <n v="934.99999344348907"/>
    <n v="350.64"/>
  </r>
  <r>
    <n v="10512"/>
    <s v="FAMIA"/>
    <n v="7"/>
    <x v="207"/>
    <s v="King Robert"/>
    <n v="2"/>
    <x v="2"/>
    <s v="60179"/>
    <n v="7"/>
    <n v="2"/>
    <x v="1"/>
    <n v="24"/>
    <s v="Guaraná Fantástica"/>
    <n v="1"/>
    <x v="5"/>
    <n v="4.5"/>
    <n v="10"/>
    <n v="0.15000000596046448"/>
    <n v="38.249999731779099"/>
    <n v="3.53"/>
  </r>
  <r>
    <n v="10513"/>
    <s v="WANDK"/>
    <n v="7"/>
    <x v="208"/>
    <s v="King Robert"/>
    <n v="1"/>
    <x v="1"/>
    <s v="60179"/>
    <n v="7"/>
    <n v="2"/>
    <x v="1"/>
    <n v="21"/>
    <s v="Sir Rodney's Scones"/>
    <n v="3"/>
    <x v="4"/>
    <n v="10"/>
    <n v="40"/>
    <n v="0.20000000298023224"/>
    <n v="319.9999988079071"/>
    <n v="105.65"/>
  </r>
  <r>
    <n v="10514"/>
    <s v="ERNSH"/>
    <n v="3"/>
    <x v="208"/>
    <s v="Leverling Janet"/>
    <n v="2"/>
    <x v="2"/>
    <s v="30346"/>
    <n v="3"/>
    <n v="4"/>
    <x v="2"/>
    <n v="20"/>
    <s v="Sir Rodney's Marmalade"/>
    <n v="3"/>
    <x v="4"/>
    <n v="81"/>
    <n v="39"/>
    <n v="0"/>
    <n v="3159"/>
    <n v="789.95"/>
  </r>
  <r>
    <n v="10515"/>
    <s v="QUICK"/>
    <n v="2"/>
    <x v="209"/>
    <s v="Fuller Andrew"/>
    <n v="1"/>
    <x v="1"/>
    <s v="01581"/>
    <n v="2"/>
    <n v="1"/>
    <x v="0"/>
    <n v="9"/>
    <s v="Mishi Kobe Niku"/>
    <n v="6"/>
    <x v="6"/>
    <n v="97"/>
    <n v="16"/>
    <n v="0.15000000596046448"/>
    <n v="1319.1999907493591"/>
    <n v="204.47"/>
  </r>
  <r>
    <n v="10516"/>
    <s v="HUNGO"/>
    <n v="2"/>
    <x v="210"/>
    <s v="Fuller Andrew"/>
    <n v="3"/>
    <x v="0"/>
    <s v="01581"/>
    <n v="2"/>
    <n v="1"/>
    <x v="0"/>
    <n v="18"/>
    <s v="Carnarvon Tigers"/>
    <n v="8"/>
    <x v="2"/>
    <n v="62.5"/>
    <n v="25"/>
    <n v="0.10000000149011612"/>
    <n v="1406.2499976716936"/>
    <n v="62.78"/>
  </r>
  <r>
    <n v="10517"/>
    <s v="NORTS"/>
    <n v="3"/>
    <x v="210"/>
    <s v="Leverling Janet"/>
    <n v="3"/>
    <x v="0"/>
    <s v="30346"/>
    <n v="3"/>
    <n v="4"/>
    <x v="2"/>
    <n v="52"/>
    <s v="Filo Mix"/>
    <n v="5"/>
    <x v="3"/>
    <n v="7"/>
    <n v="6"/>
    <n v="0"/>
    <n v="42"/>
    <n v="32.07"/>
  </r>
  <r>
    <n v="10518"/>
    <s v="TORTU"/>
    <n v="4"/>
    <x v="211"/>
    <s v="Peacock Margaret"/>
    <n v="2"/>
    <x v="2"/>
    <s v="20852"/>
    <n v="4"/>
    <n v="1"/>
    <x v="0"/>
    <n v="24"/>
    <s v="Guaraná Fantástica"/>
    <n v="1"/>
    <x v="5"/>
    <n v="4.5"/>
    <n v="5"/>
    <n v="0"/>
    <n v="22.5"/>
    <n v="218.15"/>
  </r>
  <r>
    <n v="10519"/>
    <s v="CHOPS"/>
    <n v="6"/>
    <x v="212"/>
    <s v="Suyama Michael"/>
    <n v="3"/>
    <x v="0"/>
    <s v="85014"/>
    <n v="6"/>
    <n v="2"/>
    <x v="1"/>
    <n v="10"/>
    <s v="Ikura"/>
    <n v="8"/>
    <x v="2"/>
    <n v="31"/>
    <n v="16"/>
    <n v="5.000000074505806E-2"/>
    <n v="471.1999996304512"/>
    <n v="91.76"/>
  </r>
  <r>
    <n v="10520"/>
    <s v="SANTG"/>
    <n v="7"/>
    <x v="213"/>
    <s v="King Robert"/>
    <n v="1"/>
    <x v="1"/>
    <s v="60179"/>
    <n v="7"/>
    <n v="2"/>
    <x v="1"/>
    <n v="24"/>
    <s v="Guaraná Fantástica"/>
    <n v="1"/>
    <x v="5"/>
    <n v="4.5"/>
    <n v="8"/>
    <n v="0"/>
    <n v="36"/>
    <n v="13.37"/>
  </r>
  <r>
    <n v="10521"/>
    <s v="CACTU"/>
    <n v="8"/>
    <x v="213"/>
    <s v="Callahan Laura"/>
    <n v="2"/>
    <x v="2"/>
    <s v="19428"/>
    <n v="8"/>
    <n v="3"/>
    <x v="3"/>
    <n v="35"/>
    <s v="Steeleye Stout"/>
    <n v="1"/>
    <x v="5"/>
    <n v="18"/>
    <n v="3"/>
    <n v="0"/>
    <n v="54"/>
    <n v="17.22"/>
  </r>
  <r>
    <n v="10522"/>
    <s v="LEHMS"/>
    <n v="4"/>
    <x v="214"/>
    <s v="Peacock Margaret"/>
    <n v="1"/>
    <x v="1"/>
    <s v="20852"/>
    <n v="4"/>
    <n v="1"/>
    <x v="0"/>
    <n v="1"/>
    <s v="Chai"/>
    <n v="1"/>
    <x v="5"/>
    <n v="18"/>
    <n v="40"/>
    <n v="0.20000000298023224"/>
    <n v="575.99999785423279"/>
    <n v="45.33"/>
  </r>
  <r>
    <n v="10523"/>
    <s v="SEVES"/>
    <n v="7"/>
    <x v="215"/>
    <s v="King Robert"/>
    <n v="2"/>
    <x v="2"/>
    <s v="60179"/>
    <n v="7"/>
    <n v="2"/>
    <x v="1"/>
    <n v="17"/>
    <s v="Alice Mutton"/>
    <n v="6"/>
    <x v="6"/>
    <n v="39"/>
    <n v="25"/>
    <n v="0.10000000149011612"/>
    <n v="877.49999854713678"/>
    <n v="77.63"/>
  </r>
  <r>
    <n v="10524"/>
    <s v="BERGS"/>
    <n v="1"/>
    <x v="215"/>
    <s v="Davolio Nancy"/>
    <n v="2"/>
    <x v="2"/>
    <s v="06897"/>
    <n v="1"/>
    <n v="1"/>
    <x v="0"/>
    <n v="10"/>
    <s v="Ikura"/>
    <n v="8"/>
    <x v="2"/>
    <n v="31"/>
    <n v="2"/>
    <n v="0"/>
    <n v="62"/>
    <n v="244.79"/>
  </r>
  <r>
    <n v="10525"/>
    <s v="BONAP"/>
    <n v="1"/>
    <x v="216"/>
    <s v="Davolio Nancy"/>
    <n v="2"/>
    <x v="2"/>
    <s v="06897"/>
    <n v="1"/>
    <n v="1"/>
    <x v="0"/>
    <n v="36"/>
    <s v="Inlagd Sill"/>
    <n v="8"/>
    <x v="2"/>
    <n v="19"/>
    <n v="30"/>
    <n v="0"/>
    <n v="570"/>
    <n v="11.06"/>
  </r>
  <r>
    <n v="10526"/>
    <s v="WARTH"/>
    <n v="4"/>
    <x v="217"/>
    <s v="Peacock Margaret"/>
    <n v="2"/>
    <x v="2"/>
    <s v="20852"/>
    <n v="4"/>
    <n v="1"/>
    <x v="0"/>
    <n v="1"/>
    <s v="Chai"/>
    <n v="1"/>
    <x v="5"/>
    <n v="18"/>
    <n v="8"/>
    <n v="0.15000000596046448"/>
    <n v="122.39999914169312"/>
    <n v="58.59"/>
  </r>
  <r>
    <n v="10527"/>
    <s v="QUICK"/>
    <n v="7"/>
    <x v="217"/>
    <s v="King Robert"/>
    <n v="1"/>
    <x v="1"/>
    <s v="60179"/>
    <n v="7"/>
    <n v="2"/>
    <x v="1"/>
    <n v="4"/>
    <s v="Chef Anton's Cajun Seasoning"/>
    <n v="2"/>
    <x v="7"/>
    <n v="22"/>
    <n v="50"/>
    <n v="0.10000000149011612"/>
    <n v="989.99999836087227"/>
    <n v="41.9"/>
  </r>
  <r>
    <n v="10528"/>
    <s v="GREAL"/>
    <n v="6"/>
    <x v="218"/>
    <s v="Suyama Michael"/>
    <n v="2"/>
    <x v="2"/>
    <s v="85014"/>
    <n v="6"/>
    <n v="2"/>
    <x v="1"/>
    <n v="11"/>
    <s v="Queso Cabrales"/>
    <n v="4"/>
    <x v="0"/>
    <n v="21"/>
    <n v="3"/>
    <n v="0"/>
    <n v="63"/>
    <n v="3.35"/>
  </r>
  <r>
    <n v="10529"/>
    <s v="MAISD"/>
    <n v="5"/>
    <x v="219"/>
    <s v="Buchanan Steven"/>
    <n v="2"/>
    <x v="2"/>
    <s v="02903"/>
    <n v="5"/>
    <n v="1"/>
    <x v="0"/>
    <n v="55"/>
    <s v="Pâté chinois"/>
    <n v="6"/>
    <x v="6"/>
    <n v="24"/>
    <n v="14"/>
    <n v="0"/>
    <n v="336"/>
    <n v="66.69"/>
  </r>
  <r>
    <n v="10530"/>
    <s v="PICCO"/>
    <n v="3"/>
    <x v="220"/>
    <s v="Leverling Janet"/>
    <n v="2"/>
    <x v="2"/>
    <s v="30346"/>
    <n v="3"/>
    <n v="4"/>
    <x v="2"/>
    <n v="17"/>
    <s v="Alice Mutton"/>
    <n v="6"/>
    <x v="6"/>
    <n v="39"/>
    <n v="40"/>
    <n v="0"/>
    <n v="1560"/>
    <n v="339.22"/>
  </r>
  <r>
    <n v="10531"/>
    <s v="OCEAN"/>
    <n v="7"/>
    <x v="220"/>
    <s v="King Robert"/>
    <n v="1"/>
    <x v="1"/>
    <s v="60179"/>
    <n v="7"/>
    <n v="2"/>
    <x v="1"/>
    <n v="59"/>
    <s v="Raclette Courdavault"/>
    <n v="4"/>
    <x v="0"/>
    <n v="55"/>
    <n v="2"/>
    <n v="0"/>
    <n v="110"/>
    <n v="8.1199999999999992"/>
  </r>
  <r>
    <n v="10532"/>
    <s v="EASTC"/>
    <n v="7"/>
    <x v="221"/>
    <s v="King Robert"/>
    <n v="3"/>
    <x v="0"/>
    <s v="60179"/>
    <n v="7"/>
    <n v="2"/>
    <x v="1"/>
    <n v="30"/>
    <s v="Nord-Ost Matjeshering"/>
    <n v="8"/>
    <x v="2"/>
    <n v="25.89"/>
    <n v="15"/>
    <n v="0"/>
    <n v="388.35"/>
    <n v="74.459999999999994"/>
  </r>
  <r>
    <n v="10533"/>
    <s v="FOLKO"/>
    <n v="8"/>
    <x v="222"/>
    <s v="Callahan Laura"/>
    <n v="1"/>
    <x v="1"/>
    <s v="19428"/>
    <n v="8"/>
    <n v="3"/>
    <x v="3"/>
    <n v="4"/>
    <s v="Chef Anton's Cajun Seasoning"/>
    <n v="2"/>
    <x v="7"/>
    <n v="22"/>
    <n v="50"/>
    <n v="5.000000074505806E-2"/>
    <n v="1044.9999991804361"/>
    <n v="188.04"/>
  </r>
  <r>
    <n v="10534"/>
    <s v="LEHMS"/>
    <n v="8"/>
    <x v="222"/>
    <s v="Callahan Laura"/>
    <n v="2"/>
    <x v="2"/>
    <s v="19428"/>
    <n v="8"/>
    <n v="3"/>
    <x v="3"/>
    <n v="30"/>
    <s v="Nord-Ost Matjeshering"/>
    <n v="8"/>
    <x v="2"/>
    <n v="25.89"/>
    <n v="10"/>
    <n v="0"/>
    <n v="258.89999999999998"/>
    <n v="27.94"/>
  </r>
  <r>
    <n v="10535"/>
    <s v="ANTON"/>
    <n v="4"/>
    <x v="223"/>
    <s v="Peacock Margaret"/>
    <n v="1"/>
    <x v="1"/>
    <s v="20852"/>
    <n v="4"/>
    <n v="1"/>
    <x v="0"/>
    <n v="11"/>
    <s v="Queso Cabrales"/>
    <n v="4"/>
    <x v="0"/>
    <n v="21"/>
    <n v="50"/>
    <n v="0.10000000149011612"/>
    <n v="944.99999843537807"/>
    <n v="15.64"/>
  </r>
  <r>
    <n v="10536"/>
    <s v="LEHMS"/>
    <n v="3"/>
    <x v="224"/>
    <s v="Leverling Janet"/>
    <n v="2"/>
    <x v="2"/>
    <s v="30346"/>
    <n v="3"/>
    <n v="4"/>
    <x v="2"/>
    <n v="12"/>
    <s v="Queso Manchego La Pastora"/>
    <n v="4"/>
    <x v="0"/>
    <n v="38"/>
    <n v="15"/>
    <n v="0.25"/>
    <n v="427.5"/>
    <n v="58.88"/>
  </r>
  <r>
    <n v="10537"/>
    <s v="RICSU"/>
    <n v="1"/>
    <x v="224"/>
    <s v="Davolio Nancy"/>
    <n v="1"/>
    <x v="1"/>
    <s v="06897"/>
    <n v="1"/>
    <n v="1"/>
    <x v="0"/>
    <n v="31"/>
    <s v="Gorgonzola Telino"/>
    <n v="4"/>
    <x v="0"/>
    <n v="12.5"/>
    <n v="30"/>
    <n v="0"/>
    <n v="375"/>
    <n v="78.849999999999994"/>
  </r>
  <r>
    <n v="10538"/>
    <s v="BSBEV"/>
    <n v="9"/>
    <x v="225"/>
    <s v="Dodsworth Anne"/>
    <n v="3"/>
    <x v="0"/>
    <s v="03049"/>
    <n v="9"/>
    <n v="3"/>
    <x v="3"/>
    <n v="70"/>
    <s v="Outback Lager"/>
    <n v="1"/>
    <x v="5"/>
    <n v="15"/>
    <n v="7"/>
    <n v="0"/>
    <n v="105"/>
    <n v="4.87"/>
  </r>
  <r>
    <n v="10539"/>
    <s v="BSBEV"/>
    <n v="6"/>
    <x v="226"/>
    <s v="Suyama Michael"/>
    <n v="3"/>
    <x v="0"/>
    <s v="85014"/>
    <n v="6"/>
    <n v="2"/>
    <x v="1"/>
    <n v="13"/>
    <s v="Konbu"/>
    <n v="8"/>
    <x v="2"/>
    <n v="6"/>
    <n v="8"/>
    <n v="0"/>
    <n v="48"/>
    <n v="12.36"/>
  </r>
  <r>
    <n v="10540"/>
    <s v="QUICK"/>
    <n v="3"/>
    <x v="227"/>
    <s v="Leverling Janet"/>
    <n v="3"/>
    <x v="0"/>
    <s v="30346"/>
    <n v="3"/>
    <n v="4"/>
    <x v="2"/>
    <n v="3"/>
    <s v="Aniseed Syrup"/>
    <n v="2"/>
    <x v="7"/>
    <n v="10"/>
    <n v="60"/>
    <n v="0"/>
    <n v="600"/>
    <n v="1007.64"/>
  </r>
  <r>
    <n v="10541"/>
    <s v="HANAR"/>
    <n v="2"/>
    <x v="227"/>
    <s v="Fuller Andrew"/>
    <n v="1"/>
    <x v="1"/>
    <s v="01581"/>
    <n v="2"/>
    <n v="1"/>
    <x v="0"/>
    <n v="24"/>
    <s v="Guaraná Fantástica"/>
    <n v="1"/>
    <x v="5"/>
    <n v="4.5"/>
    <n v="35"/>
    <n v="0.10000000149011612"/>
    <n v="141.74999976530671"/>
    <n v="68.650000000000006"/>
  </r>
  <r>
    <n v="10542"/>
    <s v="KOENE"/>
    <n v="1"/>
    <x v="228"/>
    <s v="Davolio Nancy"/>
    <n v="3"/>
    <x v="0"/>
    <s v="06897"/>
    <n v="1"/>
    <n v="1"/>
    <x v="0"/>
    <n v="11"/>
    <s v="Queso Cabrales"/>
    <n v="4"/>
    <x v="0"/>
    <n v="21"/>
    <n v="15"/>
    <n v="5.000000074505806E-2"/>
    <n v="299.24999976530671"/>
    <n v="10.95"/>
  </r>
  <r>
    <n v="10543"/>
    <s v="LILAS"/>
    <n v="8"/>
    <x v="229"/>
    <s v="Callahan Laura"/>
    <n v="2"/>
    <x v="2"/>
    <s v="19428"/>
    <n v="8"/>
    <n v="3"/>
    <x v="3"/>
    <n v="12"/>
    <s v="Queso Manchego La Pastora"/>
    <n v="4"/>
    <x v="0"/>
    <n v="38"/>
    <n v="30"/>
    <n v="0.15000000596046448"/>
    <n v="968.9999932050705"/>
    <n v="48.17"/>
  </r>
  <r>
    <n v="10544"/>
    <s v="LONEP"/>
    <n v="4"/>
    <x v="229"/>
    <s v="Peacock Margaret"/>
    <n v="1"/>
    <x v="1"/>
    <s v="20852"/>
    <n v="4"/>
    <n v="1"/>
    <x v="0"/>
    <n v="28"/>
    <s v="Rössle Sauerkraut"/>
    <n v="7"/>
    <x v="1"/>
    <n v="45.6"/>
    <n v="7"/>
    <n v="0"/>
    <n v="319.2"/>
    <n v="24.91"/>
  </r>
  <r>
    <n v="10545"/>
    <s v="LAZYK"/>
    <n v="8"/>
    <x v="230"/>
    <s v="Callahan Laura"/>
    <n v="2"/>
    <x v="2"/>
    <s v="19428"/>
    <n v="8"/>
    <n v="3"/>
    <x v="3"/>
    <n v="11"/>
    <s v="Queso Cabrales"/>
    <n v="4"/>
    <x v="0"/>
    <n v="21"/>
    <n v="10"/>
    <n v="0"/>
    <n v="210"/>
    <n v="11.92"/>
  </r>
  <r>
    <n v="10546"/>
    <s v="VICTE"/>
    <n v="1"/>
    <x v="231"/>
    <s v="Davolio Nancy"/>
    <n v="3"/>
    <x v="0"/>
    <s v="06897"/>
    <n v="1"/>
    <n v="1"/>
    <x v="0"/>
    <n v="7"/>
    <s v="Uncle Bob's Organic Dried Pears"/>
    <n v="7"/>
    <x v="1"/>
    <n v="30"/>
    <n v="10"/>
    <n v="0"/>
    <n v="300"/>
    <n v="194.72"/>
  </r>
  <r>
    <n v="10547"/>
    <s v="SEVES"/>
    <n v="3"/>
    <x v="231"/>
    <s v="Leverling Janet"/>
    <n v="2"/>
    <x v="2"/>
    <s v="30346"/>
    <n v="3"/>
    <n v="4"/>
    <x v="2"/>
    <n v="32"/>
    <s v="Mascarpone Fabioli"/>
    <n v="4"/>
    <x v="0"/>
    <n v="32"/>
    <n v="24"/>
    <n v="0.15000000596046448"/>
    <n v="652.79999542236328"/>
    <n v="178.43"/>
  </r>
  <r>
    <n v="10548"/>
    <s v="TOMSP"/>
    <n v="3"/>
    <x v="232"/>
    <s v="Leverling Janet"/>
    <n v="2"/>
    <x v="2"/>
    <s v="30346"/>
    <n v="3"/>
    <n v="4"/>
    <x v="2"/>
    <n v="34"/>
    <s v="Sasquatch Ale"/>
    <n v="1"/>
    <x v="5"/>
    <n v="14"/>
    <n v="10"/>
    <n v="0.25"/>
    <n v="105"/>
    <n v="1.43"/>
  </r>
  <r>
    <n v="10549"/>
    <s v="QUICK"/>
    <n v="5"/>
    <x v="233"/>
    <s v="Buchanan Steven"/>
    <n v="1"/>
    <x v="1"/>
    <s v="02903"/>
    <n v="5"/>
    <n v="1"/>
    <x v="0"/>
    <n v="31"/>
    <s v="Gorgonzola Telino"/>
    <n v="4"/>
    <x v="0"/>
    <n v="12.5"/>
    <n v="55"/>
    <n v="0.15000000596046448"/>
    <n v="584.37499590218067"/>
    <n v="171.24"/>
  </r>
  <r>
    <n v="10550"/>
    <s v="GODOS"/>
    <n v="7"/>
    <x v="234"/>
    <s v="King Robert"/>
    <n v="3"/>
    <x v="0"/>
    <s v="60179"/>
    <n v="7"/>
    <n v="2"/>
    <x v="1"/>
    <n v="17"/>
    <s v="Alice Mutton"/>
    <n v="6"/>
    <x v="6"/>
    <n v="39"/>
    <n v="8"/>
    <n v="0.10000000149011612"/>
    <n v="280.79999953508377"/>
    <n v="4.32"/>
  </r>
  <r>
    <n v="10551"/>
    <s v="FURIB"/>
    <n v="4"/>
    <x v="234"/>
    <s v="Peacock Margaret"/>
    <n v="3"/>
    <x v="0"/>
    <s v="20852"/>
    <n v="4"/>
    <n v="1"/>
    <x v="0"/>
    <n v="16"/>
    <s v="Pavlova"/>
    <n v="3"/>
    <x v="4"/>
    <n v="17.45"/>
    <n v="40"/>
    <n v="0.15000000596046448"/>
    <n v="593.29999583959579"/>
    <n v="72.95"/>
  </r>
  <r>
    <n v="10552"/>
    <s v="HILAA"/>
    <n v="2"/>
    <x v="235"/>
    <s v="Fuller Andrew"/>
    <n v="1"/>
    <x v="1"/>
    <s v="01581"/>
    <n v="2"/>
    <n v="1"/>
    <x v="0"/>
    <n v="69"/>
    <s v="Gudbrandsdalsost"/>
    <n v="4"/>
    <x v="0"/>
    <n v="36"/>
    <n v="18"/>
    <n v="0"/>
    <n v="648"/>
    <n v="83.22"/>
  </r>
  <r>
    <n v="10553"/>
    <s v="WARTH"/>
    <n v="2"/>
    <x v="236"/>
    <s v="Fuller Andrew"/>
    <n v="2"/>
    <x v="2"/>
    <s v="01581"/>
    <n v="2"/>
    <n v="1"/>
    <x v="0"/>
    <n v="11"/>
    <s v="Queso Cabrales"/>
    <n v="4"/>
    <x v="0"/>
    <n v="21"/>
    <n v="15"/>
    <n v="0"/>
    <n v="315"/>
    <n v="149.49"/>
  </r>
  <r>
    <n v="10554"/>
    <s v="OTTIK"/>
    <n v="4"/>
    <x v="236"/>
    <s v="Peacock Margaret"/>
    <n v="3"/>
    <x v="0"/>
    <s v="20852"/>
    <n v="4"/>
    <n v="1"/>
    <x v="0"/>
    <n v="16"/>
    <s v="Pavlova"/>
    <n v="3"/>
    <x v="4"/>
    <n v="17.45"/>
    <n v="30"/>
    <n v="5.000000074505806E-2"/>
    <n v="497.32499960996211"/>
    <n v="120.97"/>
  </r>
  <r>
    <n v="10555"/>
    <s v="SAVEA"/>
    <n v="6"/>
    <x v="237"/>
    <s v="Suyama Michael"/>
    <n v="3"/>
    <x v="0"/>
    <s v="85014"/>
    <n v="6"/>
    <n v="2"/>
    <x v="1"/>
    <n v="14"/>
    <s v="Tofu"/>
    <n v="7"/>
    <x v="1"/>
    <n v="23.25"/>
    <n v="30"/>
    <n v="0.20000000298023224"/>
    <n v="557.99999792128801"/>
    <n v="252.49"/>
  </r>
  <r>
    <n v="10556"/>
    <s v="SIMOB"/>
    <n v="2"/>
    <x v="238"/>
    <s v="Fuller Andrew"/>
    <n v="1"/>
    <x v="1"/>
    <s v="01581"/>
    <n v="2"/>
    <n v="1"/>
    <x v="0"/>
    <n v="72"/>
    <s v="Mozzarella di Giovanni"/>
    <n v="4"/>
    <x v="0"/>
    <n v="34.799999999999997"/>
    <n v="24"/>
    <n v="0"/>
    <n v="835.19999999999993"/>
    <n v="9.8000000000000007"/>
  </r>
  <r>
    <n v="10557"/>
    <s v="LEHMS"/>
    <n v="9"/>
    <x v="238"/>
    <s v="Dodsworth Anne"/>
    <n v="2"/>
    <x v="2"/>
    <s v="03049"/>
    <n v="9"/>
    <n v="3"/>
    <x v="3"/>
    <n v="64"/>
    <s v="Wimmers gute Semmelknödel"/>
    <n v="5"/>
    <x v="3"/>
    <n v="33.25"/>
    <n v="30"/>
    <n v="0"/>
    <n v="997.5"/>
    <n v="96.72"/>
  </r>
  <r>
    <n v="10558"/>
    <s v="AROUT"/>
    <n v="1"/>
    <x v="239"/>
    <s v="Davolio Nancy"/>
    <n v="2"/>
    <x v="2"/>
    <s v="06897"/>
    <n v="1"/>
    <n v="1"/>
    <x v="0"/>
    <n v="47"/>
    <s v="Zaanse koeken"/>
    <n v="3"/>
    <x v="4"/>
    <n v="9.5"/>
    <n v="25"/>
    <n v="0"/>
    <n v="237.5"/>
    <n v="72.97"/>
  </r>
  <r>
    <n v="10559"/>
    <s v="BLONP"/>
    <n v="6"/>
    <x v="240"/>
    <s v="Suyama Michael"/>
    <n v="1"/>
    <x v="1"/>
    <s v="85014"/>
    <n v="6"/>
    <n v="2"/>
    <x v="1"/>
    <n v="41"/>
    <s v="Jack's New England Clam Chowder"/>
    <n v="8"/>
    <x v="2"/>
    <n v="9.65"/>
    <n v="12"/>
    <n v="5.000000074505806E-2"/>
    <n v="110.00999991372228"/>
    <n v="8.0500000000000007"/>
  </r>
  <r>
    <n v="10560"/>
    <s v="FRANK"/>
    <n v="8"/>
    <x v="241"/>
    <s v="Callahan Laura"/>
    <n v="1"/>
    <x v="1"/>
    <s v="19428"/>
    <n v="8"/>
    <n v="3"/>
    <x v="3"/>
    <n v="30"/>
    <s v="Nord-Ost Matjeshering"/>
    <n v="8"/>
    <x v="2"/>
    <n v="25.89"/>
    <n v="20"/>
    <n v="0"/>
    <n v="517.79999999999995"/>
    <n v="36.65"/>
  </r>
  <r>
    <n v="10561"/>
    <s v="FOLKO"/>
    <n v="2"/>
    <x v="241"/>
    <s v="Fuller Andrew"/>
    <n v="2"/>
    <x v="2"/>
    <s v="01581"/>
    <n v="2"/>
    <n v="1"/>
    <x v="0"/>
    <n v="44"/>
    <s v="Gula Malacca"/>
    <n v="2"/>
    <x v="7"/>
    <n v="19.45"/>
    <n v="10"/>
    <n v="0"/>
    <n v="194.5"/>
    <n v="242.21"/>
  </r>
  <r>
    <n v="10562"/>
    <s v="REGGC"/>
    <n v="1"/>
    <x v="242"/>
    <s v="Davolio Nancy"/>
    <n v="1"/>
    <x v="1"/>
    <s v="06897"/>
    <n v="1"/>
    <n v="1"/>
    <x v="0"/>
    <n v="33"/>
    <s v="Geitost"/>
    <n v="4"/>
    <x v="0"/>
    <n v="2.5"/>
    <n v="20"/>
    <n v="0.10000000149011612"/>
    <n v="44.999999925494194"/>
    <n v="22.95"/>
  </r>
  <r>
    <n v="10563"/>
    <s v="RICAR"/>
    <n v="2"/>
    <x v="243"/>
    <s v="Fuller Andrew"/>
    <n v="2"/>
    <x v="2"/>
    <s v="01581"/>
    <n v="2"/>
    <n v="1"/>
    <x v="0"/>
    <n v="36"/>
    <s v="Inlagd Sill"/>
    <n v="8"/>
    <x v="2"/>
    <n v="19"/>
    <n v="25"/>
    <n v="0"/>
    <n v="475"/>
    <n v="60.43"/>
  </r>
  <r>
    <n v="10564"/>
    <s v="RATTC"/>
    <n v="4"/>
    <x v="243"/>
    <s v="Peacock Margaret"/>
    <n v="3"/>
    <x v="0"/>
    <s v="20852"/>
    <n v="4"/>
    <n v="1"/>
    <x v="0"/>
    <n v="17"/>
    <s v="Alice Mutton"/>
    <n v="6"/>
    <x v="6"/>
    <n v="39"/>
    <n v="16"/>
    <n v="5.000000074505806E-2"/>
    <n v="592.79999953508377"/>
    <n v="13.75"/>
  </r>
  <r>
    <n v="10565"/>
    <s v="MEREP"/>
    <n v="8"/>
    <x v="244"/>
    <s v="Callahan Laura"/>
    <n v="2"/>
    <x v="2"/>
    <s v="19428"/>
    <n v="8"/>
    <n v="3"/>
    <x v="3"/>
    <n v="24"/>
    <s v="Guaraná Fantástica"/>
    <n v="1"/>
    <x v="5"/>
    <n v="4.5"/>
    <n v="25"/>
    <n v="0.10000000149011612"/>
    <n v="101.24999983236194"/>
    <n v="7.15"/>
  </r>
  <r>
    <n v="10566"/>
    <s v="BLONP"/>
    <n v="9"/>
    <x v="245"/>
    <s v="Dodsworth Anne"/>
    <n v="1"/>
    <x v="1"/>
    <s v="03049"/>
    <n v="9"/>
    <n v="3"/>
    <x v="3"/>
    <n v="11"/>
    <s v="Queso Cabrales"/>
    <n v="4"/>
    <x v="0"/>
    <n v="21"/>
    <n v="35"/>
    <n v="0.15000000596046448"/>
    <n v="624.74999561905861"/>
    <n v="88.4"/>
  </r>
  <r>
    <n v="10567"/>
    <s v="HUNGO"/>
    <n v="1"/>
    <x v="245"/>
    <s v="Davolio Nancy"/>
    <n v="1"/>
    <x v="1"/>
    <s v="06897"/>
    <n v="1"/>
    <n v="1"/>
    <x v="0"/>
    <n v="31"/>
    <s v="Gorgonzola Telino"/>
    <n v="4"/>
    <x v="0"/>
    <n v="12.5"/>
    <n v="60"/>
    <n v="0.20000000298023224"/>
    <n v="599.99999776482582"/>
    <n v="33.97"/>
  </r>
  <r>
    <n v="10568"/>
    <s v="GALED"/>
    <n v="3"/>
    <x v="246"/>
    <s v="Leverling Janet"/>
    <n v="3"/>
    <x v="0"/>
    <s v="30346"/>
    <n v="3"/>
    <n v="4"/>
    <x v="2"/>
    <n v="10"/>
    <s v="Ikura"/>
    <n v="8"/>
    <x v="2"/>
    <n v="31"/>
    <n v="5"/>
    <n v="0"/>
    <n v="155"/>
    <n v="6.54"/>
  </r>
  <r>
    <n v="10569"/>
    <s v="RATTC"/>
    <n v="5"/>
    <x v="247"/>
    <s v="Buchanan Steven"/>
    <n v="1"/>
    <x v="1"/>
    <s v="02903"/>
    <n v="5"/>
    <n v="1"/>
    <x v="0"/>
    <n v="31"/>
    <s v="Gorgonzola Telino"/>
    <n v="4"/>
    <x v="0"/>
    <n v="12.5"/>
    <n v="35"/>
    <n v="0.20000000298023224"/>
    <n v="349.9999986961484"/>
    <n v="58.98"/>
  </r>
  <r>
    <n v="10570"/>
    <s v="MEREP"/>
    <n v="3"/>
    <x v="248"/>
    <s v="Leverling Janet"/>
    <n v="3"/>
    <x v="0"/>
    <s v="30346"/>
    <n v="3"/>
    <n v="4"/>
    <x v="2"/>
    <n v="11"/>
    <s v="Queso Cabrales"/>
    <n v="4"/>
    <x v="0"/>
    <n v="21"/>
    <n v="15"/>
    <n v="5.000000074505806E-2"/>
    <n v="299.24999976530671"/>
    <n v="188.99"/>
  </r>
  <r>
    <n v="10571"/>
    <s v="ERNSH"/>
    <n v="8"/>
    <x v="248"/>
    <s v="Callahan Laura"/>
    <n v="3"/>
    <x v="0"/>
    <s v="19428"/>
    <n v="8"/>
    <n v="3"/>
    <x v="3"/>
    <n v="14"/>
    <s v="Tofu"/>
    <n v="7"/>
    <x v="1"/>
    <n v="23.25"/>
    <n v="11"/>
    <n v="0.15000000596046448"/>
    <n v="217.38749847561121"/>
    <n v="26.06"/>
  </r>
  <r>
    <n v="10572"/>
    <s v="BERGS"/>
    <n v="3"/>
    <x v="249"/>
    <s v="Leverling Janet"/>
    <n v="2"/>
    <x v="2"/>
    <s v="30346"/>
    <n v="3"/>
    <n v="4"/>
    <x v="2"/>
    <n v="16"/>
    <s v="Pavlova"/>
    <n v="3"/>
    <x v="4"/>
    <n v="17.45"/>
    <n v="12"/>
    <n v="0.10000000149011612"/>
    <n v="188.45999968796966"/>
    <n v="116.43"/>
  </r>
  <r>
    <n v="10573"/>
    <s v="ANTON"/>
    <n v="7"/>
    <x v="250"/>
    <s v="King Robert"/>
    <n v="3"/>
    <x v="0"/>
    <s v="60179"/>
    <n v="7"/>
    <n v="2"/>
    <x v="1"/>
    <n v="17"/>
    <s v="Alice Mutton"/>
    <n v="6"/>
    <x v="6"/>
    <n v="39"/>
    <n v="18"/>
    <n v="0"/>
    <n v="702"/>
    <n v="84.84"/>
  </r>
  <r>
    <n v="10574"/>
    <s v="TRAIH"/>
    <n v="4"/>
    <x v="250"/>
    <s v="Peacock Margaret"/>
    <n v="2"/>
    <x v="2"/>
    <s v="20852"/>
    <n v="4"/>
    <n v="1"/>
    <x v="0"/>
    <n v="33"/>
    <s v="Geitost"/>
    <n v="4"/>
    <x v="0"/>
    <n v="2.5"/>
    <n v="14"/>
    <n v="0"/>
    <n v="35"/>
    <n v="37.6"/>
  </r>
  <r>
    <n v="10575"/>
    <s v="MORGK"/>
    <n v="5"/>
    <x v="251"/>
    <s v="Buchanan Steven"/>
    <n v="1"/>
    <x v="1"/>
    <s v="02903"/>
    <n v="5"/>
    <n v="1"/>
    <x v="0"/>
    <n v="59"/>
    <s v="Raclette Courdavault"/>
    <n v="4"/>
    <x v="0"/>
    <n v="55"/>
    <n v="12"/>
    <n v="0"/>
    <n v="660"/>
    <n v="127.34"/>
  </r>
  <r>
    <n v="10576"/>
    <s v="TORTU"/>
    <n v="3"/>
    <x v="252"/>
    <s v="Leverling Janet"/>
    <n v="3"/>
    <x v="0"/>
    <s v="30346"/>
    <n v="3"/>
    <n v="4"/>
    <x v="2"/>
    <n v="1"/>
    <s v="Chai"/>
    <n v="1"/>
    <x v="5"/>
    <n v="18"/>
    <n v="10"/>
    <n v="0"/>
    <n v="180"/>
    <n v="18.559999999999999"/>
  </r>
  <r>
    <n v="10577"/>
    <s v="TRAIH"/>
    <n v="9"/>
    <x v="252"/>
    <s v="Dodsworth Anne"/>
    <n v="2"/>
    <x v="2"/>
    <s v="03049"/>
    <n v="9"/>
    <n v="3"/>
    <x v="3"/>
    <n v="39"/>
    <s v="Chartreuse verte"/>
    <n v="1"/>
    <x v="5"/>
    <n v="18"/>
    <n v="10"/>
    <n v="0"/>
    <n v="180"/>
    <n v="25.41"/>
  </r>
  <r>
    <n v="10578"/>
    <s v="BSBEV"/>
    <n v="4"/>
    <x v="253"/>
    <s v="Peacock Margaret"/>
    <n v="3"/>
    <x v="0"/>
    <s v="20852"/>
    <n v="4"/>
    <n v="1"/>
    <x v="0"/>
    <n v="35"/>
    <s v="Steeleye Stout"/>
    <n v="1"/>
    <x v="5"/>
    <n v="18"/>
    <n v="20"/>
    <n v="0"/>
    <n v="360"/>
    <n v="29.6"/>
  </r>
  <r>
    <n v="10579"/>
    <s v="LETSS"/>
    <n v="1"/>
    <x v="254"/>
    <s v="Davolio Nancy"/>
    <n v="2"/>
    <x v="2"/>
    <s v="06897"/>
    <n v="1"/>
    <n v="1"/>
    <x v="0"/>
    <n v="15"/>
    <s v="Genen Shouyu"/>
    <n v="2"/>
    <x v="7"/>
    <n v="15.5"/>
    <n v="10"/>
    <n v="0"/>
    <n v="155"/>
    <n v="13.73"/>
  </r>
  <r>
    <n v="10580"/>
    <s v="OTTIK"/>
    <n v="4"/>
    <x v="255"/>
    <s v="Peacock Margaret"/>
    <n v="3"/>
    <x v="0"/>
    <s v="20852"/>
    <n v="4"/>
    <n v="1"/>
    <x v="0"/>
    <n v="14"/>
    <s v="Tofu"/>
    <n v="7"/>
    <x v="1"/>
    <n v="23.25"/>
    <n v="15"/>
    <n v="5.000000074505806E-2"/>
    <n v="331.312499740161"/>
    <n v="75.89"/>
  </r>
  <r>
    <n v="10581"/>
    <s v="FAMIA"/>
    <n v="3"/>
    <x v="255"/>
    <s v="Leverling Janet"/>
    <n v="1"/>
    <x v="1"/>
    <s v="30346"/>
    <n v="3"/>
    <n v="4"/>
    <x v="2"/>
    <n v="75"/>
    <s v="Rhönbräu Klosterbier"/>
    <n v="1"/>
    <x v="5"/>
    <n v="7.75"/>
    <n v="50"/>
    <n v="0.20000000298023224"/>
    <n v="309.99999884516001"/>
    <n v="3.01"/>
  </r>
  <r>
    <n v="10582"/>
    <s v="BLAUS"/>
    <n v="3"/>
    <x v="256"/>
    <s v="Leverling Janet"/>
    <n v="2"/>
    <x v="2"/>
    <s v="30346"/>
    <n v="3"/>
    <n v="4"/>
    <x v="2"/>
    <n v="57"/>
    <s v="Ravioli Angelo"/>
    <n v="5"/>
    <x v="3"/>
    <n v="19.5"/>
    <n v="4"/>
    <n v="0"/>
    <n v="78"/>
    <n v="27.71"/>
  </r>
  <r>
    <n v="10583"/>
    <s v="WARTH"/>
    <n v="2"/>
    <x v="257"/>
    <s v="Fuller Andrew"/>
    <n v="2"/>
    <x v="2"/>
    <s v="01581"/>
    <n v="2"/>
    <n v="1"/>
    <x v="0"/>
    <n v="29"/>
    <s v="Thüringer Rostbratwurst"/>
    <n v="6"/>
    <x v="6"/>
    <n v="123.79"/>
    <n v="10"/>
    <n v="0"/>
    <n v="1237.9000000000001"/>
    <n v="7.28"/>
  </r>
  <r>
    <n v="10584"/>
    <s v="BLONP"/>
    <n v="4"/>
    <x v="257"/>
    <s v="Peacock Margaret"/>
    <n v="1"/>
    <x v="1"/>
    <s v="20852"/>
    <n v="4"/>
    <n v="1"/>
    <x v="0"/>
    <n v="31"/>
    <s v="Gorgonzola Telino"/>
    <n v="4"/>
    <x v="0"/>
    <n v="12.5"/>
    <n v="50"/>
    <n v="5.000000074505806E-2"/>
    <n v="593.74999953433871"/>
    <n v="59.14"/>
  </r>
  <r>
    <n v="10585"/>
    <s v="WELLI"/>
    <n v="7"/>
    <x v="258"/>
    <s v="King Robert"/>
    <n v="1"/>
    <x v="1"/>
    <s v="60179"/>
    <n v="7"/>
    <n v="2"/>
    <x v="1"/>
    <n v="47"/>
    <s v="Zaanse koeken"/>
    <n v="3"/>
    <x v="4"/>
    <n v="9.5"/>
    <n v="15"/>
    <n v="0"/>
    <n v="142.5"/>
    <n v="13.41"/>
  </r>
  <r>
    <n v="10586"/>
    <s v="REGGC"/>
    <n v="9"/>
    <x v="259"/>
    <s v="Dodsworth Anne"/>
    <n v="1"/>
    <x v="1"/>
    <s v="03049"/>
    <n v="9"/>
    <n v="3"/>
    <x v="3"/>
    <n v="52"/>
    <s v="Filo Mix"/>
    <n v="5"/>
    <x v="3"/>
    <n v="7"/>
    <n v="4"/>
    <n v="0.15000000596046448"/>
    <n v="23.799999833106995"/>
    <n v="0.48"/>
  </r>
  <r>
    <n v="10587"/>
    <s v="QUEDE"/>
    <n v="1"/>
    <x v="259"/>
    <s v="Davolio Nancy"/>
    <n v="1"/>
    <x v="1"/>
    <s v="06897"/>
    <n v="1"/>
    <n v="1"/>
    <x v="0"/>
    <n v="26"/>
    <s v="Gumbär Gummibärchen"/>
    <n v="3"/>
    <x v="4"/>
    <n v="31.23"/>
    <n v="6"/>
    <n v="0"/>
    <n v="187.38"/>
    <n v="62.52"/>
  </r>
  <r>
    <n v="10588"/>
    <s v="QUICK"/>
    <n v="2"/>
    <x v="260"/>
    <s v="Fuller Andrew"/>
    <n v="3"/>
    <x v="0"/>
    <s v="01581"/>
    <n v="2"/>
    <n v="1"/>
    <x v="0"/>
    <n v="18"/>
    <s v="Carnarvon Tigers"/>
    <n v="8"/>
    <x v="2"/>
    <n v="62.5"/>
    <n v="40"/>
    <n v="0.20000000298023224"/>
    <n v="1999.9999925494194"/>
    <n v="194.67"/>
  </r>
  <r>
    <n v="10589"/>
    <s v="GREAL"/>
    <n v="8"/>
    <x v="261"/>
    <s v="Callahan Laura"/>
    <n v="2"/>
    <x v="2"/>
    <s v="19428"/>
    <n v="8"/>
    <n v="3"/>
    <x v="3"/>
    <n v="35"/>
    <s v="Steeleye Stout"/>
    <n v="1"/>
    <x v="5"/>
    <n v="18"/>
    <n v="4"/>
    <n v="0"/>
    <n v="72"/>
    <n v="4.42"/>
  </r>
  <r>
    <n v="10590"/>
    <s v="MEREP"/>
    <n v="4"/>
    <x v="262"/>
    <s v="Peacock Margaret"/>
    <n v="3"/>
    <x v="0"/>
    <s v="20852"/>
    <n v="4"/>
    <n v="1"/>
    <x v="0"/>
    <n v="1"/>
    <s v="Chai"/>
    <n v="1"/>
    <x v="5"/>
    <n v="18"/>
    <n v="20"/>
    <n v="0"/>
    <n v="360"/>
    <n v="44.77"/>
  </r>
  <r>
    <n v="10591"/>
    <s v="VAFFE"/>
    <n v="1"/>
    <x v="262"/>
    <s v="Davolio Nancy"/>
    <n v="1"/>
    <x v="1"/>
    <s v="06897"/>
    <n v="1"/>
    <n v="1"/>
    <x v="0"/>
    <n v="3"/>
    <s v="Aniseed Syrup"/>
    <n v="2"/>
    <x v="7"/>
    <n v="10"/>
    <n v="14"/>
    <n v="0"/>
    <n v="140"/>
    <n v="55.92"/>
  </r>
  <r>
    <n v="10592"/>
    <s v="LEHMS"/>
    <n v="3"/>
    <x v="263"/>
    <s v="Leverling Janet"/>
    <n v="1"/>
    <x v="1"/>
    <s v="30346"/>
    <n v="3"/>
    <n v="4"/>
    <x v="2"/>
    <n v="15"/>
    <s v="Genen Shouyu"/>
    <n v="2"/>
    <x v="7"/>
    <n v="15.5"/>
    <n v="25"/>
    <n v="5.000000074505806E-2"/>
    <n v="368.12499971129"/>
    <n v="32.1"/>
  </r>
  <r>
    <n v="10593"/>
    <s v="LEHMS"/>
    <n v="7"/>
    <x v="264"/>
    <s v="King Robert"/>
    <n v="2"/>
    <x v="2"/>
    <s v="60179"/>
    <n v="7"/>
    <n v="2"/>
    <x v="1"/>
    <n v="20"/>
    <s v="Sir Rodney's Marmalade"/>
    <n v="3"/>
    <x v="4"/>
    <n v="81"/>
    <n v="21"/>
    <n v="0.20000000298023224"/>
    <n v="1360.799994930625"/>
    <n v="174.2"/>
  </r>
  <r>
    <n v="10594"/>
    <s v="OLDWO"/>
    <n v="3"/>
    <x v="264"/>
    <s v="Leverling Janet"/>
    <n v="2"/>
    <x v="2"/>
    <s v="30346"/>
    <n v="3"/>
    <n v="4"/>
    <x v="2"/>
    <n v="52"/>
    <s v="Filo Mix"/>
    <n v="5"/>
    <x v="3"/>
    <n v="7"/>
    <n v="24"/>
    <n v="0"/>
    <n v="168"/>
    <n v="5.24"/>
  </r>
  <r>
    <n v="10595"/>
    <s v="ERNSH"/>
    <n v="2"/>
    <x v="265"/>
    <s v="Fuller Andrew"/>
    <n v="1"/>
    <x v="1"/>
    <s v="01581"/>
    <n v="2"/>
    <n v="1"/>
    <x v="0"/>
    <n v="35"/>
    <s v="Steeleye Stout"/>
    <n v="1"/>
    <x v="5"/>
    <n v="18"/>
    <n v="30"/>
    <n v="0.25"/>
    <n v="405"/>
    <n v="96.78"/>
  </r>
  <r>
    <n v="10596"/>
    <s v="WHITC"/>
    <n v="8"/>
    <x v="266"/>
    <s v="Callahan Laura"/>
    <n v="1"/>
    <x v="1"/>
    <s v="19428"/>
    <n v="8"/>
    <n v="3"/>
    <x v="3"/>
    <n v="56"/>
    <s v="Gnocchi di nonna Alice"/>
    <n v="5"/>
    <x v="3"/>
    <n v="38"/>
    <n v="5"/>
    <n v="0.20000000298023224"/>
    <n v="151.99999943375587"/>
    <n v="16.34"/>
  </r>
  <r>
    <n v="10597"/>
    <s v="PICCO"/>
    <n v="7"/>
    <x v="266"/>
    <s v="King Robert"/>
    <n v="3"/>
    <x v="0"/>
    <s v="60179"/>
    <n v="7"/>
    <n v="2"/>
    <x v="1"/>
    <n v="24"/>
    <s v="Guaraná Fantástica"/>
    <n v="1"/>
    <x v="5"/>
    <n v="4.5"/>
    <n v="35"/>
    <n v="0.20000000298023224"/>
    <n v="125.99999953061342"/>
    <n v="35.119999999999997"/>
  </r>
  <r>
    <n v="10598"/>
    <s v="RATTC"/>
    <n v="1"/>
    <x v="267"/>
    <s v="Davolio Nancy"/>
    <n v="3"/>
    <x v="0"/>
    <s v="06897"/>
    <n v="1"/>
    <n v="1"/>
    <x v="0"/>
    <n v="27"/>
    <s v="Schoggi Schokolade"/>
    <n v="3"/>
    <x v="4"/>
    <n v="43.9"/>
    <n v="50"/>
    <n v="0"/>
    <n v="2195"/>
    <n v="44.42"/>
  </r>
  <r>
    <n v="10599"/>
    <s v="BSBEV"/>
    <n v="6"/>
    <x v="268"/>
    <s v="Suyama Michael"/>
    <n v="3"/>
    <x v="0"/>
    <s v="85014"/>
    <n v="6"/>
    <n v="2"/>
    <x v="1"/>
    <n v="62"/>
    <s v="Tarte au sucre"/>
    <n v="3"/>
    <x v="4"/>
    <n v="49.3"/>
    <n v="10"/>
    <n v="0"/>
    <n v="493"/>
    <n v="29.98"/>
  </r>
  <r>
    <n v="10600"/>
    <s v="HUNGC"/>
    <n v="4"/>
    <x v="269"/>
    <s v="Peacock Margaret"/>
    <n v="1"/>
    <x v="1"/>
    <s v="20852"/>
    <n v="4"/>
    <n v="1"/>
    <x v="0"/>
    <n v="54"/>
    <s v="Tourtière"/>
    <n v="6"/>
    <x v="6"/>
    <n v="7.45"/>
    <n v="4"/>
    <n v="0"/>
    <n v="29.8"/>
    <n v="45.13"/>
  </r>
  <r>
    <n v="10601"/>
    <s v="HILAA"/>
    <n v="7"/>
    <x v="269"/>
    <s v="King Robert"/>
    <n v="1"/>
    <x v="1"/>
    <s v="60179"/>
    <n v="7"/>
    <n v="2"/>
    <x v="1"/>
    <n v="13"/>
    <s v="Konbu"/>
    <n v="8"/>
    <x v="2"/>
    <n v="6"/>
    <n v="60"/>
    <n v="0"/>
    <n v="360"/>
    <n v="58.3"/>
  </r>
  <r>
    <n v="10602"/>
    <s v="VAFFE"/>
    <n v="8"/>
    <x v="270"/>
    <s v="Callahan Laura"/>
    <n v="2"/>
    <x v="2"/>
    <s v="19428"/>
    <n v="8"/>
    <n v="3"/>
    <x v="3"/>
    <n v="77"/>
    <s v="Original Frankfurter grüne Soße"/>
    <n v="2"/>
    <x v="7"/>
    <n v="13"/>
    <n v="5"/>
    <n v="0.25"/>
    <n v="48.75"/>
    <n v="2.92"/>
  </r>
  <r>
    <n v="10603"/>
    <s v="SAVEA"/>
    <n v="8"/>
    <x v="271"/>
    <s v="Callahan Laura"/>
    <n v="2"/>
    <x v="2"/>
    <s v="19428"/>
    <n v="8"/>
    <n v="3"/>
    <x v="3"/>
    <n v="22"/>
    <s v="Gustaf's Knäckebröd"/>
    <n v="5"/>
    <x v="3"/>
    <n v="21"/>
    <n v="48"/>
    <n v="0"/>
    <n v="1008"/>
    <n v="48.77"/>
  </r>
  <r>
    <n v="10604"/>
    <s v="FURIB"/>
    <n v="1"/>
    <x v="271"/>
    <s v="Davolio Nancy"/>
    <n v="1"/>
    <x v="1"/>
    <s v="06897"/>
    <n v="1"/>
    <n v="1"/>
    <x v="0"/>
    <n v="48"/>
    <s v="Chocolade"/>
    <n v="3"/>
    <x v="4"/>
    <n v="12.75"/>
    <n v="6"/>
    <n v="0.10000000149011612"/>
    <n v="68.849999886006117"/>
    <n v="7.46"/>
  </r>
  <r>
    <n v="10605"/>
    <s v="MEREP"/>
    <n v="1"/>
    <x v="272"/>
    <s v="Davolio Nancy"/>
    <n v="2"/>
    <x v="2"/>
    <s v="06897"/>
    <n v="1"/>
    <n v="1"/>
    <x v="0"/>
    <n v="16"/>
    <s v="Pavlova"/>
    <n v="3"/>
    <x v="4"/>
    <n v="17.45"/>
    <n v="30"/>
    <n v="5.000000074505806E-2"/>
    <n v="497.32499960996211"/>
    <n v="379.13"/>
  </r>
  <r>
    <n v="10606"/>
    <s v="TRADH"/>
    <n v="4"/>
    <x v="273"/>
    <s v="Peacock Margaret"/>
    <n v="3"/>
    <x v="0"/>
    <s v="20852"/>
    <n v="4"/>
    <n v="1"/>
    <x v="0"/>
    <n v="4"/>
    <s v="Chef Anton's Cajun Seasoning"/>
    <n v="2"/>
    <x v="7"/>
    <n v="22"/>
    <n v="20"/>
    <n v="0.20000000298023224"/>
    <n v="351.99999868869781"/>
    <n v="79.400000000000006"/>
  </r>
  <r>
    <n v="10607"/>
    <s v="SAVEA"/>
    <n v="5"/>
    <x v="273"/>
    <s v="Buchanan Steven"/>
    <n v="1"/>
    <x v="1"/>
    <s v="02903"/>
    <n v="5"/>
    <n v="1"/>
    <x v="0"/>
    <n v="7"/>
    <s v="Uncle Bob's Organic Dried Pears"/>
    <n v="7"/>
    <x v="1"/>
    <n v="30"/>
    <n v="45"/>
    <n v="0"/>
    <n v="1350"/>
    <n v="200.24"/>
  </r>
  <r>
    <n v="10608"/>
    <s v="TOMSP"/>
    <n v="4"/>
    <x v="274"/>
    <s v="Peacock Margaret"/>
    <n v="2"/>
    <x v="2"/>
    <s v="20852"/>
    <n v="4"/>
    <n v="1"/>
    <x v="0"/>
    <n v="56"/>
    <s v="Gnocchi di nonna Alice"/>
    <n v="5"/>
    <x v="3"/>
    <n v="38"/>
    <n v="28"/>
    <n v="0"/>
    <n v="1064"/>
    <n v="27.79"/>
  </r>
  <r>
    <n v="10609"/>
    <s v="DUMON"/>
    <n v="7"/>
    <x v="275"/>
    <s v="King Robert"/>
    <n v="2"/>
    <x v="2"/>
    <s v="60179"/>
    <n v="7"/>
    <n v="2"/>
    <x v="1"/>
    <n v="1"/>
    <s v="Chai"/>
    <n v="1"/>
    <x v="5"/>
    <n v="18"/>
    <n v="3"/>
    <n v="0"/>
    <n v="54"/>
    <n v="1.85"/>
  </r>
  <r>
    <n v="10610"/>
    <s v="LAMAI"/>
    <n v="8"/>
    <x v="276"/>
    <s v="Callahan Laura"/>
    <n v="1"/>
    <x v="1"/>
    <s v="19428"/>
    <n v="8"/>
    <n v="3"/>
    <x v="3"/>
    <n v="36"/>
    <s v="Inlagd Sill"/>
    <n v="8"/>
    <x v="2"/>
    <n v="19"/>
    <n v="21"/>
    <n v="0.25"/>
    <n v="299.25"/>
    <n v="26.78"/>
  </r>
  <r>
    <n v="10611"/>
    <s v="WOLZA"/>
    <n v="6"/>
    <x v="276"/>
    <s v="Suyama Michael"/>
    <n v="2"/>
    <x v="2"/>
    <s v="85014"/>
    <n v="6"/>
    <n v="2"/>
    <x v="1"/>
    <n v="1"/>
    <s v="Chai"/>
    <n v="1"/>
    <x v="5"/>
    <n v="18"/>
    <n v="6"/>
    <n v="0"/>
    <n v="108"/>
    <n v="80.650000000000006"/>
  </r>
  <r>
    <n v="10612"/>
    <s v="SAVEA"/>
    <n v="1"/>
    <x v="277"/>
    <s v="Davolio Nancy"/>
    <n v="2"/>
    <x v="2"/>
    <s v="06897"/>
    <n v="1"/>
    <n v="1"/>
    <x v="0"/>
    <n v="10"/>
    <s v="Ikura"/>
    <n v="8"/>
    <x v="2"/>
    <n v="31"/>
    <n v="70"/>
    <n v="0"/>
    <n v="2170"/>
    <n v="544.08000000000004"/>
  </r>
  <r>
    <n v="10613"/>
    <s v="HILAA"/>
    <n v="4"/>
    <x v="278"/>
    <s v="Peacock Margaret"/>
    <n v="2"/>
    <x v="2"/>
    <s v="20852"/>
    <n v="4"/>
    <n v="1"/>
    <x v="0"/>
    <n v="13"/>
    <s v="Konbu"/>
    <n v="8"/>
    <x v="2"/>
    <n v="6"/>
    <n v="8"/>
    <n v="0.10000000149011612"/>
    <n v="43.199999928474426"/>
    <n v="8.11"/>
  </r>
  <r>
    <n v="10614"/>
    <s v="BLAUS"/>
    <n v="8"/>
    <x v="278"/>
    <s v="Callahan Laura"/>
    <n v="3"/>
    <x v="0"/>
    <s v="19428"/>
    <n v="8"/>
    <n v="3"/>
    <x v="3"/>
    <n v="11"/>
    <s v="Queso Cabrales"/>
    <n v="4"/>
    <x v="0"/>
    <n v="21"/>
    <n v="14"/>
    <n v="0"/>
    <n v="294"/>
    <n v="1.93"/>
  </r>
  <r>
    <n v="10615"/>
    <s v="WILMK"/>
    <n v="2"/>
    <x v="279"/>
    <s v="Fuller Andrew"/>
    <n v="3"/>
    <x v="0"/>
    <s v="01581"/>
    <n v="2"/>
    <n v="1"/>
    <x v="0"/>
    <n v="55"/>
    <s v="Pâté chinois"/>
    <n v="6"/>
    <x v="6"/>
    <n v="24"/>
    <n v="5"/>
    <n v="0"/>
    <n v="120"/>
    <n v="0.75"/>
  </r>
  <r>
    <n v="10616"/>
    <s v="GREAL"/>
    <n v="1"/>
    <x v="280"/>
    <s v="Davolio Nancy"/>
    <n v="2"/>
    <x v="2"/>
    <s v="06897"/>
    <n v="1"/>
    <n v="1"/>
    <x v="0"/>
    <n v="38"/>
    <s v="Côte de Blaye"/>
    <n v="1"/>
    <x v="5"/>
    <n v="263.5"/>
    <n v="15"/>
    <n v="5.000000074505806E-2"/>
    <n v="3754.874997055158"/>
    <n v="116.53"/>
  </r>
  <r>
    <n v="10617"/>
    <s v="GREAL"/>
    <n v="4"/>
    <x v="280"/>
    <s v="Peacock Margaret"/>
    <n v="2"/>
    <x v="2"/>
    <s v="20852"/>
    <n v="4"/>
    <n v="1"/>
    <x v="0"/>
    <n v="59"/>
    <s v="Raclette Courdavault"/>
    <n v="4"/>
    <x v="0"/>
    <n v="55"/>
    <n v="30"/>
    <n v="0.15000000596046448"/>
    <n v="1402.4999901652336"/>
    <n v="18.53"/>
  </r>
  <r>
    <n v="10618"/>
    <s v="MEREP"/>
    <n v="1"/>
    <x v="281"/>
    <s v="Davolio Nancy"/>
    <n v="1"/>
    <x v="1"/>
    <s v="06897"/>
    <n v="1"/>
    <n v="1"/>
    <x v="0"/>
    <n v="6"/>
    <s v="Grandma's Boysenberry Spread"/>
    <n v="2"/>
    <x v="7"/>
    <n v="25"/>
    <n v="70"/>
    <n v="0"/>
    <n v="1750"/>
    <n v="154.68"/>
  </r>
  <r>
    <n v="10619"/>
    <s v="MEREP"/>
    <n v="3"/>
    <x v="282"/>
    <s v="Leverling Janet"/>
    <n v="3"/>
    <x v="0"/>
    <s v="30346"/>
    <n v="3"/>
    <n v="4"/>
    <x v="2"/>
    <n v="21"/>
    <s v="Sir Rodney's Scones"/>
    <n v="3"/>
    <x v="4"/>
    <n v="10"/>
    <n v="42"/>
    <n v="0"/>
    <n v="420"/>
    <n v="91.05"/>
  </r>
  <r>
    <n v="10620"/>
    <s v="LAUGB"/>
    <n v="2"/>
    <x v="283"/>
    <s v="Fuller Andrew"/>
    <n v="3"/>
    <x v="0"/>
    <s v="01581"/>
    <n v="2"/>
    <n v="1"/>
    <x v="0"/>
    <n v="24"/>
    <s v="Guaraná Fantástica"/>
    <n v="1"/>
    <x v="5"/>
    <n v="4.5"/>
    <n v="5"/>
    <n v="0"/>
    <n v="22.5"/>
    <n v="0.94"/>
  </r>
  <r>
    <n v="10621"/>
    <s v="ISLAT"/>
    <n v="4"/>
    <x v="283"/>
    <s v="Peacock Margaret"/>
    <n v="2"/>
    <x v="2"/>
    <s v="20852"/>
    <n v="4"/>
    <n v="1"/>
    <x v="0"/>
    <n v="19"/>
    <s v="Teatime Chocolate Biscuits"/>
    <n v="3"/>
    <x v="4"/>
    <n v="9.1999999999999993"/>
    <n v="5"/>
    <n v="0"/>
    <n v="46"/>
    <n v="23.73"/>
  </r>
  <r>
    <n v="10622"/>
    <s v="RICAR"/>
    <n v="4"/>
    <x v="284"/>
    <s v="Peacock Margaret"/>
    <n v="3"/>
    <x v="0"/>
    <s v="20852"/>
    <n v="4"/>
    <n v="1"/>
    <x v="0"/>
    <n v="2"/>
    <s v="Chang"/>
    <n v="1"/>
    <x v="5"/>
    <n v="19"/>
    <n v="20"/>
    <n v="0"/>
    <n v="380"/>
    <n v="50.97"/>
  </r>
  <r>
    <n v="10623"/>
    <s v="FRANK"/>
    <n v="8"/>
    <x v="285"/>
    <s v="Callahan Laura"/>
    <n v="2"/>
    <x v="2"/>
    <s v="19428"/>
    <n v="8"/>
    <n v="3"/>
    <x v="3"/>
    <n v="14"/>
    <s v="Tofu"/>
    <n v="7"/>
    <x v="1"/>
    <n v="23.25"/>
    <n v="21"/>
    <n v="0"/>
    <n v="488.25"/>
    <n v="97.18"/>
  </r>
  <r>
    <n v="10624"/>
    <s v="THECR"/>
    <n v="4"/>
    <x v="285"/>
    <s v="Peacock Margaret"/>
    <n v="2"/>
    <x v="2"/>
    <s v="20852"/>
    <n v="4"/>
    <n v="1"/>
    <x v="0"/>
    <n v="28"/>
    <s v="Rössle Sauerkraut"/>
    <n v="7"/>
    <x v="1"/>
    <n v="45.6"/>
    <n v="10"/>
    <n v="0"/>
    <n v="456"/>
    <n v="94.8"/>
  </r>
  <r>
    <n v="10625"/>
    <s v="ANATR"/>
    <n v="3"/>
    <x v="286"/>
    <s v="Leverling Janet"/>
    <n v="1"/>
    <x v="1"/>
    <s v="30346"/>
    <n v="3"/>
    <n v="4"/>
    <x v="2"/>
    <n v="14"/>
    <s v="Tofu"/>
    <n v="7"/>
    <x v="1"/>
    <n v="23.25"/>
    <n v="3"/>
    <n v="0"/>
    <n v="69.75"/>
    <n v="43.9"/>
  </r>
  <r>
    <n v="10626"/>
    <s v="BERGS"/>
    <n v="1"/>
    <x v="287"/>
    <s v="Davolio Nancy"/>
    <n v="2"/>
    <x v="2"/>
    <s v="06897"/>
    <n v="1"/>
    <n v="1"/>
    <x v="0"/>
    <n v="53"/>
    <s v="Perth Pasties"/>
    <n v="6"/>
    <x v="6"/>
    <n v="32.799999999999997"/>
    <n v="12"/>
    <n v="0"/>
    <n v="393.59999999999997"/>
    <n v="138.69"/>
  </r>
  <r>
    <n v="10627"/>
    <s v="SAVEA"/>
    <n v="8"/>
    <x v="287"/>
    <s v="Callahan Laura"/>
    <n v="3"/>
    <x v="0"/>
    <s v="19428"/>
    <n v="8"/>
    <n v="3"/>
    <x v="3"/>
    <n v="62"/>
    <s v="Tarte au sucre"/>
    <n v="3"/>
    <x v="4"/>
    <n v="49.3"/>
    <n v="15"/>
    <n v="0"/>
    <n v="739.5"/>
    <n v="107.46"/>
  </r>
  <r>
    <n v="10628"/>
    <s v="BLONP"/>
    <n v="4"/>
    <x v="288"/>
    <s v="Peacock Margaret"/>
    <n v="3"/>
    <x v="0"/>
    <s v="20852"/>
    <n v="4"/>
    <n v="1"/>
    <x v="0"/>
    <n v="1"/>
    <s v="Chai"/>
    <n v="1"/>
    <x v="5"/>
    <n v="18"/>
    <n v="25"/>
    <n v="0"/>
    <n v="450"/>
    <n v="30.36"/>
  </r>
  <r>
    <n v="10629"/>
    <s v="GODOS"/>
    <n v="4"/>
    <x v="288"/>
    <s v="Peacock Margaret"/>
    <n v="3"/>
    <x v="0"/>
    <s v="20852"/>
    <n v="4"/>
    <n v="1"/>
    <x v="0"/>
    <n v="29"/>
    <s v="Thüringer Rostbratwurst"/>
    <n v="6"/>
    <x v="6"/>
    <n v="123.79"/>
    <n v="20"/>
    <n v="0"/>
    <n v="2475.8000000000002"/>
    <n v="85.46"/>
  </r>
  <r>
    <n v="10630"/>
    <s v="KOENE"/>
    <n v="1"/>
    <x v="289"/>
    <s v="Davolio Nancy"/>
    <n v="2"/>
    <x v="2"/>
    <s v="06897"/>
    <n v="1"/>
    <n v="1"/>
    <x v="0"/>
    <n v="55"/>
    <s v="Pâté chinois"/>
    <n v="6"/>
    <x v="6"/>
    <n v="24"/>
    <n v="12"/>
    <n v="5.000000074505806E-2"/>
    <n v="273.59999978542328"/>
    <n v="32.35"/>
  </r>
  <r>
    <n v="10631"/>
    <s v="LAMAI"/>
    <n v="8"/>
    <x v="290"/>
    <s v="Callahan Laura"/>
    <n v="1"/>
    <x v="1"/>
    <s v="19428"/>
    <n v="8"/>
    <n v="3"/>
    <x v="3"/>
    <n v="75"/>
    <s v="Rhönbräu Klosterbier"/>
    <n v="1"/>
    <x v="5"/>
    <n v="7.75"/>
    <n v="8"/>
    <n v="0.10000000149011612"/>
    <n v="55.799999907612801"/>
    <n v="0.87"/>
  </r>
  <r>
    <n v="10632"/>
    <s v="WANDK"/>
    <n v="8"/>
    <x v="290"/>
    <s v="Callahan Laura"/>
    <n v="1"/>
    <x v="1"/>
    <s v="19428"/>
    <n v="8"/>
    <n v="3"/>
    <x v="3"/>
    <n v="2"/>
    <s v="Chang"/>
    <n v="1"/>
    <x v="5"/>
    <n v="19"/>
    <n v="30"/>
    <n v="5.000000074505806E-2"/>
    <n v="541.49999957531691"/>
    <n v="41.38"/>
  </r>
  <r>
    <n v="10633"/>
    <s v="ERNSH"/>
    <n v="7"/>
    <x v="291"/>
    <s v="King Robert"/>
    <n v="3"/>
    <x v="0"/>
    <s v="60179"/>
    <n v="7"/>
    <n v="2"/>
    <x v="1"/>
    <n v="12"/>
    <s v="Queso Manchego La Pastora"/>
    <n v="4"/>
    <x v="0"/>
    <n v="38"/>
    <n v="36"/>
    <n v="0.15000000596046448"/>
    <n v="1162.7999918460846"/>
    <n v="477.9"/>
  </r>
  <r>
    <n v="10634"/>
    <s v="FOLIG"/>
    <n v="4"/>
    <x v="291"/>
    <s v="Peacock Margaret"/>
    <n v="3"/>
    <x v="0"/>
    <s v="20852"/>
    <n v="4"/>
    <n v="1"/>
    <x v="0"/>
    <n v="7"/>
    <s v="Uncle Bob's Organic Dried Pears"/>
    <n v="7"/>
    <x v="1"/>
    <n v="30"/>
    <n v="35"/>
    <n v="0"/>
    <n v="1050"/>
    <n v="487.38"/>
  </r>
  <r>
    <n v="10635"/>
    <s v="MAGAA"/>
    <n v="8"/>
    <x v="292"/>
    <s v="Callahan Laura"/>
    <n v="3"/>
    <x v="0"/>
    <s v="19428"/>
    <n v="8"/>
    <n v="3"/>
    <x v="3"/>
    <n v="4"/>
    <s v="Chef Anton's Cajun Seasoning"/>
    <n v="2"/>
    <x v="7"/>
    <n v="22"/>
    <n v="10"/>
    <n v="0.10000000149011612"/>
    <n v="197.99999967217445"/>
    <n v="47.46"/>
  </r>
  <r>
    <n v="10636"/>
    <s v="WARTH"/>
    <n v="4"/>
    <x v="293"/>
    <s v="Peacock Margaret"/>
    <n v="1"/>
    <x v="1"/>
    <s v="20852"/>
    <n v="4"/>
    <n v="1"/>
    <x v="0"/>
    <n v="4"/>
    <s v="Chef Anton's Cajun Seasoning"/>
    <n v="2"/>
    <x v="7"/>
    <n v="22"/>
    <n v="25"/>
    <n v="0"/>
    <n v="550"/>
    <n v="1.1499999999999999"/>
  </r>
  <r>
    <n v="10637"/>
    <s v="QUEEN"/>
    <n v="6"/>
    <x v="293"/>
    <s v="Suyama Michael"/>
    <n v="1"/>
    <x v="1"/>
    <s v="85014"/>
    <n v="6"/>
    <n v="2"/>
    <x v="1"/>
    <n v="11"/>
    <s v="Queso Cabrales"/>
    <n v="4"/>
    <x v="0"/>
    <n v="21"/>
    <n v="10"/>
    <n v="0"/>
    <n v="210"/>
    <n v="201.29"/>
  </r>
  <r>
    <n v="10638"/>
    <s v="LINOD"/>
    <n v="3"/>
    <x v="294"/>
    <s v="Leverling Janet"/>
    <n v="1"/>
    <x v="1"/>
    <s v="30346"/>
    <n v="3"/>
    <n v="4"/>
    <x v="2"/>
    <n v="45"/>
    <s v="Rogede sild"/>
    <n v="8"/>
    <x v="2"/>
    <n v="9.5"/>
    <n v="20"/>
    <n v="0"/>
    <n v="190"/>
    <n v="158.44"/>
  </r>
  <r>
    <n v="10639"/>
    <s v="SANTG"/>
    <n v="7"/>
    <x v="294"/>
    <s v="King Robert"/>
    <n v="3"/>
    <x v="0"/>
    <s v="60179"/>
    <n v="7"/>
    <n v="2"/>
    <x v="1"/>
    <n v="18"/>
    <s v="Carnarvon Tigers"/>
    <n v="8"/>
    <x v="2"/>
    <n v="62.5"/>
    <n v="8"/>
    <n v="0"/>
    <n v="500"/>
    <n v="38.64"/>
  </r>
  <r>
    <n v="10640"/>
    <s v="WANDK"/>
    <n v="4"/>
    <x v="295"/>
    <s v="Peacock Margaret"/>
    <n v="1"/>
    <x v="1"/>
    <s v="20852"/>
    <n v="4"/>
    <n v="1"/>
    <x v="0"/>
    <n v="69"/>
    <s v="Gudbrandsdalsost"/>
    <n v="4"/>
    <x v="0"/>
    <n v="36"/>
    <n v="20"/>
    <n v="0.25"/>
    <n v="540"/>
    <n v="23.55"/>
  </r>
  <r>
    <n v="10641"/>
    <s v="HILAA"/>
    <n v="4"/>
    <x v="296"/>
    <s v="Peacock Margaret"/>
    <n v="2"/>
    <x v="2"/>
    <s v="20852"/>
    <n v="4"/>
    <n v="1"/>
    <x v="0"/>
    <n v="2"/>
    <s v="Chang"/>
    <n v="1"/>
    <x v="5"/>
    <n v="19"/>
    <n v="50"/>
    <n v="0"/>
    <n v="950"/>
    <n v="179.61"/>
  </r>
  <r>
    <n v="10642"/>
    <s v="SIMOB"/>
    <n v="7"/>
    <x v="296"/>
    <s v="King Robert"/>
    <n v="3"/>
    <x v="0"/>
    <s v="60179"/>
    <n v="7"/>
    <n v="2"/>
    <x v="1"/>
    <n v="21"/>
    <s v="Sir Rodney's Scones"/>
    <n v="3"/>
    <x v="4"/>
    <n v="10"/>
    <n v="30"/>
    <n v="0.20000000298023224"/>
    <n v="239.99999910593033"/>
    <n v="41.89"/>
  </r>
  <r>
    <n v="10643"/>
    <s v="ALFKI"/>
    <n v="6"/>
    <x v="297"/>
    <s v="Suyama Michael"/>
    <n v="1"/>
    <x v="1"/>
    <s v="85014"/>
    <n v="6"/>
    <n v="2"/>
    <x v="1"/>
    <n v="28"/>
    <s v="Rössle Sauerkraut"/>
    <n v="7"/>
    <x v="1"/>
    <n v="45.6"/>
    <n v="15"/>
    <n v="0.25"/>
    <n v="513"/>
    <n v="29.46"/>
  </r>
  <r>
    <n v="10644"/>
    <s v="WELLI"/>
    <n v="3"/>
    <x v="297"/>
    <s v="Leverling Janet"/>
    <n v="2"/>
    <x v="2"/>
    <s v="30346"/>
    <n v="3"/>
    <n v="4"/>
    <x v="2"/>
    <n v="18"/>
    <s v="Carnarvon Tigers"/>
    <n v="8"/>
    <x v="2"/>
    <n v="62.5"/>
    <n v="4"/>
    <n v="0.10000000149011612"/>
    <n v="224.99999962747097"/>
    <n v="0.14000000000000001"/>
  </r>
  <r>
    <n v="10645"/>
    <s v="HANAR"/>
    <n v="4"/>
    <x v="298"/>
    <s v="Peacock Margaret"/>
    <n v="1"/>
    <x v="1"/>
    <s v="20852"/>
    <n v="4"/>
    <n v="1"/>
    <x v="0"/>
    <n v="18"/>
    <s v="Carnarvon Tigers"/>
    <n v="8"/>
    <x v="2"/>
    <n v="62.5"/>
    <n v="20"/>
    <n v="0"/>
    <n v="1250"/>
    <n v="12.41"/>
  </r>
  <r>
    <n v="10646"/>
    <s v="HUNGO"/>
    <n v="9"/>
    <x v="299"/>
    <s v="Dodsworth Anne"/>
    <n v="3"/>
    <x v="0"/>
    <s v="03049"/>
    <n v="9"/>
    <n v="3"/>
    <x v="3"/>
    <n v="1"/>
    <s v="Chai"/>
    <n v="1"/>
    <x v="5"/>
    <n v="18"/>
    <n v="15"/>
    <n v="0.25"/>
    <n v="202.5"/>
    <n v="142.33000000000001"/>
  </r>
  <r>
    <n v="10647"/>
    <s v="QUEDE"/>
    <n v="4"/>
    <x v="299"/>
    <s v="Peacock Margaret"/>
    <n v="2"/>
    <x v="2"/>
    <s v="20852"/>
    <n v="4"/>
    <n v="1"/>
    <x v="0"/>
    <n v="19"/>
    <s v="Teatime Chocolate Biscuits"/>
    <n v="3"/>
    <x v="4"/>
    <n v="9.1999999999999993"/>
    <n v="30"/>
    <n v="0"/>
    <n v="276"/>
    <n v="45.54"/>
  </r>
  <r>
    <n v="10648"/>
    <s v="RICAR"/>
    <n v="5"/>
    <x v="300"/>
    <s v="Buchanan Steven"/>
    <n v="2"/>
    <x v="2"/>
    <s v="02903"/>
    <n v="5"/>
    <n v="1"/>
    <x v="0"/>
    <n v="22"/>
    <s v="Gustaf's Knäckebröd"/>
    <n v="5"/>
    <x v="3"/>
    <n v="21"/>
    <n v="15"/>
    <n v="0"/>
    <n v="315"/>
    <n v="14.25"/>
  </r>
  <r>
    <n v="10649"/>
    <s v="MAISD"/>
    <n v="5"/>
    <x v="300"/>
    <s v="Buchanan Steven"/>
    <n v="3"/>
    <x v="0"/>
    <s v="02903"/>
    <n v="5"/>
    <n v="1"/>
    <x v="0"/>
    <n v="28"/>
    <s v="Rössle Sauerkraut"/>
    <n v="7"/>
    <x v="1"/>
    <n v="45.6"/>
    <n v="20"/>
    <n v="0"/>
    <n v="912"/>
    <n v="6.2"/>
  </r>
  <r>
    <n v="10650"/>
    <s v="FAMIA"/>
    <n v="5"/>
    <x v="301"/>
    <s v="Buchanan Steven"/>
    <n v="3"/>
    <x v="0"/>
    <s v="02903"/>
    <n v="5"/>
    <n v="1"/>
    <x v="0"/>
    <n v="30"/>
    <s v="Nord-Ost Matjeshering"/>
    <n v="8"/>
    <x v="2"/>
    <n v="25.89"/>
    <n v="30"/>
    <n v="0"/>
    <n v="776.7"/>
    <n v="176.81"/>
  </r>
  <r>
    <n v="10651"/>
    <s v="WANDK"/>
    <n v="8"/>
    <x v="302"/>
    <s v="Callahan Laura"/>
    <n v="2"/>
    <x v="2"/>
    <s v="19428"/>
    <n v="8"/>
    <n v="3"/>
    <x v="3"/>
    <n v="19"/>
    <s v="Teatime Chocolate Biscuits"/>
    <n v="3"/>
    <x v="4"/>
    <n v="9.1999999999999993"/>
    <n v="12"/>
    <n v="0.25"/>
    <n v="82.8"/>
    <n v="20.6"/>
  </r>
  <r>
    <n v="10652"/>
    <s v="GOURL"/>
    <n v="4"/>
    <x v="302"/>
    <s v="Peacock Margaret"/>
    <n v="2"/>
    <x v="2"/>
    <s v="20852"/>
    <n v="4"/>
    <n v="1"/>
    <x v="0"/>
    <n v="30"/>
    <s v="Nord-Ost Matjeshering"/>
    <n v="8"/>
    <x v="2"/>
    <n v="25.89"/>
    <n v="2"/>
    <n v="0.25"/>
    <n v="38.835000000000001"/>
    <n v="7.14"/>
  </r>
  <r>
    <n v="10653"/>
    <s v="FRANK"/>
    <n v="1"/>
    <x v="303"/>
    <s v="Davolio Nancy"/>
    <n v="1"/>
    <x v="1"/>
    <s v="06897"/>
    <n v="1"/>
    <n v="1"/>
    <x v="0"/>
    <n v="16"/>
    <s v="Pavlova"/>
    <n v="3"/>
    <x v="4"/>
    <n v="17.45"/>
    <n v="30"/>
    <n v="0.10000000149011612"/>
    <n v="471.14999921992421"/>
    <n v="93.25"/>
  </r>
  <r>
    <n v="10654"/>
    <s v="BERGS"/>
    <n v="5"/>
    <x v="303"/>
    <s v="Buchanan Steven"/>
    <n v="1"/>
    <x v="1"/>
    <s v="02903"/>
    <n v="5"/>
    <n v="1"/>
    <x v="0"/>
    <n v="4"/>
    <s v="Chef Anton's Cajun Seasoning"/>
    <n v="2"/>
    <x v="7"/>
    <n v="22"/>
    <n v="12"/>
    <n v="0.10000000149011612"/>
    <n v="237.59999960660934"/>
    <n v="55.26"/>
  </r>
  <r>
    <n v="10655"/>
    <s v="REGGC"/>
    <n v="1"/>
    <x v="304"/>
    <s v="Davolio Nancy"/>
    <n v="2"/>
    <x v="2"/>
    <s v="06897"/>
    <n v="1"/>
    <n v="1"/>
    <x v="0"/>
    <n v="41"/>
    <s v="Jack's New England Clam Chowder"/>
    <n v="8"/>
    <x v="2"/>
    <n v="9.65"/>
    <n v="20"/>
    <n v="0.20000000298023224"/>
    <n v="154.39999942481518"/>
    <n v="4.41"/>
  </r>
  <r>
    <n v="10656"/>
    <s v="GREAL"/>
    <n v="6"/>
    <x v="305"/>
    <s v="Suyama Michael"/>
    <n v="1"/>
    <x v="1"/>
    <s v="85014"/>
    <n v="6"/>
    <n v="2"/>
    <x v="1"/>
    <n v="14"/>
    <s v="Tofu"/>
    <n v="7"/>
    <x v="1"/>
    <n v="23.25"/>
    <n v="3"/>
    <n v="0.10000000149011612"/>
    <n v="62.774999896064401"/>
    <n v="57.15"/>
  </r>
  <r>
    <n v="10657"/>
    <s v="SAVEA"/>
    <n v="2"/>
    <x v="305"/>
    <s v="Fuller Andrew"/>
    <n v="2"/>
    <x v="2"/>
    <s v="01581"/>
    <n v="2"/>
    <n v="1"/>
    <x v="0"/>
    <n v="15"/>
    <s v="Genen Shouyu"/>
    <n v="2"/>
    <x v="7"/>
    <n v="15.5"/>
    <n v="50"/>
    <n v="0"/>
    <n v="775"/>
    <n v="352.69"/>
  </r>
  <r>
    <n v="10658"/>
    <s v="QUICK"/>
    <n v="4"/>
    <x v="306"/>
    <s v="Peacock Margaret"/>
    <n v="1"/>
    <x v="1"/>
    <s v="20852"/>
    <n v="4"/>
    <n v="1"/>
    <x v="0"/>
    <n v="21"/>
    <s v="Sir Rodney's Scones"/>
    <n v="3"/>
    <x v="4"/>
    <n v="10"/>
    <n v="60"/>
    <n v="0"/>
    <n v="600"/>
    <n v="364.15"/>
  </r>
  <r>
    <n v="10659"/>
    <s v="QUEEN"/>
    <n v="7"/>
    <x v="306"/>
    <s v="King Robert"/>
    <n v="2"/>
    <x v="2"/>
    <s v="60179"/>
    <n v="7"/>
    <n v="2"/>
    <x v="1"/>
    <n v="31"/>
    <s v="Gorgonzola Telino"/>
    <n v="4"/>
    <x v="0"/>
    <n v="12.5"/>
    <n v="20"/>
    <n v="5.000000074505806E-2"/>
    <n v="237.49999981373549"/>
    <n v="105.81"/>
  </r>
  <r>
    <n v="10660"/>
    <s v="HUNGC"/>
    <n v="8"/>
    <x v="307"/>
    <s v="Callahan Laura"/>
    <n v="1"/>
    <x v="1"/>
    <s v="19428"/>
    <n v="8"/>
    <n v="3"/>
    <x v="3"/>
    <n v="20"/>
    <s v="Sir Rodney's Marmalade"/>
    <n v="3"/>
    <x v="4"/>
    <n v="81"/>
    <n v="21"/>
    <n v="0"/>
    <n v="1701"/>
    <n v="111.29"/>
  </r>
  <r>
    <n v="10661"/>
    <s v="HUNGO"/>
    <n v="7"/>
    <x v="308"/>
    <s v="King Robert"/>
    <n v="3"/>
    <x v="0"/>
    <s v="60179"/>
    <n v="7"/>
    <n v="2"/>
    <x v="1"/>
    <n v="39"/>
    <s v="Chartreuse verte"/>
    <n v="1"/>
    <x v="5"/>
    <n v="18"/>
    <n v="3"/>
    <n v="0.20000000298023224"/>
    <n v="43.199999839067459"/>
    <n v="17.55"/>
  </r>
  <r>
    <n v="10662"/>
    <s v="LONEP"/>
    <n v="3"/>
    <x v="308"/>
    <s v="Leverling Janet"/>
    <n v="2"/>
    <x v="2"/>
    <s v="30346"/>
    <n v="3"/>
    <n v="4"/>
    <x v="2"/>
    <n v="68"/>
    <s v="Scottish Longbreads"/>
    <n v="3"/>
    <x v="4"/>
    <n v="12.5"/>
    <n v="10"/>
    <n v="0"/>
    <n v="125"/>
    <n v="1.28"/>
  </r>
  <r>
    <n v="10663"/>
    <s v="BONAP"/>
    <n v="2"/>
    <x v="309"/>
    <s v="Fuller Andrew"/>
    <n v="2"/>
    <x v="2"/>
    <s v="01581"/>
    <n v="2"/>
    <n v="1"/>
    <x v="0"/>
    <n v="40"/>
    <s v="Boston Crab Meat"/>
    <n v="8"/>
    <x v="2"/>
    <n v="18.399999999999999"/>
    <n v="30"/>
    <n v="5.000000074505806E-2"/>
    <n v="524.39999958872795"/>
    <n v="113.15"/>
  </r>
  <r>
    <n v="10664"/>
    <s v="FURIB"/>
    <n v="1"/>
    <x v="309"/>
    <s v="Davolio Nancy"/>
    <n v="3"/>
    <x v="0"/>
    <s v="06897"/>
    <n v="1"/>
    <n v="1"/>
    <x v="0"/>
    <n v="10"/>
    <s v="Ikura"/>
    <n v="8"/>
    <x v="2"/>
    <n v="31"/>
    <n v="24"/>
    <n v="0.15000000596046448"/>
    <n v="632.39999556541443"/>
    <n v="1.27"/>
  </r>
  <r>
    <n v="10665"/>
    <s v="LONEP"/>
    <n v="1"/>
    <x v="310"/>
    <s v="Davolio Nancy"/>
    <n v="2"/>
    <x v="2"/>
    <s v="06897"/>
    <n v="1"/>
    <n v="1"/>
    <x v="0"/>
    <n v="51"/>
    <s v="Manjimup Dried Apples"/>
    <n v="7"/>
    <x v="1"/>
    <n v="53"/>
    <n v="20"/>
    <n v="0"/>
    <n v="1060"/>
    <n v="26.31"/>
  </r>
  <r>
    <n v="10666"/>
    <s v="RICSU"/>
    <n v="7"/>
    <x v="311"/>
    <s v="King Robert"/>
    <n v="2"/>
    <x v="2"/>
    <s v="60179"/>
    <n v="7"/>
    <n v="2"/>
    <x v="1"/>
    <n v="29"/>
    <s v="Thüringer Rostbratwurst"/>
    <n v="6"/>
    <x v="6"/>
    <n v="123.79"/>
    <n v="36"/>
    <n v="0"/>
    <n v="4456.4400000000005"/>
    <n v="232.42"/>
  </r>
  <r>
    <n v="10667"/>
    <s v="ERNSH"/>
    <n v="7"/>
    <x v="311"/>
    <s v="King Robert"/>
    <n v="1"/>
    <x v="1"/>
    <s v="60179"/>
    <n v="7"/>
    <n v="2"/>
    <x v="1"/>
    <n v="69"/>
    <s v="Gudbrandsdalsost"/>
    <n v="4"/>
    <x v="0"/>
    <n v="36"/>
    <n v="45"/>
    <n v="0.20000000298023224"/>
    <n v="1295.9999951720238"/>
    <n v="78.09"/>
  </r>
  <r>
    <n v="10668"/>
    <s v="WANDK"/>
    <n v="1"/>
    <x v="312"/>
    <s v="Davolio Nancy"/>
    <n v="2"/>
    <x v="2"/>
    <s v="06897"/>
    <n v="1"/>
    <n v="1"/>
    <x v="0"/>
    <n v="31"/>
    <s v="Gorgonzola Telino"/>
    <n v="4"/>
    <x v="0"/>
    <n v="12.5"/>
    <n v="8"/>
    <n v="0.10000000149011612"/>
    <n v="89.999999850988388"/>
    <n v="47.22"/>
  </r>
  <r>
    <n v="10669"/>
    <s v="SIMOB"/>
    <n v="2"/>
    <x v="312"/>
    <s v="Fuller Andrew"/>
    <n v="1"/>
    <x v="1"/>
    <s v="01581"/>
    <n v="2"/>
    <n v="1"/>
    <x v="0"/>
    <n v="36"/>
    <s v="Inlagd Sill"/>
    <n v="8"/>
    <x v="2"/>
    <n v="19"/>
    <n v="30"/>
    <n v="0"/>
    <n v="570"/>
    <n v="24.39"/>
  </r>
  <r>
    <n v="10670"/>
    <s v="FRANK"/>
    <n v="4"/>
    <x v="313"/>
    <s v="Peacock Margaret"/>
    <n v="1"/>
    <x v="1"/>
    <s v="20852"/>
    <n v="4"/>
    <n v="1"/>
    <x v="0"/>
    <n v="23"/>
    <s v="Tunnbröd"/>
    <n v="5"/>
    <x v="3"/>
    <n v="9"/>
    <n v="32"/>
    <n v="0"/>
    <n v="288"/>
    <n v="203.48"/>
  </r>
  <r>
    <n v="10671"/>
    <s v="FRANR"/>
    <n v="1"/>
    <x v="314"/>
    <s v="Davolio Nancy"/>
    <n v="1"/>
    <x v="1"/>
    <s v="06897"/>
    <n v="1"/>
    <n v="1"/>
    <x v="0"/>
    <n v="16"/>
    <s v="Pavlova"/>
    <n v="3"/>
    <x v="4"/>
    <n v="17.45"/>
    <n v="10"/>
    <n v="0"/>
    <n v="174.5"/>
    <n v="30.34"/>
  </r>
  <r>
    <n v="10672"/>
    <s v="BERGS"/>
    <n v="9"/>
    <x v="314"/>
    <s v="Dodsworth Anne"/>
    <n v="2"/>
    <x v="2"/>
    <s v="03049"/>
    <n v="9"/>
    <n v="3"/>
    <x v="3"/>
    <n v="38"/>
    <s v="Côte de Blaye"/>
    <n v="1"/>
    <x v="5"/>
    <n v="263.5"/>
    <n v="15"/>
    <n v="0.10000000149011612"/>
    <n v="3557.249994110316"/>
    <n v="95.75"/>
  </r>
  <r>
    <n v="10673"/>
    <s v="WILMK"/>
    <n v="2"/>
    <x v="315"/>
    <s v="Fuller Andrew"/>
    <n v="1"/>
    <x v="1"/>
    <s v="01581"/>
    <n v="2"/>
    <n v="1"/>
    <x v="0"/>
    <n v="16"/>
    <s v="Pavlova"/>
    <n v="3"/>
    <x v="4"/>
    <n v="17.45"/>
    <n v="3"/>
    <n v="0"/>
    <n v="52.349999999999994"/>
    <n v="22.76"/>
  </r>
  <r>
    <n v="10674"/>
    <s v="ISLAT"/>
    <n v="4"/>
    <x v="315"/>
    <s v="Peacock Margaret"/>
    <n v="2"/>
    <x v="2"/>
    <s v="20852"/>
    <n v="4"/>
    <n v="1"/>
    <x v="0"/>
    <n v="23"/>
    <s v="Tunnbröd"/>
    <n v="5"/>
    <x v="3"/>
    <n v="9"/>
    <n v="5"/>
    <n v="0"/>
    <n v="45"/>
    <n v="0.9"/>
  </r>
  <r>
    <n v="10675"/>
    <s v="FRANK"/>
    <n v="5"/>
    <x v="316"/>
    <s v="Buchanan Steven"/>
    <n v="2"/>
    <x v="2"/>
    <s v="02903"/>
    <n v="5"/>
    <n v="1"/>
    <x v="0"/>
    <n v="14"/>
    <s v="Tofu"/>
    <n v="7"/>
    <x v="1"/>
    <n v="23.25"/>
    <n v="30"/>
    <n v="0"/>
    <n v="697.5"/>
    <n v="31.85"/>
  </r>
  <r>
    <n v="10676"/>
    <s v="TORTU"/>
    <n v="2"/>
    <x v="317"/>
    <s v="Fuller Andrew"/>
    <n v="2"/>
    <x v="2"/>
    <s v="01581"/>
    <n v="2"/>
    <n v="1"/>
    <x v="0"/>
    <n v="10"/>
    <s v="Ikura"/>
    <n v="8"/>
    <x v="2"/>
    <n v="31"/>
    <n v="2"/>
    <n v="0"/>
    <n v="62"/>
    <n v="2.0099999999999998"/>
  </r>
  <r>
    <n v="10677"/>
    <s v="ANTON"/>
    <n v="1"/>
    <x v="317"/>
    <s v="Davolio Nancy"/>
    <n v="3"/>
    <x v="0"/>
    <s v="06897"/>
    <n v="1"/>
    <n v="1"/>
    <x v="0"/>
    <n v="26"/>
    <s v="Gumbär Gummibärchen"/>
    <n v="3"/>
    <x v="4"/>
    <n v="31.23"/>
    <n v="30"/>
    <n v="0.15000000596046448"/>
    <n v="796.36499441564081"/>
    <n v="4.03"/>
  </r>
  <r>
    <n v="10678"/>
    <s v="SAVEA"/>
    <n v="7"/>
    <x v="318"/>
    <s v="King Robert"/>
    <n v="3"/>
    <x v="0"/>
    <s v="60179"/>
    <n v="7"/>
    <n v="2"/>
    <x v="1"/>
    <n v="12"/>
    <s v="Queso Manchego La Pastora"/>
    <n v="4"/>
    <x v="0"/>
    <n v="38"/>
    <n v="100"/>
    <n v="0"/>
    <n v="3800"/>
    <n v="388.98"/>
  </r>
  <r>
    <n v="10679"/>
    <s v="BLONP"/>
    <n v="8"/>
    <x v="318"/>
    <s v="Callahan Laura"/>
    <n v="3"/>
    <x v="0"/>
    <s v="19428"/>
    <n v="8"/>
    <n v="3"/>
    <x v="3"/>
    <n v="59"/>
    <s v="Raclette Courdavault"/>
    <n v="4"/>
    <x v="0"/>
    <n v="55"/>
    <n v="12"/>
    <n v="0"/>
    <n v="660"/>
    <n v="27.94"/>
  </r>
  <r>
    <n v="10680"/>
    <s v="OLDWO"/>
    <n v="1"/>
    <x v="319"/>
    <s v="Davolio Nancy"/>
    <n v="1"/>
    <x v="1"/>
    <s v="06897"/>
    <n v="1"/>
    <n v="1"/>
    <x v="0"/>
    <n v="16"/>
    <s v="Pavlova"/>
    <n v="3"/>
    <x v="4"/>
    <n v="17.45"/>
    <n v="50"/>
    <n v="0.25"/>
    <n v="654.375"/>
    <n v="26.61"/>
  </r>
  <r>
    <n v="10681"/>
    <s v="GREAL"/>
    <n v="3"/>
    <x v="320"/>
    <s v="Leverling Janet"/>
    <n v="3"/>
    <x v="0"/>
    <s v="30346"/>
    <n v="3"/>
    <n v="4"/>
    <x v="2"/>
    <n v="19"/>
    <s v="Teatime Chocolate Biscuits"/>
    <n v="3"/>
    <x v="4"/>
    <n v="9.1999999999999993"/>
    <n v="30"/>
    <n v="0.10000000149011612"/>
    <n v="248.39999958872795"/>
    <n v="76.13"/>
  </r>
  <r>
    <n v="10682"/>
    <s v="ANTON"/>
    <n v="3"/>
    <x v="320"/>
    <s v="Leverling Janet"/>
    <n v="2"/>
    <x v="2"/>
    <s v="30346"/>
    <n v="3"/>
    <n v="4"/>
    <x v="2"/>
    <n v="33"/>
    <s v="Geitost"/>
    <n v="4"/>
    <x v="0"/>
    <n v="2.5"/>
    <n v="30"/>
    <n v="0"/>
    <n v="75"/>
    <n v="36.130000000000003"/>
  </r>
  <r>
    <n v="10683"/>
    <s v="DUMON"/>
    <n v="2"/>
    <x v="321"/>
    <s v="Fuller Andrew"/>
    <n v="1"/>
    <x v="1"/>
    <s v="01581"/>
    <n v="2"/>
    <n v="1"/>
    <x v="0"/>
    <n v="52"/>
    <s v="Filo Mix"/>
    <n v="5"/>
    <x v="3"/>
    <n v="7"/>
    <n v="9"/>
    <n v="0"/>
    <n v="63"/>
    <n v="4.4000000000000004"/>
  </r>
  <r>
    <n v="10684"/>
    <s v="OTTIK"/>
    <n v="3"/>
    <x v="321"/>
    <s v="Leverling Janet"/>
    <n v="1"/>
    <x v="1"/>
    <s v="30346"/>
    <n v="3"/>
    <n v="4"/>
    <x v="2"/>
    <n v="40"/>
    <s v="Boston Crab Meat"/>
    <n v="8"/>
    <x v="2"/>
    <n v="18.399999999999999"/>
    <n v="20"/>
    <n v="0"/>
    <n v="368"/>
    <n v="145.63"/>
  </r>
  <r>
    <n v="10685"/>
    <s v="GOURL"/>
    <n v="4"/>
    <x v="322"/>
    <s v="Peacock Margaret"/>
    <n v="2"/>
    <x v="2"/>
    <s v="20852"/>
    <n v="4"/>
    <n v="1"/>
    <x v="0"/>
    <n v="10"/>
    <s v="Ikura"/>
    <n v="8"/>
    <x v="2"/>
    <n v="31"/>
    <n v="20"/>
    <n v="0"/>
    <n v="620"/>
    <n v="33.75"/>
  </r>
  <r>
    <n v="10686"/>
    <s v="PICCO"/>
    <n v="2"/>
    <x v="323"/>
    <s v="Fuller Andrew"/>
    <n v="1"/>
    <x v="1"/>
    <s v="01581"/>
    <n v="2"/>
    <n v="1"/>
    <x v="0"/>
    <n v="17"/>
    <s v="Alice Mutton"/>
    <n v="6"/>
    <x v="6"/>
    <n v="39"/>
    <n v="30"/>
    <n v="0.20000000298023224"/>
    <n v="935.99999651312828"/>
    <n v="96.5"/>
  </r>
  <r>
    <n v="10687"/>
    <s v="HUNGO"/>
    <n v="9"/>
    <x v="323"/>
    <s v="Dodsworth Anne"/>
    <n v="2"/>
    <x v="2"/>
    <s v="03049"/>
    <n v="9"/>
    <n v="3"/>
    <x v="3"/>
    <n v="9"/>
    <s v="Mishi Kobe Niku"/>
    <n v="6"/>
    <x v="6"/>
    <n v="97"/>
    <n v="50"/>
    <n v="0.25"/>
    <n v="3637.5"/>
    <n v="296.43"/>
  </r>
  <r>
    <n v="10688"/>
    <s v="VAFFE"/>
    <n v="4"/>
    <x v="324"/>
    <s v="Peacock Margaret"/>
    <n v="2"/>
    <x v="2"/>
    <s v="20852"/>
    <n v="4"/>
    <n v="1"/>
    <x v="0"/>
    <n v="10"/>
    <s v="Ikura"/>
    <n v="8"/>
    <x v="2"/>
    <n v="31"/>
    <n v="18"/>
    <n v="0.10000000149011612"/>
    <n v="502.19999916851521"/>
    <n v="299.08999999999997"/>
  </r>
  <r>
    <n v="10689"/>
    <s v="BERGS"/>
    <n v="1"/>
    <x v="324"/>
    <s v="Davolio Nancy"/>
    <n v="2"/>
    <x v="2"/>
    <s v="06897"/>
    <n v="1"/>
    <n v="1"/>
    <x v="0"/>
    <n v="1"/>
    <s v="Chai"/>
    <n v="1"/>
    <x v="5"/>
    <n v="18"/>
    <n v="35"/>
    <n v="0.25"/>
    <n v="472.5"/>
    <n v="13.42"/>
  </r>
  <r>
    <n v="10690"/>
    <s v="HANAR"/>
    <n v="1"/>
    <x v="325"/>
    <s v="Davolio Nancy"/>
    <n v="1"/>
    <x v="1"/>
    <s v="06897"/>
    <n v="1"/>
    <n v="1"/>
    <x v="0"/>
    <n v="56"/>
    <s v="Gnocchi di nonna Alice"/>
    <n v="5"/>
    <x v="3"/>
    <n v="38"/>
    <n v="20"/>
    <n v="0.25"/>
    <n v="570"/>
    <n v="15.8"/>
  </r>
  <r>
    <n v="10691"/>
    <s v="QUICK"/>
    <n v="2"/>
    <x v="326"/>
    <s v="Fuller Andrew"/>
    <n v="2"/>
    <x v="2"/>
    <s v="01581"/>
    <n v="2"/>
    <n v="1"/>
    <x v="0"/>
    <n v="1"/>
    <s v="Chai"/>
    <n v="1"/>
    <x v="5"/>
    <n v="18"/>
    <n v="30"/>
    <n v="0"/>
    <n v="540"/>
    <n v="810.05"/>
  </r>
  <r>
    <n v="10692"/>
    <s v="ALFKI"/>
    <n v="4"/>
    <x v="326"/>
    <s v="Peacock Margaret"/>
    <n v="2"/>
    <x v="2"/>
    <s v="20852"/>
    <n v="4"/>
    <n v="1"/>
    <x v="0"/>
    <n v="63"/>
    <s v="Vegie-spread"/>
    <n v="2"/>
    <x v="7"/>
    <n v="43.9"/>
    <n v="20"/>
    <n v="0"/>
    <n v="878"/>
    <n v="61.02"/>
  </r>
  <r>
    <n v="10693"/>
    <s v="WHITC"/>
    <n v="3"/>
    <x v="327"/>
    <s v="Leverling Janet"/>
    <n v="3"/>
    <x v="0"/>
    <s v="30346"/>
    <n v="3"/>
    <n v="4"/>
    <x v="2"/>
    <n v="9"/>
    <s v="Mishi Kobe Niku"/>
    <n v="6"/>
    <x v="6"/>
    <n v="97"/>
    <n v="6"/>
    <n v="0"/>
    <n v="582"/>
    <n v="139.34"/>
  </r>
  <r>
    <n v="10694"/>
    <s v="QUICK"/>
    <n v="8"/>
    <x v="327"/>
    <s v="Callahan Laura"/>
    <n v="3"/>
    <x v="0"/>
    <s v="19428"/>
    <n v="8"/>
    <n v="3"/>
    <x v="3"/>
    <n v="7"/>
    <s v="Uncle Bob's Organic Dried Pears"/>
    <n v="7"/>
    <x v="1"/>
    <n v="30"/>
    <n v="90"/>
    <n v="0"/>
    <n v="2700"/>
    <n v="398.36"/>
  </r>
  <r>
    <n v="10695"/>
    <s v="WILMK"/>
    <n v="7"/>
    <x v="328"/>
    <s v="King Robert"/>
    <n v="1"/>
    <x v="1"/>
    <s v="60179"/>
    <n v="7"/>
    <n v="2"/>
    <x v="1"/>
    <n v="8"/>
    <s v="Northwoods Cranberry Sauce"/>
    <n v="2"/>
    <x v="7"/>
    <n v="40"/>
    <n v="10"/>
    <n v="0"/>
    <n v="400"/>
    <n v="16.72"/>
  </r>
  <r>
    <n v="10696"/>
    <s v="WHITC"/>
    <n v="8"/>
    <x v="329"/>
    <s v="Callahan Laura"/>
    <n v="3"/>
    <x v="0"/>
    <s v="19428"/>
    <n v="8"/>
    <n v="3"/>
    <x v="3"/>
    <n v="17"/>
    <s v="Alice Mutton"/>
    <n v="6"/>
    <x v="6"/>
    <n v="39"/>
    <n v="20"/>
    <n v="0"/>
    <n v="780"/>
    <n v="102.55"/>
  </r>
  <r>
    <n v="10697"/>
    <s v="LINOD"/>
    <n v="3"/>
    <x v="329"/>
    <s v="Leverling Janet"/>
    <n v="1"/>
    <x v="1"/>
    <s v="30346"/>
    <n v="3"/>
    <n v="4"/>
    <x v="2"/>
    <n v="19"/>
    <s v="Teatime Chocolate Biscuits"/>
    <n v="3"/>
    <x v="4"/>
    <n v="9.1999999999999993"/>
    <n v="7"/>
    <n v="0.25"/>
    <n v="48.3"/>
    <n v="45.52"/>
  </r>
  <r>
    <n v="10698"/>
    <s v="ERNSH"/>
    <n v="4"/>
    <x v="330"/>
    <s v="Peacock Margaret"/>
    <n v="1"/>
    <x v="1"/>
    <s v="20852"/>
    <n v="4"/>
    <n v="1"/>
    <x v="0"/>
    <n v="11"/>
    <s v="Queso Cabrales"/>
    <n v="4"/>
    <x v="0"/>
    <n v="21"/>
    <n v="15"/>
    <n v="0"/>
    <n v="315"/>
    <n v="272.47000000000003"/>
  </r>
  <r>
    <n v="10699"/>
    <s v="MORGK"/>
    <n v="3"/>
    <x v="330"/>
    <s v="Leverling Janet"/>
    <n v="3"/>
    <x v="0"/>
    <s v="30346"/>
    <n v="3"/>
    <n v="4"/>
    <x v="2"/>
    <n v="47"/>
    <s v="Zaanse koeken"/>
    <n v="3"/>
    <x v="4"/>
    <n v="9.5"/>
    <n v="12"/>
    <n v="0"/>
    <n v="114"/>
    <n v="0.57999999999999996"/>
  </r>
  <r>
    <n v="10700"/>
    <s v="SAVEA"/>
    <n v="3"/>
    <x v="331"/>
    <s v="Leverling Janet"/>
    <n v="1"/>
    <x v="1"/>
    <s v="30346"/>
    <n v="3"/>
    <n v="4"/>
    <x v="2"/>
    <n v="1"/>
    <s v="Chai"/>
    <n v="1"/>
    <x v="5"/>
    <n v="18"/>
    <n v="5"/>
    <n v="0.20000000298023224"/>
    <n v="71.999999731779099"/>
    <n v="65.099999999999994"/>
  </r>
  <r>
    <n v="10701"/>
    <s v="HUNGO"/>
    <n v="6"/>
    <x v="332"/>
    <s v="Suyama Michael"/>
    <n v="3"/>
    <x v="0"/>
    <s v="85014"/>
    <n v="6"/>
    <n v="2"/>
    <x v="1"/>
    <n v="59"/>
    <s v="Raclette Courdavault"/>
    <n v="4"/>
    <x v="0"/>
    <n v="55"/>
    <n v="42"/>
    <n v="0.15000000596046448"/>
    <n v="1963.4999862313271"/>
    <n v="220.31"/>
  </r>
  <r>
    <n v="10702"/>
    <s v="ALFKI"/>
    <n v="4"/>
    <x v="332"/>
    <s v="Peacock Margaret"/>
    <n v="1"/>
    <x v="1"/>
    <s v="20852"/>
    <n v="4"/>
    <n v="1"/>
    <x v="0"/>
    <n v="3"/>
    <s v="Aniseed Syrup"/>
    <n v="2"/>
    <x v="7"/>
    <n v="10"/>
    <n v="6"/>
    <n v="0"/>
    <n v="60"/>
    <n v="23.94"/>
  </r>
  <r>
    <n v="10703"/>
    <s v="FOLKO"/>
    <n v="6"/>
    <x v="333"/>
    <s v="Suyama Michael"/>
    <n v="2"/>
    <x v="2"/>
    <s v="85014"/>
    <n v="6"/>
    <n v="2"/>
    <x v="1"/>
    <n v="2"/>
    <s v="Chang"/>
    <n v="1"/>
    <x v="5"/>
    <n v="19"/>
    <n v="5"/>
    <n v="0"/>
    <n v="95"/>
    <n v="152.30000000000001"/>
  </r>
  <r>
    <n v="10704"/>
    <s v="QUEEN"/>
    <n v="6"/>
    <x v="333"/>
    <s v="Suyama Michael"/>
    <n v="1"/>
    <x v="1"/>
    <s v="85014"/>
    <n v="6"/>
    <n v="2"/>
    <x v="1"/>
    <n v="4"/>
    <s v="Chef Anton's Cajun Seasoning"/>
    <n v="2"/>
    <x v="7"/>
    <n v="22"/>
    <n v="6"/>
    <n v="0"/>
    <n v="132"/>
    <n v="4.78"/>
  </r>
  <r>
    <n v="10705"/>
    <s v="HILAA"/>
    <n v="9"/>
    <x v="334"/>
    <s v="Dodsworth Anne"/>
    <n v="2"/>
    <x v="2"/>
    <s v="03049"/>
    <n v="9"/>
    <n v="3"/>
    <x v="3"/>
    <n v="31"/>
    <s v="Gorgonzola Telino"/>
    <n v="4"/>
    <x v="0"/>
    <n v="12.5"/>
    <n v="20"/>
    <n v="0"/>
    <n v="250"/>
    <n v="3.52"/>
  </r>
  <r>
    <n v="10706"/>
    <s v="OLDWO"/>
    <n v="8"/>
    <x v="335"/>
    <s v="Callahan Laura"/>
    <n v="3"/>
    <x v="0"/>
    <s v="19428"/>
    <n v="8"/>
    <n v="3"/>
    <x v="3"/>
    <n v="16"/>
    <s v="Pavlova"/>
    <n v="3"/>
    <x v="4"/>
    <n v="17.45"/>
    <n v="20"/>
    <n v="0"/>
    <n v="349"/>
    <n v="135.63"/>
  </r>
  <r>
    <n v="10707"/>
    <s v="AROUT"/>
    <n v="4"/>
    <x v="335"/>
    <s v="Peacock Margaret"/>
    <n v="3"/>
    <x v="0"/>
    <s v="20852"/>
    <n v="4"/>
    <n v="1"/>
    <x v="0"/>
    <n v="55"/>
    <s v="Pâté chinois"/>
    <n v="6"/>
    <x v="6"/>
    <n v="24"/>
    <n v="21"/>
    <n v="0"/>
    <n v="504"/>
    <n v="21.74"/>
  </r>
  <r>
    <n v="10708"/>
    <s v="THEBI"/>
    <n v="6"/>
    <x v="336"/>
    <s v="Suyama Michael"/>
    <n v="2"/>
    <x v="2"/>
    <s v="85014"/>
    <n v="6"/>
    <n v="2"/>
    <x v="1"/>
    <n v="5"/>
    <s v="Chef Anton's Gumbo Mix"/>
    <n v="2"/>
    <x v="7"/>
    <n v="21.35"/>
    <n v="4"/>
    <n v="0"/>
    <n v="85.4"/>
    <n v="2.96"/>
  </r>
  <r>
    <n v="10709"/>
    <s v="GOURL"/>
    <n v="1"/>
    <x v="336"/>
    <s v="Davolio Nancy"/>
    <n v="3"/>
    <x v="0"/>
    <s v="06897"/>
    <n v="1"/>
    <n v="1"/>
    <x v="0"/>
    <n v="8"/>
    <s v="Northwoods Cranberry Sauce"/>
    <n v="2"/>
    <x v="7"/>
    <n v="40"/>
    <n v="40"/>
    <n v="0"/>
    <n v="1600"/>
    <n v="210.8"/>
  </r>
  <r>
    <n v="10710"/>
    <s v="FRANS"/>
    <n v="1"/>
    <x v="337"/>
    <s v="Davolio Nancy"/>
    <n v="1"/>
    <x v="1"/>
    <s v="06897"/>
    <n v="1"/>
    <n v="1"/>
    <x v="0"/>
    <n v="19"/>
    <s v="Teatime Chocolate Biscuits"/>
    <n v="3"/>
    <x v="4"/>
    <n v="9.1999999999999993"/>
    <n v="5"/>
    <n v="0"/>
    <n v="46"/>
    <n v="4.9800000000000004"/>
  </r>
  <r>
    <n v="10711"/>
    <s v="SAVEA"/>
    <n v="5"/>
    <x v="338"/>
    <s v="Buchanan Steven"/>
    <n v="2"/>
    <x v="2"/>
    <s v="02903"/>
    <n v="5"/>
    <n v="1"/>
    <x v="0"/>
    <n v="19"/>
    <s v="Teatime Chocolate Biscuits"/>
    <n v="3"/>
    <x v="4"/>
    <n v="9.1999999999999993"/>
    <n v="12"/>
    <n v="0"/>
    <n v="110.39999999999999"/>
    <n v="52.41"/>
  </r>
  <r>
    <n v="10712"/>
    <s v="HUNGO"/>
    <n v="3"/>
    <x v="338"/>
    <s v="Leverling Janet"/>
    <n v="1"/>
    <x v="1"/>
    <s v="30346"/>
    <n v="3"/>
    <n v="4"/>
    <x v="2"/>
    <n v="53"/>
    <s v="Perth Pasties"/>
    <n v="6"/>
    <x v="6"/>
    <n v="32.799999999999997"/>
    <n v="3"/>
    <n v="5.000000074505806E-2"/>
    <n v="93.479999926686276"/>
    <n v="89.93"/>
  </r>
  <r>
    <n v="10713"/>
    <s v="SAVEA"/>
    <n v="1"/>
    <x v="339"/>
    <s v="Davolio Nancy"/>
    <n v="1"/>
    <x v="1"/>
    <s v="06897"/>
    <n v="1"/>
    <n v="1"/>
    <x v="0"/>
    <n v="10"/>
    <s v="Ikura"/>
    <n v="8"/>
    <x v="2"/>
    <n v="31"/>
    <n v="18"/>
    <n v="0"/>
    <n v="558"/>
    <n v="167.05"/>
  </r>
  <r>
    <n v="10714"/>
    <s v="SAVEA"/>
    <n v="5"/>
    <x v="339"/>
    <s v="Buchanan Steven"/>
    <n v="3"/>
    <x v="0"/>
    <s v="02903"/>
    <n v="5"/>
    <n v="1"/>
    <x v="0"/>
    <n v="2"/>
    <s v="Chang"/>
    <n v="1"/>
    <x v="5"/>
    <n v="19"/>
    <n v="30"/>
    <n v="0.25"/>
    <n v="427.5"/>
    <n v="24.49"/>
  </r>
  <r>
    <n v="10715"/>
    <s v="BONAP"/>
    <n v="3"/>
    <x v="340"/>
    <s v="Leverling Janet"/>
    <n v="1"/>
    <x v="1"/>
    <s v="30346"/>
    <n v="3"/>
    <n v="4"/>
    <x v="2"/>
    <n v="10"/>
    <s v="Ikura"/>
    <n v="8"/>
    <x v="2"/>
    <n v="31"/>
    <n v="21"/>
    <n v="0"/>
    <n v="651"/>
    <n v="63.2"/>
  </r>
  <r>
    <n v="10716"/>
    <s v="RANCH"/>
    <n v="4"/>
    <x v="341"/>
    <s v="Peacock Margaret"/>
    <n v="2"/>
    <x v="2"/>
    <s v="20852"/>
    <n v="4"/>
    <n v="1"/>
    <x v="0"/>
    <n v="21"/>
    <s v="Sir Rodney's Scones"/>
    <n v="3"/>
    <x v="4"/>
    <n v="10"/>
    <n v="5"/>
    <n v="0"/>
    <n v="50"/>
    <n v="22.57"/>
  </r>
  <r>
    <n v="10717"/>
    <s v="FRANK"/>
    <n v="1"/>
    <x v="341"/>
    <s v="Davolio Nancy"/>
    <n v="2"/>
    <x v="2"/>
    <s v="06897"/>
    <n v="1"/>
    <n v="1"/>
    <x v="0"/>
    <n v="21"/>
    <s v="Sir Rodney's Scones"/>
    <n v="3"/>
    <x v="4"/>
    <n v="10"/>
    <n v="32"/>
    <n v="5.000000074505806E-2"/>
    <n v="303.99999976158142"/>
    <n v="59.25"/>
  </r>
  <r>
    <n v="10718"/>
    <s v="KOENE"/>
    <n v="1"/>
    <x v="342"/>
    <s v="Davolio Nancy"/>
    <n v="3"/>
    <x v="0"/>
    <s v="06897"/>
    <n v="1"/>
    <n v="1"/>
    <x v="0"/>
    <n v="12"/>
    <s v="Queso Manchego La Pastora"/>
    <n v="4"/>
    <x v="0"/>
    <n v="38"/>
    <n v="36"/>
    <n v="0"/>
    <n v="1368"/>
    <n v="170.88"/>
  </r>
  <r>
    <n v="10719"/>
    <s v="LETSS"/>
    <n v="8"/>
    <x v="342"/>
    <s v="Callahan Laura"/>
    <n v="2"/>
    <x v="2"/>
    <s v="19428"/>
    <n v="8"/>
    <n v="3"/>
    <x v="3"/>
    <n v="18"/>
    <s v="Carnarvon Tigers"/>
    <n v="8"/>
    <x v="2"/>
    <n v="62.5"/>
    <n v="12"/>
    <n v="0.25"/>
    <n v="562.5"/>
    <n v="51.44"/>
  </r>
  <r>
    <n v="10720"/>
    <s v="QUEDE"/>
    <n v="8"/>
    <x v="343"/>
    <s v="Callahan Laura"/>
    <n v="2"/>
    <x v="2"/>
    <s v="19428"/>
    <n v="8"/>
    <n v="3"/>
    <x v="3"/>
    <n v="35"/>
    <s v="Steeleye Stout"/>
    <n v="1"/>
    <x v="5"/>
    <n v="18"/>
    <n v="21"/>
    <n v="0"/>
    <n v="378"/>
    <n v="9.5299999999999994"/>
  </r>
  <r>
    <n v="10721"/>
    <s v="QUICK"/>
    <n v="5"/>
    <x v="344"/>
    <s v="Buchanan Steven"/>
    <n v="3"/>
    <x v="0"/>
    <s v="02903"/>
    <n v="5"/>
    <n v="1"/>
    <x v="0"/>
    <n v="44"/>
    <s v="Gula Malacca"/>
    <n v="2"/>
    <x v="7"/>
    <n v="19.45"/>
    <n v="50"/>
    <n v="5.000000074505806E-2"/>
    <n v="923.87499927543104"/>
    <n v="48.92"/>
  </r>
  <r>
    <n v="10722"/>
    <s v="SAVEA"/>
    <n v="8"/>
    <x v="344"/>
    <s v="Callahan Laura"/>
    <n v="1"/>
    <x v="1"/>
    <s v="19428"/>
    <n v="8"/>
    <n v="3"/>
    <x v="3"/>
    <n v="2"/>
    <s v="Chang"/>
    <n v="1"/>
    <x v="5"/>
    <n v="19"/>
    <n v="3"/>
    <n v="0"/>
    <n v="57"/>
    <n v="74.58"/>
  </r>
  <r>
    <n v="10723"/>
    <s v="WHITC"/>
    <n v="3"/>
    <x v="345"/>
    <s v="Leverling Janet"/>
    <n v="1"/>
    <x v="1"/>
    <s v="30346"/>
    <n v="3"/>
    <n v="4"/>
    <x v="2"/>
    <n v="26"/>
    <s v="Gumbär Gummibärchen"/>
    <n v="3"/>
    <x v="4"/>
    <n v="31.23"/>
    <n v="15"/>
    <n v="0"/>
    <n v="468.45"/>
    <n v="21.72"/>
  </r>
  <r>
    <n v="10724"/>
    <s v="MEREP"/>
    <n v="8"/>
    <x v="345"/>
    <s v="Callahan Laura"/>
    <n v="2"/>
    <x v="2"/>
    <s v="19428"/>
    <n v="8"/>
    <n v="3"/>
    <x v="3"/>
    <n v="10"/>
    <s v="Ikura"/>
    <n v="8"/>
    <x v="2"/>
    <n v="31"/>
    <n v="16"/>
    <n v="0"/>
    <n v="496"/>
    <n v="57.75"/>
  </r>
  <r>
    <n v="10725"/>
    <s v="FAMIA"/>
    <n v="4"/>
    <x v="346"/>
    <s v="Peacock Margaret"/>
    <n v="3"/>
    <x v="0"/>
    <s v="20852"/>
    <n v="4"/>
    <n v="1"/>
    <x v="0"/>
    <n v="41"/>
    <s v="Jack's New England Clam Chowder"/>
    <n v="8"/>
    <x v="2"/>
    <n v="9.65"/>
    <n v="12"/>
    <n v="0"/>
    <n v="115.80000000000001"/>
    <n v="10.83"/>
  </r>
  <r>
    <n v="10726"/>
    <s v="EASTC"/>
    <n v="4"/>
    <x v="347"/>
    <s v="Peacock Margaret"/>
    <n v="1"/>
    <x v="1"/>
    <s v="20852"/>
    <n v="4"/>
    <n v="1"/>
    <x v="0"/>
    <n v="4"/>
    <s v="Chef Anton's Cajun Seasoning"/>
    <n v="2"/>
    <x v="7"/>
    <n v="22"/>
    <n v="25"/>
    <n v="0"/>
    <n v="550"/>
    <n v="16.559999999999999"/>
  </r>
  <r>
    <n v="10727"/>
    <s v="REGGC"/>
    <n v="2"/>
    <x v="347"/>
    <s v="Fuller Andrew"/>
    <n v="1"/>
    <x v="1"/>
    <s v="01581"/>
    <n v="2"/>
    <n v="1"/>
    <x v="0"/>
    <n v="17"/>
    <s v="Alice Mutton"/>
    <n v="6"/>
    <x v="6"/>
    <n v="39"/>
    <n v="20"/>
    <n v="5.000000074505806E-2"/>
    <n v="740.99999941885471"/>
    <n v="89.9"/>
  </r>
  <r>
    <n v="10728"/>
    <s v="QUEEN"/>
    <n v="4"/>
    <x v="348"/>
    <s v="Peacock Margaret"/>
    <n v="2"/>
    <x v="2"/>
    <s v="20852"/>
    <n v="4"/>
    <n v="1"/>
    <x v="0"/>
    <n v="30"/>
    <s v="Nord-Ost Matjeshering"/>
    <n v="8"/>
    <x v="2"/>
    <n v="25.89"/>
    <n v="15"/>
    <n v="0"/>
    <n v="388.35"/>
    <n v="58.33"/>
  </r>
  <r>
    <n v="10729"/>
    <s v="LINOD"/>
    <n v="8"/>
    <x v="348"/>
    <s v="Callahan Laura"/>
    <n v="3"/>
    <x v="0"/>
    <s v="19428"/>
    <n v="8"/>
    <n v="3"/>
    <x v="3"/>
    <n v="1"/>
    <s v="Chai"/>
    <n v="1"/>
    <x v="5"/>
    <n v="18"/>
    <n v="50"/>
    <n v="0"/>
    <n v="900"/>
    <n v="141.06"/>
  </r>
  <r>
    <n v="10730"/>
    <s v="BONAP"/>
    <n v="5"/>
    <x v="349"/>
    <s v="Buchanan Steven"/>
    <n v="1"/>
    <x v="1"/>
    <s v="02903"/>
    <n v="5"/>
    <n v="1"/>
    <x v="0"/>
    <n v="16"/>
    <s v="Pavlova"/>
    <n v="3"/>
    <x v="4"/>
    <n v="17.45"/>
    <n v="15"/>
    <n v="5.000000074505806E-2"/>
    <n v="248.66249980498105"/>
    <n v="20.12"/>
  </r>
  <r>
    <n v="10731"/>
    <s v="CHOPS"/>
    <n v="7"/>
    <x v="350"/>
    <s v="King Robert"/>
    <n v="1"/>
    <x v="1"/>
    <s v="60179"/>
    <n v="7"/>
    <n v="2"/>
    <x v="1"/>
    <n v="21"/>
    <s v="Sir Rodney's Scones"/>
    <n v="3"/>
    <x v="4"/>
    <n v="10"/>
    <n v="40"/>
    <n v="5.000000074505806E-2"/>
    <n v="379.99999970197678"/>
    <n v="96.65"/>
  </r>
  <r>
    <n v="10732"/>
    <s v="BONAP"/>
    <n v="3"/>
    <x v="350"/>
    <s v="Leverling Janet"/>
    <n v="1"/>
    <x v="1"/>
    <s v="30346"/>
    <n v="3"/>
    <n v="4"/>
    <x v="2"/>
    <n v="76"/>
    <s v="Lakkalikööri"/>
    <n v="1"/>
    <x v="5"/>
    <n v="18"/>
    <n v="20"/>
    <n v="0"/>
    <n v="360"/>
    <n v="16.97"/>
  </r>
  <r>
    <n v="10733"/>
    <s v="BERGS"/>
    <n v="1"/>
    <x v="351"/>
    <s v="Davolio Nancy"/>
    <n v="3"/>
    <x v="0"/>
    <s v="06897"/>
    <n v="1"/>
    <n v="1"/>
    <x v="0"/>
    <n v="14"/>
    <s v="Tofu"/>
    <n v="7"/>
    <x v="1"/>
    <n v="23.25"/>
    <n v="16"/>
    <n v="0"/>
    <n v="372"/>
    <n v="110.11"/>
  </r>
  <r>
    <n v="10734"/>
    <s v="GOURL"/>
    <n v="2"/>
    <x v="351"/>
    <s v="Fuller Andrew"/>
    <n v="3"/>
    <x v="0"/>
    <s v="01581"/>
    <n v="2"/>
    <n v="1"/>
    <x v="0"/>
    <n v="6"/>
    <s v="Grandma's Boysenberry Spread"/>
    <n v="2"/>
    <x v="7"/>
    <n v="25"/>
    <n v="30"/>
    <n v="0"/>
    <n v="750"/>
    <n v="1.63"/>
  </r>
  <r>
    <n v="10735"/>
    <s v="LETSS"/>
    <n v="6"/>
    <x v="352"/>
    <s v="Suyama Michael"/>
    <n v="2"/>
    <x v="2"/>
    <s v="85014"/>
    <n v="6"/>
    <n v="2"/>
    <x v="1"/>
    <n v="61"/>
    <s v="Sirop d'érable"/>
    <n v="2"/>
    <x v="7"/>
    <n v="28.5"/>
    <n v="20"/>
    <n v="0.10000000149011612"/>
    <n v="512.99999915063381"/>
    <n v="45.97"/>
  </r>
  <r>
    <n v="10736"/>
    <s v="HUNGO"/>
    <n v="9"/>
    <x v="353"/>
    <s v="Dodsworth Anne"/>
    <n v="2"/>
    <x v="2"/>
    <s v="03049"/>
    <n v="9"/>
    <n v="3"/>
    <x v="3"/>
    <n v="65"/>
    <s v="Louisiana Fiery Hot Pepper Sauce"/>
    <n v="2"/>
    <x v="7"/>
    <n v="21.05"/>
    <n v="40"/>
    <n v="0"/>
    <n v="842"/>
    <n v="44.1"/>
  </r>
  <r>
    <n v="10737"/>
    <s v="VINET"/>
    <n v="2"/>
    <x v="353"/>
    <s v="Fuller Andrew"/>
    <n v="2"/>
    <x v="2"/>
    <s v="01581"/>
    <n v="2"/>
    <n v="1"/>
    <x v="0"/>
    <n v="13"/>
    <s v="Konbu"/>
    <n v="8"/>
    <x v="2"/>
    <n v="6"/>
    <n v="4"/>
    <n v="0"/>
    <n v="24"/>
    <n v="7.79"/>
  </r>
  <r>
    <n v="10738"/>
    <s v="SPECD"/>
    <n v="2"/>
    <x v="354"/>
    <s v="Fuller Andrew"/>
    <n v="1"/>
    <x v="1"/>
    <s v="01581"/>
    <n v="2"/>
    <n v="1"/>
    <x v="0"/>
    <n v="16"/>
    <s v="Pavlova"/>
    <n v="3"/>
    <x v="4"/>
    <n v="17.45"/>
    <n v="3"/>
    <n v="0"/>
    <n v="52.349999999999994"/>
    <n v="2.91"/>
  </r>
  <r>
    <n v="10739"/>
    <s v="VINET"/>
    <n v="3"/>
    <x v="354"/>
    <s v="Leverling Janet"/>
    <n v="3"/>
    <x v="0"/>
    <s v="30346"/>
    <n v="3"/>
    <n v="4"/>
    <x v="2"/>
    <n v="36"/>
    <s v="Inlagd Sill"/>
    <n v="8"/>
    <x v="2"/>
    <n v="19"/>
    <n v="6"/>
    <n v="0"/>
    <n v="114"/>
    <n v="11.08"/>
  </r>
  <r>
    <n v="10740"/>
    <s v="WHITC"/>
    <n v="4"/>
    <x v="355"/>
    <s v="Peacock Margaret"/>
    <n v="2"/>
    <x v="2"/>
    <s v="20852"/>
    <n v="4"/>
    <n v="1"/>
    <x v="0"/>
    <n v="28"/>
    <s v="Rössle Sauerkraut"/>
    <n v="7"/>
    <x v="1"/>
    <n v="45.6"/>
    <n v="5"/>
    <n v="0.20000000298023224"/>
    <n v="182.39999932050705"/>
    <n v="81.88"/>
  </r>
  <r>
    <n v="10741"/>
    <s v="AROUT"/>
    <n v="4"/>
    <x v="356"/>
    <s v="Peacock Margaret"/>
    <n v="3"/>
    <x v="0"/>
    <s v="20852"/>
    <n v="4"/>
    <n v="1"/>
    <x v="0"/>
    <n v="2"/>
    <s v="Chang"/>
    <n v="1"/>
    <x v="5"/>
    <n v="19"/>
    <n v="15"/>
    <n v="0.20000000298023224"/>
    <n v="227.99999915063381"/>
    <n v="10.96"/>
  </r>
  <r>
    <n v="10742"/>
    <s v="BOTTM"/>
    <n v="3"/>
    <x v="356"/>
    <s v="Leverling Janet"/>
    <n v="3"/>
    <x v="0"/>
    <s v="30346"/>
    <n v="3"/>
    <n v="4"/>
    <x v="2"/>
    <n v="3"/>
    <s v="Aniseed Syrup"/>
    <n v="2"/>
    <x v="7"/>
    <n v="10"/>
    <n v="20"/>
    <n v="0"/>
    <n v="200"/>
    <n v="243.73"/>
  </r>
  <r>
    <n v="10743"/>
    <s v="AROUT"/>
    <n v="1"/>
    <x v="357"/>
    <s v="Davolio Nancy"/>
    <n v="2"/>
    <x v="2"/>
    <s v="06897"/>
    <n v="1"/>
    <n v="1"/>
    <x v="0"/>
    <n v="46"/>
    <s v="Spegesild"/>
    <n v="8"/>
    <x v="2"/>
    <n v="12"/>
    <n v="28"/>
    <n v="5.000000074505806E-2"/>
    <n v="319.19999974966049"/>
    <n v="23.72"/>
  </r>
  <r>
    <n v="10744"/>
    <s v="VAFFE"/>
    <n v="6"/>
    <x v="357"/>
    <s v="Suyama Michael"/>
    <n v="1"/>
    <x v="1"/>
    <s v="85014"/>
    <n v="6"/>
    <n v="2"/>
    <x v="1"/>
    <n v="40"/>
    <s v="Boston Crab Meat"/>
    <n v="8"/>
    <x v="2"/>
    <n v="18.399999999999999"/>
    <n v="50"/>
    <n v="0.20000000298023224"/>
    <n v="735.99999725818623"/>
    <n v="69.19"/>
  </r>
  <r>
    <n v="10745"/>
    <s v="QUICK"/>
    <n v="9"/>
    <x v="358"/>
    <s v="Dodsworth Anne"/>
    <n v="1"/>
    <x v="1"/>
    <s v="03049"/>
    <n v="9"/>
    <n v="3"/>
    <x v="3"/>
    <n v="18"/>
    <s v="Carnarvon Tigers"/>
    <n v="8"/>
    <x v="2"/>
    <n v="62.5"/>
    <n v="24"/>
    <n v="0"/>
    <n v="1500"/>
    <n v="3.52"/>
  </r>
  <r>
    <n v="10746"/>
    <s v="CHOPS"/>
    <n v="1"/>
    <x v="359"/>
    <s v="Davolio Nancy"/>
    <n v="3"/>
    <x v="0"/>
    <s v="06897"/>
    <n v="1"/>
    <n v="1"/>
    <x v="0"/>
    <n v="13"/>
    <s v="Konbu"/>
    <n v="8"/>
    <x v="2"/>
    <n v="6"/>
    <n v="6"/>
    <n v="0"/>
    <n v="36"/>
    <n v="31.43"/>
  </r>
  <r>
    <n v="10747"/>
    <s v="PICCO"/>
    <n v="6"/>
    <x v="359"/>
    <s v="Suyama Michael"/>
    <n v="1"/>
    <x v="1"/>
    <s v="85014"/>
    <n v="6"/>
    <n v="2"/>
    <x v="1"/>
    <n v="31"/>
    <s v="Gorgonzola Telino"/>
    <n v="4"/>
    <x v="0"/>
    <n v="12.5"/>
    <n v="8"/>
    <n v="0"/>
    <n v="100"/>
    <n v="117.33"/>
  </r>
  <r>
    <n v="10748"/>
    <s v="SAVEA"/>
    <n v="3"/>
    <x v="360"/>
    <s v="Leverling Janet"/>
    <n v="1"/>
    <x v="1"/>
    <s v="30346"/>
    <n v="3"/>
    <n v="4"/>
    <x v="2"/>
    <n v="23"/>
    <s v="Tunnbröd"/>
    <n v="5"/>
    <x v="3"/>
    <n v="9"/>
    <n v="44"/>
    <n v="0"/>
    <n v="396"/>
    <n v="232.55"/>
  </r>
  <r>
    <n v="10749"/>
    <s v="ISLAT"/>
    <n v="4"/>
    <x v="360"/>
    <s v="Peacock Margaret"/>
    <n v="2"/>
    <x v="2"/>
    <s v="20852"/>
    <n v="4"/>
    <n v="1"/>
    <x v="0"/>
    <n v="56"/>
    <s v="Gnocchi di nonna Alice"/>
    <n v="5"/>
    <x v="3"/>
    <n v="38"/>
    <n v="15"/>
    <n v="0"/>
    <n v="570"/>
    <n v="61.53"/>
  </r>
  <r>
    <n v="10750"/>
    <s v="WARTH"/>
    <n v="9"/>
    <x v="361"/>
    <s v="Dodsworth Anne"/>
    <n v="1"/>
    <x v="1"/>
    <s v="03049"/>
    <n v="9"/>
    <n v="3"/>
    <x v="3"/>
    <n v="14"/>
    <s v="Tofu"/>
    <n v="7"/>
    <x v="1"/>
    <n v="23.25"/>
    <n v="5"/>
    <n v="0.15000000596046448"/>
    <n v="98.812499307096004"/>
    <n v="79.3"/>
  </r>
  <r>
    <n v="10751"/>
    <s v="RICSU"/>
    <n v="3"/>
    <x v="362"/>
    <s v="Leverling Janet"/>
    <n v="3"/>
    <x v="0"/>
    <s v="30346"/>
    <n v="3"/>
    <n v="4"/>
    <x v="2"/>
    <n v="26"/>
    <s v="Gumbär Gummibärchen"/>
    <n v="3"/>
    <x v="4"/>
    <n v="31.23"/>
    <n v="12"/>
    <n v="0.10000000149011612"/>
    <n v="337.28399944156405"/>
    <n v="130.79"/>
  </r>
  <r>
    <n v="10752"/>
    <s v="NORTS"/>
    <n v="2"/>
    <x v="362"/>
    <s v="Fuller Andrew"/>
    <n v="3"/>
    <x v="0"/>
    <s v="01581"/>
    <n v="2"/>
    <n v="1"/>
    <x v="0"/>
    <n v="1"/>
    <s v="Chai"/>
    <n v="1"/>
    <x v="5"/>
    <n v="18"/>
    <n v="8"/>
    <n v="0"/>
    <n v="144"/>
    <n v="1.39"/>
  </r>
  <r>
    <n v="10753"/>
    <s v="FRANS"/>
    <n v="3"/>
    <x v="363"/>
    <s v="Leverling Janet"/>
    <n v="1"/>
    <x v="1"/>
    <s v="30346"/>
    <n v="3"/>
    <n v="4"/>
    <x v="2"/>
    <n v="45"/>
    <s v="Rogede sild"/>
    <n v="8"/>
    <x v="2"/>
    <n v="9.5"/>
    <n v="4"/>
    <n v="0"/>
    <n v="38"/>
    <n v="7.7"/>
  </r>
  <r>
    <n v="10754"/>
    <s v="MAGAA"/>
    <n v="6"/>
    <x v="363"/>
    <s v="Suyama Michael"/>
    <n v="3"/>
    <x v="0"/>
    <s v="85014"/>
    <n v="6"/>
    <n v="2"/>
    <x v="1"/>
    <n v="40"/>
    <s v="Boston Crab Meat"/>
    <n v="8"/>
    <x v="2"/>
    <n v="18.399999999999999"/>
    <n v="3"/>
    <n v="0"/>
    <n v="55.199999999999996"/>
    <n v="2.38"/>
  </r>
  <r>
    <n v="10755"/>
    <s v="BONAP"/>
    <n v="4"/>
    <x v="364"/>
    <s v="Peacock Margaret"/>
    <n v="2"/>
    <x v="2"/>
    <s v="20852"/>
    <n v="4"/>
    <n v="1"/>
    <x v="0"/>
    <n v="47"/>
    <s v="Zaanse koeken"/>
    <n v="3"/>
    <x v="4"/>
    <n v="9.5"/>
    <n v="30"/>
    <n v="0.25"/>
    <n v="213.75"/>
    <n v="16.71"/>
  </r>
  <r>
    <n v="10756"/>
    <s v="SPLIR"/>
    <n v="8"/>
    <x v="365"/>
    <s v="Callahan Laura"/>
    <n v="2"/>
    <x v="2"/>
    <s v="19428"/>
    <n v="8"/>
    <n v="3"/>
    <x v="3"/>
    <n v="18"/>
    <s v="Carnarvon Tigers"/>
    <n v="8"/>
    <x v="2"/>
    <n v="62.5"/>
    <n v="21"/>
    <n v="0.20000000298023224"/>
    <n v="1049.9999960884452"/>
    <n v="73.209999999999994"/>
  </r>
  <r>
    <n v="10757"/>
    <s v="SAVEA"/>
    <n v="6"/>
    <x v="365"/>
    <s v="Suyama Michael"/>
    <n v="1"/>
    <x v="1"/>
    <s v="85014"/>
    <n v="6"/>
    <n v="2"/>
    <x v="1"/>
    <n v="34"/>
    <s v="Sasquatch Ale"/>
    <n v="1"/>
    <x v="5"/>
    <n v="14"/>
    <n v="30"/>
    <n v="0"/>
    <n v="420"/>
    <n v="8.19"/>
  </r>
  <r>
    <n v="10758"/>
    <s v="RICSU"/>
    <n v="3"/>
    <x v="366"/>
    <s v="Leverling Janet"/>
    <n v="3"/>
    <x v="0"/>
    <s v="30346"/>
    <n v="3"/>
    <n v="4"/>
    <x v="2"/>
    <n v="26"/>
    <s v="Gumbär Gummibärchen"/>
    <n v="3"/>
    <x v="4"/>
    <n v="31.23"/>
    <n v="20"/>
    <n v="0"/>
    <n v="624.6"/>
    <n v="138.16999999999999"/>
  </r>
  <r>
    <n v="10759"/>
    <s v="ANATR"/>
    <n v="3"/>
    <x v="366"/>
    <s v="Leverling Janet"/>
    <n v="3"/>
    <x v="0"/>
    <s v="30346"/>
    <n v="3"/>
    <n v="4"/>
    <x v="2"/>
    <n v="32"/>
    <s v="Mascarpone Fabioli"/>
    <n v="4"/>
    <x v="0"/>
    <n v="32"/>
    <n v="10"/>
    <n v="0"/>
    <n v="320"/>
    <n v="11.99"/>
  </r>
  <r>
    <n v="10760"/>
    <s v="MAISD"/>
    <n v="4"/>
    <x v="367"/>
    <s v="Peacock Margaret"/>
    <n v="1"/>
    <x v="1"/>
    <s v="20852"/>
    <n v="4"/>
    <n v="1"/>
    <x v="0"/>
    <n v="25"/>
    <s v="NuNuCa Nuß-Nougat-Creme"/>
    <n v="3"/>
    <x v="4"/>
    <n v="14"/>
    <n v="12"/>
    <n v="0.25"/>
    <n v="126"/>
    <n v="155.63999999999999"/>
  </r>
  <r>
    <n v="10761"/>
    <s v="RATTC"/>
    <n v="5"/>
    <x v="368"/>
    <s v="Buchanan Steven"/>
    <n v="2"/>
    <x v="2"/>
    <s v="02903"/>
    <n v="5"/>
    <n v="1"/>
    <x v="0"/>
    <n v="25"/>
    <s v="NuNuCa Nuß-Nougat-Creme"/>
    <n v="3"/>
    <x v="4"/>
    <n v="14"/>
    <n v="35"/>
    <n v="0.25"/>
    <n v="367.5"/>
    <n v="18.66"/>
  </r>
  <r>
    <n v="10762"/>
    <s v="FOLKO"/>
    <n v="3"/>
    <x v="368"/>
    <s v="Leverling Janet"/>
    <n v="1"/>
    <x v="1"/>
    <s v="30346"/>
    <n v="3"/>
    <n v="4"/>
    <x v="2"/>
    <n v="39"/>
    <s v="Chartreuse verte"/>
    <n v="1"/>
    <x v="5"/>
    <n v="18"/>
    <n v="16"/>
    <n v="0"/>
    <n v="288"/>
    <n v="328.74"/>
  </r>
  <r>
    <n v="10763"/>
    <s v="FOLIG"/>
    <n v="3"/>
    <x v="369"/>
    <s v="Leverling Janet"/>
    <n v="3"/>
    <x v="0"/>
    <s v="30346"/>
    <n v="3"/>
    <n v="4"/>
    <x v="2"/>
    <n v="21"/>
    <s v="Sir Rodney's Scones"/>
    <n v="3"/>
    <x v="4"/>
    <n v="10"/>
    <n v="40"/>
    <n v="0"/>
    <n v="400"/>
    <n v="37.35"/>
  </r>
  <r>
    <n v="10764"/>
    <s v="ERNSH"/>
    <n v="6"/>
    <x v="369"/>
    <s v="Suyama Michael"/>
    <n v="3"/>
    <x v="0"/>
    <s v="85014"/>
    <n v="6"/>
    <n v="2"/>
    <x v="1"/>
    <n v="3"/>
    <s v="Aniseed Syrup"/>
    <n v="2"/>
    <x v="7"/>
    <n v="10"/>
    <n v="20"/>
    <n v="0.10000000149011612"/>
    <n v="179.99999970197678"/>
    <n v="145.44999999999999"/>
  </r>
  <r>
    <n v="10765"/>
    <s v="QUICK"/>
    <n v="3"/>
    <x v="370"/>
    <s v="Leverling Janet"/>
    <n v="3"/>
    <x v="0"/>
    <s v="30346"/>
    <n v="3"/>
    <n v="4"/>
    <x v="2"/>
    <n v="65"/>
    <s v="Louisiana Fiery Hot Pepper Sauce"/>
    <n v="2"/>
    <x v="7"/>
    <n v="21.05"/>
    <n v="80"/>
    <n v="0.10000000149011612"/>
    <n v="1515.5999974906445"/>
    <n v="42.74"/>
  </r>
  <r>
    <n v="10766"/>
    <s v="OTTIK"/>
    <n v="4"/>
    <x v="371"/>
    <s v="Peacock Margaret"/>
    <n v="1"/>
    <x v="1"/>
    <s v="20852"/>
    <n v="4"/>
    <n v="1"/>
    <x v="0"/>
    <n v="2"/>
    <s v="Chang"/>
    <n v="1"/>
    <x v="5"/>
    <n v="19"/>
    <n v="40"/>
    <n v="0"/>
    <n v="760"/>
    <n v="157.55000000000001"/>
  </r>
  <r>
    <n v="10767"/>
    <s v="SUPRD"/>
    <n v="4"/>
    <x v="371"/>
    <s v="Peacock Margaret"/>
    <n v="3"/>
    <x v="0"/>
    <s v="20852"/>
    <n v="4"/>
    <n v="1"/>
    <x v="0"/>
    <n v="42"/>
    <s v="Singaporean Hokkien Fried Mee"/>
    <n v="5"/>
    <x v="3"/>
    <n v="14"/>
    <n v="2"/>
    <n v="0"/>
    <n v="28"/>
    <n v="1.59"/>
  </r>
  <r>
    <n v="10768"/>
    <s v="AROUT"/>
    <n v="3"/>
    <x v="372"/>
    <s v="Leverling Janet"/>
    <n v="2"/>
    <x v="2"/>
    <s v="30346"/>
    <n v="3"/>
    <n v="4"/>
    <x v="2"/>
    <n v="22"/>
    <s v="Gustaf's Knäckebröd"/>
    <n v="5"/>
    <x v="3"/>
    <n v="21"/>
    <n v="4"/>
    <n v="0"/>
    <n v="84"/>
    <n v="146.32"/>
  </r>
  <r>
    <n v="10769"/>
    <s v="VAFFE"/>
    <n v="3"/>
    <x v="372"/>
    <s v="Leverling Janet"/>
    <n v="1"/>
    <x v="1"/>
    <s v="30346"/>
    <n v="3"/>
    <n v="4"/>
    <x v="2"/>
    <n v="41"/>
    <s v="Jack's New England Clam Chowder"/>
    <n v="8"/>
    <x v="2"/>
    <n v="9.65"/>
    <n v="30"/>
    <n v="5.000000074505806E-2"/>
    <n v="275.02499978430569"/>
    <n v="65.06"/>
  </r>
  <r>
    <n v="10770"/>
    <s v="HANAR"/>
    <n v="8"/>
    <x v="373"/>
    <s v="Callahan Laura"/>
    <n v="3"/>
    <x v="0"/>
    <s v="19428"/>
    <n v="8"/>
    <n v="3"/>
    <x v="3"/>
    <n v="11"/>
    <s v="Queso Cabrales"/>
    <n v="4"/>
    <x v="0"/>
    <n v="21"/>
    <n v="15"/>
    <n v="0.25"/>
    <n v="236.25"/>
    <n v="5.32"/>
  </r>
  <r>
    <n v="10771"/>
    <s v="ERNSH"/>
    <n v="9"/>
    <x v="374"/>
    <s v="Dodsworth Anne"/>
    <n v="2"/>
    <x v="2"/>
    <s v="03049"/>
    <n v="9"/>
    <n v="3"/>
    <x v="3"/>
    <n v="71"/>
    <s v="Flotemysost"/>
    <n v="4"/>
    <x v="0"/>
    <n v="21.5"/>
    <n v="16"/>
    <n v="0"/>
    <n v="344"/>
    <n v="11.19"/>
  </r>
  <r>
    <n v="10772"/>
    <s v="LEHMS"/>
    <n v="3"/>
    <x v="374"/>
    <s v="Leverling Janet"/>
    <n v="2"/>
    <x v="2"/>
    <s v="30346"/>
    <n v="3"/>
    <n v="4"/>
    <x v="2"/>
    <n v="29"/>
    <s v="Thüringer Rostbratwurst"/>
    <n v="6"/>
    <x v="6"/>
    <n v="123.79"/>
    <n v="18"/>
    <n v="0"/>
    <n v="2228.2200000000003"/>
    <n v="91.28"/>
  </r>
  <r>
    <n v="10773"/>
    <s v="ERNSH"/>
    <n v="1"/>
    <x v="375"/>
    <s v="Davolio Nancy"/>
    <n v="3"/>
    <x v="0"/>
    <s v="06897"/>
    <n v="1"/>
    <n v="1"/>
    <x v="0"/>
    <n v="17"/>
    <s v="Alice Mutton"/>
    <n v="6"/>
    <x v="6"/>
    <n v="39"/>
    <n v="33"/>
    <n v="0"/>
    <n v="1287"/>
    <n v="96.43"/>
  </r>
  <r>
    <n v="10774"/>
    <s v="FOLKO"/>
    <n v="4"/>
    <x v="375"/>
    <s v="Peacock Margaret"/>
    <n v="1"/>
    <x v="1"/>
    <s v="20852"/>
    <n v="4"/>
    <n v="1"/>
    <x v="0"/>
    <n v="31"/>
    <s v="Gorgonzola Telino"/>
    <n v="4"/>
    <x v="0"/>
    <n v="12.5"/>
    <n v="2"/>
    <n v="0.25"/>
    <n v="18.75"/>
    <n v="48.2"/>
  </r>
  <r>
    <n v="10775"/>
    <s v="THECR"/>
    <n v="7"/>
    <x v="376"/>
    <s v="King Robert"/>
    <n v="1"/>
    <x v="1"/>
    <s v="60179"/>
    <n v="7"/>
    <n v="2"/>
    <x v="1"/>
    <n v="10"/>
    <s v="Ikura"/>
    <n v="8"/>
    <x v="2"/>
    <n v="31"/>
    <n v="6"/>
    <n v="0"/>
    <n v="186"/>
    <n v="20.25"/>
  </r>
  <r>
    <n v="10776"/>
    <s v="ERNSH"/>
    <n v="1"/>
    <x v="377"/>
    <s v="Davolio Nancy"/>
    <n v="3"/>
    <x v="0"/>
    <s v="06897"/>
    <n v="1"/>
    <n v="1"/>
    <x v="0"/>
    <n v="31"/>
    <s v="Gorgonzola Telino"/>
    <n v="4"/>
    <x v="0"/>
    <n v="12.5"/>
    <n v="16"/>
    <n v="5.000000074505806E-2"/>
    <n v="189.99999985098839"/>
    <n v="351.53"/>
  </r>
  <r>
    <n v="10777"/>
    <s v="GOURL"/>
    <n v="7"/>
    <x v="377"/>
    <s v="King Robert"/>
    <n v="2"/>
    <x v="2"/>
    <s v="60179"/>
    <n v="7"/>
    <n v="2"/>
    <x v="1"/>
    <n v="42"/>
    <s v="Singaporean Hokkien Fried Mee"/>
    <n v="5"/>
    <x v="3"/>
    <n v="14"/>
    <n v="20"/>
    <n v="0.20000000298023224"/>
    <n v="223.99999916553497"/>
    <n v="3.01"/>
  </r>
  <r>
    <n v="10778"/>
    <s v="BERGS"/>
    <n v="3"/>
    <x v="378"/>
    <s v="Leverling Janet"/>
    <n v="1"/>
    <x v="1"/>
    <s v="30346"/>
    <n v="3"/>
    <n v="4"/>
    <x v="2"/>
    <n v="41"/>
    <s v="Jack's New England Clam Chowder"/>
    <n v="8"/>
    <x v="2"/>
    <n v="9.65"/>
    <n v="10"/>
    <n v="0"/>
    <n v="96.5"/>
    <n v="6.79"/>
  </r>
  <r>
    <n v="10779"/>
    <s v="MORGK"/>
    <n v="3"/>
    <x v="378"/>
    <s v="Leverling Janet"/>
    <n v="2"/>
    <x v="2"/>
    <s v="30346"/>
    <n v="3"/>
    <n v="4"/>
    <x v="2"/>
    <n v="16"/>
    <s v="Pavlova"/>
    <n v="3"/>
    <x v="4"/>
    <n v="17.45"/>
    <n v="20"/>
    <n v="0"/>
    <n v="349"/>
    <n v="58.13"/>
  </r>
  <r>
    <n v="10780"/>
    <s v="LILAS"/>
    <n v="2"/>
    <x v="378"/>
    <s v="Fuller Andrew"/>
    <n v="1"/>
    <x v="1"/>
    <s v="01581"/>
    <n v="2"/>
    <n v="1"/>
    <x v="0"/>
    <n v="70"/>
    <s v="Outback Lager"/>
    <n v="1"/>
    <x v="5"/>
    <n v="15"/>
    <n v="35"/>
    <n v="0"/>
    <n v="525"/>
    <n v="42.13"/>
  </r>
  <r>
    <n v="10781"/>
    <s v="WARTH"/>
    <n v="2"/>
    <x v="379"/>
    <s v="Fuller Andrew"/>
    <n v="3"/>
    <x v="0"/>
    <s v="01581"/>
    <n v="2"/>
    <n v="1"/>
    <x v="0"/>
    <n v="54"/>
    <s v="Tourtière"/>
    <n v="6"/>
    <x v="6"/>
    <n v="7.45"/>
    <n v="3"/>
    <n v="0.20000000298023224"/>
    <n v="17.879999933391812"/>
    <n v="73.16"/>
  </r>
  <r>
    <n v="10782"/>
    <s v="CACTU"/>
    <n v="9"/>
    <x v="379"/>
    <s v="Dodsworth Anne"/>
    <n v="3"/>
    <x v="0"/>
    <s v="03049"/>
    <n v="9"/>
    <n v="3"/>
    <x v="3"/>
    <n v="31"/>
    <s v="Gorgonzola Telino"/>
    <n v="4"/>
    <x v="0"/>
    <n v="12.5"/>
    <n v="1"/>
    <n v="0"/>
    <n v="12.5"/>
    <n v="1.1000000000000001"/>
  </r>
  <r>
    <n v="10783"/>
    <s v="HANAR"/>
    <n v="4"/>
    <x v="380"/>
    <s v="Peacock Margaret"/>
    <n v="2"/>
    <x v="2"/>
    <s v="20852"/>
    <n v="4"/>
    <n v="1"/>
    <x v="0"/>
    <n v="31"/>
    <s v="Gorgonzola Telino"/>
    <n v="4"/>
    <x v="0"/>
    <n v="12.5"/>
    <n v="10"/>
    <n v="0"/>
    <n v="125"/>
    <n v="124.98"/>
  </r>
  <r>
    <n v="10784"/>
    <s v="MAGAA"/>
    <n v="4"/>
    <x v="380"/>
    <s v="Peacock Margaret"/>
    <n v="3"/>
    <x v="0"/>
    <s v="20852"/>
    <n v="4"/>
    <n v="1"/>
    <x v="0"/>
    <n v="36"/>
    <s v="Inlagd Sill"/>
    <n v="8"/>
    <x v="2"/>
    <n v="19"/>
    <n v="30"/>
    <n v="0"/>
    <n v="570"/>
    <n v="70.09"/>
  </r>
  <r>
    <n v="10785"/>
    <s v="GROSR"/>
    <n v="1"/>
    <x v="380"/>
    <s v="Davolio Nancy"/>
    <n v="3"/>
    <x v="0"/>
    <s v="06897"/>
    <n v="1"/>
    <n v="1"/>
    <x v="0"/>
    <n v="10"/>
    <s v="Ikura"/>
    <n v="8"/>
    <x v="2"/>
    <n v="31"/>
    <n v="10"/>
    <n v="0"/>
    <n v="310"/>
    <n v="1.51"/>
  </r>
  <r>
    <n v="10786"/>
    <s v="QUEEN"/>
    <n v="8"/>
    <x v="381"/>
    <s v="Callahan Laura"/>
    <n v="1"/>
    <x v="1"/>
    <s v="19428"/>
    <n v="8"/>
    <n v="3"/>
    <x v="3"/>
    <n v="8"/>
    <s v="Northwoods Cranberry Sauce"/>
    <n v="2"/>
    <x v="7"/>
    <n v="40"/>
    <n v="30"/>
    <n v="0.20000000298023224"/>
    <n v="959.99999642372131"/>
    <n v="110.87"/>
  </r>
  <r>
    <n v="10787"/>
    <s v="LAMAI"/>
    <n v="2"/>
    <x v="381"/>
    <s v="Fuller Andrew"/>
    <n v="1"/>
    <x v="1"/>
    <s v="01581"/>
    <n v="2"/>
    <n v="1"/>
    <x v="0"/>
    <n v="2"/>
    <s v="Chang"/>
    <n v="1"/>
    <x v="5"/>
    <n v="19"/>
    <n v="15"/>
    <n v="5.000000074505806E-2"/>
    <n v="270.74999978765845"/>
    <n v="249.93"/>
  </r>
  <r>
    <n v="10788"/>
    <s v="QUICK"/>
    <n v="1"/>
    <x v="382"/>
    <s v="Davolio Nancy"/>
    <n v="2"/>
    <x v="2"/>
    <s v="06897"/>
    <n v="1"/>
    <n v="1"/>
    <x v="0"/>
    <n v="19"/>
    <s v="Teatime Chocolate Biscuits"/>
    <n v="3"/>
    <x v="4"/>
    <n v="9.1999999999999993"/>
    <n v="50"/>
    <n v="5.000000074505806E-2"/>
    <n v="436.99999965727324"/>
    <n v="42.7"/>
  </r>
  <r>
    <n v="10789"/>
    <s v="FOLIG"/>
    <n v="1"/>
    <x v="382"/>
    <s v="Davolio Nancy"/>
    <n v="2"/>
    <x v="2"/>
    <s v="06897"/>
    <n v="1"/>
    <n v="1"/>
    <x v="0"/>
    <n v="18"/>
    <s v="Carnarvon Tigers"/>
    <n v="8"/>
    <x v="2"/>
    <n v="62.5"/>
    <n v="30"/>
    <n v="0"/>
    <n v="1875"/>
    <n v="100.6"/>
  </r>
  <r>
    <n v="10790"/>
    <s v="GOURL"/>
    <n v="6"/>
    <x v="382"/>
    <s v="Suyama Michael"/>
    <n v="1"/>
    <x v="1"/>
    <s v="85014"/>
    <n v="6"/>
    <n v="2"/>
    <x v="1"/>
    <n v="7"/>
    <s v="Uncle Bob's Organic Dried Pears"/>
    <n v="7"/>
    <x v="1"/>
    <n v="30"/>
    <n v="3"/>
    <n v="0.15000000596046448"/>
    <n v="76.499999463558197"/>
    <n v="28.23"/>
  </r>
  <r>
    <n v="10791"/>
    <s v="FRANK"/>
    <n v="6"/>
    <x v="383"/>
    <s v="Suyama Michael"/>
    <n v="2"/>
    <x v="2"/>
    <s v="85014"/>
    <n v="6"/>
    <n v="2"/>
    <x v="1"/>
    <n v="29"/>
    <s v="Thüringer Rostbratwurst"/>
    <n v="6"/>
    <x v="6"/>
    <n v="123.79"/>
    <n v="14"/>
    <n v="5.000000074505806E-2"/>
    <n v="1646.4069987087698"/>
    <n v="16.850000000000001"/>
  </r>
  <r>
    <n v="10792"/>
    <s v="WOLZA"/>
    <n v="1"/>
    <x v="383"/>
    <s v="Davolio Nancy"/>
    <n v="3"/>
    <x v="0"/>
    <s v="06897"/>
    <n v="1"/>
    <n v="1"/>
    <x v="0"/>
    <n v="2"/>
    <s v="Chang"/>
    <n v="1"/>
    <x v="5"/>
    <n v="19"/>
    <n v="10"/>
    <n v="0"/>
    <n v="190"/>
    <n v="23.79"/>
  </r>
  <r>
    <n v="10793"/>
    <s v="AROUT"/>
    <n v="3"/>
    <x v="384"/>
    <s v="Leverling Janet"/>
    <n v="3"/>
    <x v="0"/>
    <s v="30346"/>
    <n v="3"/>
    <n v="4"/>
    <x v="2"/>
    <n v="41"/>
    <s v="Jack's New England Clam Chowder"/>
    <n v="8"/>
    <x v="2"/>
    <n v="9.65"/>
    <n v="14"/>
    <n v="0"/>
    <n v="135.1"/>
    <n v="4.5199999999999996"/>
  </r>
  <r>
    <n v="10794"/>
    <s v="QUEDE"/>
    <n v="6"/>
    <x v="384"/>
    <s v="Suyama Michael"/>
    <n v="1"/>
    <x v="1"/>
    <s v="85014"/>
    <n v="6"/>
    <n v="2"/>
    <x v="1"/>
    <n v="14"/>
    <s v="Tofu"/>
    <n v="7"/>
    <x v="1"/>
    <n v="23.25"/>
    <n v="15"/>
    <n v="0.20000000298023224"/>
    <n v="278.99999896064401"/>
    <n v="21.49"/>
  </r>
  <r>
    <n v="10795"/>
    <s v="ERNSH"/>
    <n v="8"/>
    <x v="384"/>
    <s v="Callahan Laura"/>
    <n v="2"/>
    <x v="2"/>
    <s v="19428"/>
    <n v="8"/>
    <n v="3"/>
    <x v="3"/>
    <n v="16"/>
    <s v="Pavlova"/>
    <n v="3"/>
    <x v="4"/>
    <n v="17.45"/>
    <n v="65"/>
    <n v="0"/>
    <n v="1134.25"/>
    <n v="126.66"/>
  </r>
  <r>
    <n v="10796"/>
    <s v="HILAA"/>
    <n v="3"/>
    <x v="385"/>
    <s v="Leverling Janet"/>
    <n v="1"/>
    <x v="1"/>
    <s v="30346"/>
    <n v="3"/>
    <n v="4"/>
    <x v="2"/>
    <n v="26"/>
    <s v="Gumbär Gummibärchen"/>
    <n v="3"/>
    <x v="4"/>
    <n v="31.23"/>
    <n v="21"/>
    <n v="0.20000000298023224"/>
    <n v="524.66399804547427"/>
    <n v="26.52"/>
  </r>
  <r>
    <n v="10797"/>
    <s v="DRACD"/>
    <n v="7"/>
    <x v="385"/>
    <s v="King Robert"/>
    <n v="2"/>
    <x v="2"/>
    <s v="60179"/>
    <n v="7"/>
    <n v="2"/>
    <x v="1"/>
    <n v="11"/>
    <s v="Queso Cabrales"/>
    <n v="4"/>
    <x v="0"/>
    <n v="21"/>
    <n v="20"/>
    <n v="0"/>
    <n v="420"/>
    <n v="33.35"/>
  </r>
  <r>
    <n v="10798"/>
    <s v="ISLAT"/>
    <n v="2"/>
    <x v="386"/>
    <s v="Fuller Andrew"/>
    <n v="1"/>
    <x v="1"/>
    <s v="01581"/>
    <n v="2"/>
    <n v="1"/>
    <x v="0"/>
    <n v="62"/>
    <s v="Tarte au sucre"/>
    <n v="3"/>
    <x v="4"/>
    <n v="49.3"/>
    <n v="2"/>
    <n v="0"/>
    <n v="98.6"/>
    <n v="2.33"/>
  </r>
  <r>
    <n v="10799"/>
    <s v="KOENE"/>
    <n v="9"/>
    <x v="386"/>
    <s v="Dodsworth Anne"/>
    <n v="3"/>
    <x v="0"/>
    <s v="03049"/>
    <n v="9"/>
    <n v="3"/>
    <x v="3"/>
    <n v="13"/>
    <s v="Konbu"/>
    <n v="8"/>
    <x v="2"/>
    <n v="6"/>
    <n v="20"/>
    <n v="0.15000000596046448"/>
    <n v="101.99999928474426"/>
    <n v="30.76"/>
  </r>
  <r>
    <n v="10800"/>
    <s v="SEVES"/>
    <n v="1"/>
    <x v="386"/>
    <s v="Davolio Nancy"/>
    <n v="3"/>
    <x v="0"/>
    <s v="06897"/>
    <n v="1"/>
    <n v="1"/>
    <x v="0"/>
    <n v="11"/>
    <s v="Queso Cabrales"/>
    <n v="4"/>
    <x v="0"/>
    <n v="21"/>
    <n v="50"/>
    <n v="0.10000000149011612"/>
    <n v="944.99999843537807"/>
    <n v="137.44"/>
  </r>
  <r>
    <n v="10801"/>
    <s v="BOLID"/>
    <n v="4"/>
    <x v="387"/>
    <s v="Peacock Margaret"/>
    <n v="2"/>
    <x v="2"/>
    <s v="20852"/>
    <n v="4"/>
    <n v="1"/>
    <x v="0"/>
    <n v="17"/>
    <s v="Alice Mutton"/>
    <n v="6"/>
    <x v="6"/>
    <n v="39"/>
    <n v="40"/>
    <n v="0.25"/>
    <n v="1170"/>
    <n v="97.09"/>
  </r>
  <r>
    <n v="10802"/>
    <s v="SIMOB"/>
    <n v="4"/>
    <x v="387"/>
    <s v="Peacock Margaret"/>
    <n v="2"/>
    <x v="2"/>
    <s v="20852"/>
    <n v="4"/>
    <n v="1"/>
    <x v="0"/>
    <n v="30"/>
    <s v="Nord-Ost Matjeshering"/>
    <n v="8"/>
    <x v="2"/>
    <n v="25.89"/>
    <n v="25"/>
    <n v="0.25"/>
    <n v="485.4375"/>
    <n v="257.26"/>
  </r>
  <r>
    <n v="10803"/>
    <s v="WELLI"/>
    <n v="4"/>
    <x v="388"/>
    <s v="Peacock Margaret"/>
    <n v="1"/>
    <x v="1"/>
    <s v="20852"/>
    <n v="4"/>
    <n v="1"/>
    <x v="0"/>
    <n v="19"/>
    <s v="Teatime Chocolate Biscuits"/>
    <n v="3"/>
    <x v="4"/>
    <n v="9.1999999999999993"/>
    <n v="24"/>
    <n v="5.000000074505806E-2"/>
    <n v="209.75999983549116"/>
    <n v="55.23"/>
  </r>
  <r>
    <n v="10804"/>
    <s v="SEVES"/>
    <n v="6"/>
    <x v="388"/>
    <s v="Suyama Michael"/>
    <n v="2"/>
    <x v="2"/>
    <s v="85014"/>
    <n v="6"/>
    <n v="2"/>
    <x v="1"/>
    <n v="10"/>
    <s v="Ikura"/>
    <n v="8"/>
    <x v="2"/>
    <n v="31"/>
    <n v="36"/>
    <n v="0"/>
    <n v="1116"/>
    <n v="27.33"/>
  </r>
  <r>
    <n v="10805"/>
    <s v="THEBI"/>
    <n v="2"/>
    <x v="388"/>
    <s v="Fuller Andrew"/>
    <n v="3"/>
    <x v="0"/>
    <s v="01581"/>
    <n v="2"/>
    <n v="1"/>
    <x v="0"/>
    <n v="34"/>
    <s v="Sasquatch Ale"/>
    <n v="1"/>
    <x v="5"/>
    <n v="14"/>
    <n v="10"/>
    <n v="0"/>
    <n v="140"/>
    <n v="237.34"/>
  </r>
  <r>
    <n v="10806"/>
    <s v="VICTE"/>
    <n v="3"/>
    <x v="389"/>
    <s v="Leverling Janet"/>
    <n v="2"/>
    <x v="2"/>
    <s v="30346"/>
    <n v="3"/>
    <n v="4"/>
    <x v="2"/>
    <n v="2"/>
    <s v="Chang"/>
    <n v="1"/>
    <x v="5"/>
    <n v="19"/>
    <n v="20"/>
    <n v="0.25"/>
    <n v="285"/>
    <n v="22.11"/>
  </r>
  <r>
    <n v="10807"/>
    <s v="FRANS"/>
    <n v="4"/>
    <x v="389"/>
    <s v="Peacock Margaret"/>
    <n v="1"/>
    <x v="1"/>
    <s v="20852"/>
    <n v="4"/>
    <n v="1"/>
    <x v="0"/>
    <n v="40"/>
    <s v="Boston Crab Meat"/>
    <n v="8"/>
    <x v="2"/>
    <n v="18.399999999999999"/>
    <n v="1"/>
    <n v="0"/>
    <n v="18.399999999999999"/>
    <n v="1.36"/>
  </r>
  <r>
    <n v="10808"/>
    <s v="OLDWO"/>
    <n v="2"/>
    <x v="390"/>
    <s v="Fuller Andrew"/>
    <n v="3"/>
    <x v="0"/>
    <s v="01581"/>
    <n v="2"/>
    <n v="1"/>
    <x v="0"/>
    <n v="56"/>
    <s v="Gnocchi di nonna Alice"/>
    <n v="5"/>
    <x v="3"/>
    <n v="38"/>
    <n v="20"/>
    <n v="0.15000000596046448"/>
    <n v="645.999995470047"/>
    <n v="45.53"/>
  </r>
  <r>
    <n v="10809"/>
    <s v="WELLI"/>
    <n v="7"/>
    <x v="390"/>
    <s v="King Robert"/>
    <n v="1"/>
    <x v="1"/>
    <s v="60179"/>
    <n v="7"/>
    <n v="2"/>
    <x v="1"/>
    <n v="52"/>
    <s v="Filo Mix"/>
    <n v="5"/>
    <x v="3"/>
    <n v="7"/>
    <n v="20"/>
    <n v="0"/>
    <n v="140"/>
    <n v="4.87"/>
  </r>
  <r>
    <n v="10810"/>
    <s v="LAUGB"/>
    <n v="2"/>
    <x v="390"/>
    <s v="Fuller Andrew"/>
    <n v="3"/>
    <x v="0"/>
    <s v="01581"/>
    <n v="2"/>
    <n v="1"/>
    <x v="0"/>
    <n v="13"/>
    <s v="Konbu"/>
    <n v="8"/>
    <x v="2"/>
    <n v="6"/>
    <n v="7"/>
    <n v="0"/>
    <n v="42"/>
    <n v="4.33"/>
  </r>
  <r>
    <n v="10811"/>
    <s v="LINOD"/>
    <n v="8"/>
    <x v="391"/>
    <s v="Callahan Laura"/>
    <n v="1"/>
    <x v="1"/>
    <s v="19428"/>
    <n v="8"/>
    <n v="3"/>
    <x v="3"/>
    <n v="19"/>
    <s v="Teatime Chocolate Biscuits"/>
    <n v="3"/>
    <x v="4"/>
    <n v="9.1999999999999993"/>
    <n v="15"/>
    <n v="0"/>
    <n v="138"/>
    <n v="31.22"/>
  </r>
  <r>
    <n v="10812"/>
    <s v="REGGC"/>
    <n v="5"/>
    <x v="391"/>
    <s v="Buchanan Steven"/>
    <n v="1"/>
    <x v="1"/>
    <s v="02903"/>
    <n v="5"/>
    <n v="1"/>
    <x v="0"/>
    <n v="31"/>
    <s v="Gorgonzola Telino"/>
    <n v="4"/>
    <x v="0"/>
    <n v="12.5"/>
    <n v="16"/>
    <n v="0.10000000149011612"/>
    <n v="179.99999970197678"/>
    <n v="59.78"/>
  </r>
  <r>
    <n v="10813"/>
    <s v="RICAR"/>
    <n v="1"/>
    <x v="392"/>
    <s v="Davolio Nancy"/>
    <n v="1"/>
    <x v="1"/>
    <s v="06897"/>
    <n v="1"/>
    <n v="1"/>
    <x v="0"/>
    <n v="2"/>
    <s v="Chang"/>
    <n v="1"/>
    <x v="5"/>
    <n v="19"/>
    <n v="12"/>
    <n v="0.20000000298023224"/>
    <n v="182.39999932050705"/>
    <n v="47.38"/>
  </r>
  <r>
    <n v="10814"/>
    <s v="VICTE"/>
    <n v="3"/>
    <x v="392"/>
    <s v="Leverling Janet"/>
    <n v="3"/>
    <x v="0"/>
    <s v="30346"/>
    <n v="3"/>
    <n v="4"/>
    <x v="2"/>
    <n v="41"/>
    <s v="Jack's New England Clam Chowder"/>
    <n v="8"/>
    <x v="2"/>
    <n v="9.65"/>
    <n v="20"/>
    <n v="0"/>
    <n v="193"/>
    <n v="130.94"/>
  </r>
  <r>
    <n v="10815"/>
    <s v="SAVEA"/>
    <n v="2"/>
    <x v="392"/>
    <s v="Fuller Andrew"/>
    <n v="3"/>
    <x v="0"/>
    <s v="01581"/>
    <n v="2"/>
    <n v="1"/>
    <x v="0"/>
    <n v="33"/>
    <s v="Geitost"/>
    <n v="4"/>
    <x v="0"/>
    <n v="2.5"/>
    <n v="16"/>
    <n v="0"/>
    <n v="40"/>
    <n v="14.62"/>
  </r>
  <r>
    <n v="10816"/>
    <s v="GREAL"/>
    <n v="4"/>
    <x v="393"/>
    <s v="Peacock Margaret"/>
    <n v="2"/>
    <x v="2"/>
    <s v="20852"/>
    <n v="4"/>
    <n v="1"/>
    <x v="0"/>
    <n v="38"/>
    <s v="Côte de Blaye"/>
    <n v="1"/>
    <x v="5"/>
    <n v="263.5"/>
    <n v="30"/>
    <n v="5.000000074505806E-2"/>
    <n v="7509.749994110316"/>
    <n v="719.78"/>
  </r>
  <r>
    <n v="10817"/>
    <s v="KOENE"/>
    <n v="3"/>
    <x v="393"/>
    <s v="Leverling Janet"/>
    <n v="2"/>
    <x v="2"/>
    <s v="30346"/>
    <n v="3"/>
    <n v="4"/>
    <x v="2"/>
    <n v="26"/>
    <s v="Gumbär Gummibärchen"/>
    <n v="3"/>
    <x v="4"/>
    <n v="31.23"/>
    <n v="40"/>
    <n v="0.15000000596046448"/>
    <n v="1061.8199925541878"/>
    <n v="306.07"/>
  </r>
  <r>
    <n v="10818"/>
    <s v="MAGAA"/>
    <n v="7"/>
    <x v="394"/>
    <s v="King Robert"/>
    <n v="3"/>
    <x v="0"/>
    <s v="60179"/>
    <n v="7"/>
    <n v="2"/>
    <x v="1"/>
    <n v="32"/>
    <s v="Mascarpone Fabioli"/>
    <n v="4"/>
    <x v="0"/>
    <n v="32"/>
    <n v="20"/>
    <n v="0"/>
    <n v="640"/>
    <n v="65.48"/>
  </r>
  <r>
    <n v="10819"/>
    <s v="CACTU"/>
    <n v="2"/>
    <x v="394"/>
    <s v="Fuller Andrew"/>
    <n v="3"/>
    <x v="0"/>
    <s v="01581"/>
    <n v="2"/>
    <n v="1"/>
    <x v="0"/>
    <n v="43"/>
    <s v="Ipoh Coffee"/>
    <n v="1"/>
    <x v="5"/>
    <n v="46"/>
    <n v="7"/>
    <n v="0"/>
    <n v="322"/>
    <n v="19.760000000000002"/>
  </r>
  <r>
    <n v="10820"/>
    <s v="RATTC"/>
    <n v="3"/>
    <x v="394"/>
    <s v="Leverling Janet"/>
    <n v="2"/>
    <x v="2"/>
    <s v="30346"/>
    <n v="3"/>
    <n v="4"/>
    <x v="2"/>
    <n v="56"/>
    <s v="Gnocchi di nonna Alice"/>
    <n v="5"/>
    <x v="3"/>
    <n v="38"/>
    <n v="30"/>
    <n v="0"/>
    <n v="1140"/>
    <n v="37.520000000000003"/>
  </r>
  <r>
    <n v="10821"/>
    <s v="SPLIR"/>
    <n v="1"/>
    <x v="395"/>
    <s v="Davolio Nancy"/>
    <n v="1"/>
    <x v="1"/>
    <s v="06897"/>
    <n v="1"/>
    <n v="1"/>
    <x v="0"/>
    <n v="35"/>
    <s v="Steeleye Stout"/>
    <n v="1"/>
    <x v="5"/>
    <n v="18"/>
    <n v="20"/>
    <n v="0"/>
    <n v="360"/>
    <n v="36.68"/>
  </r>
  <r>
    <n v="10822"/>
    <s v="TRAIH"/>
    <n v="6"/>
    <x v="395"/>
    <s v="Suyama Michael"/>
    <n v="3"/>
    <x v="0"/>
    <s v="85014"/>
    <n v="6"/>
    <n v="2"/>
    <x v="1"/>
    <n v="62"/>
    <s v="Tarte au sucre"/>
    <n v="3"/>
    <x v="4"/>
    <n v="49.3"/>
    <n v="3"/>
    <n v="0"/>
    <n v="147.89999999999998"/>
    <n v="7"/>
  </r>
  <r>
    <n v="10823"/>
    <s v="LILAS"/>
    <n v="5"/>
    <x v="396"/>
    <s v="Buchanan Steven"/>
    <n v="2"/>
    <x v="2"/>
    <s v="02903"/>
    <n v="5"/>
    <n v="1"/>
    <x v="0"/>
    <n v="11"/>
    <s v="Queso Cabrales"/>
    <n v="4"/>
    <x v="0"/>
    <n v="21"/>
    <n v="20"/>
    <n v="0.10000000149011612"/>
    <n v="377.99999937415123"/>
    <n v="163.97"/>
  </r>
  <r>
    <n v="10824"/>
    <s v="FOLKO"/>
    <n v="8"/>
    <x v="396"/>
    <s v="Callahan Laura"/>
    <n v="1"/>
    <x v="1"/>
    <s v="19428"/>
    <n v="8"/>
    <n v="3"/>
    <x v="3"/>
    <n v="41"/>
    <s v="Jack's New England Clam Chowder"/>
    <n v="8"/>
    <x v="2"/>
    <n v="9.65"/>
    <n v="12"/>
    <n v="0"/>
    <n v="115.80000000000001"/>
    <n v="1.23"/>
  </r>
  <r>
    <n v="10825"/>
    <s v="DRACD"/>
    <n v="1"/>
    <x v="396"/>
    <s v="Davolio Nancy"/>
    <n v="1"/>
    <x v="1"/>
    <s v="06897"/>
    <n v="1"/>
    <n v="1"/>
    <x v="0"/>
    <n v="26"/>
    <s v="Gumbär Gummibärchen"/>
    <n v="3"/>
    <x v="4"/>
    <n v="31.23"/>
    <n v="12"/>
    <n v="0"/>
    <n v="374.76"/>
    <n v="79.25"/>
  </r>
  <r>
    <n v="10826"/>
    <s v="BLONP"/>
    <n v="6"/>
    <x v="397"/>
    <s v="Suyama Michael"/>
    <n v="1"/>
    <x v="1"/>
    <s v="85014"/>
    <n v="6"/>
    <n v="2"/>
    <x v="1"/>
    <n v="31"/>
    <s v="Gorgonzola Telino"/>
    <n v="4"/>
    <x v="0"/>
    <n v="12.5"/>
    <n v="35"/>
    <n v="0"/>
    <n v="437.5"/>
    <n v="7.09"/>
  </r>
  <r>
    <n v="10827"/>
    <s v="BONAP"/>
    <n v="1"/>
    <x v="397"/>
    <s v="Davolio Nancy"/>
    <n v="2"/>
    <x v="2"/>
    <s v="06897"/>
    <n v="1"/>
    <n v="1"/>
    <x v="0"/>
    <n v="10"/>
    <s v="Ikura"/>
    <n v="8"/>
    <x v="2"/>
    <n v="31"/>
    <n v="15"/>
    <n v="0"/>
    <n v="465"/>
    <n v="63.54"/>
  </r>
  <r>
    <n v="10828"/>
    <s v="RANCH"/>
    <n v="9"/>
    <x v="398"/>
    <s v="Dodsworth Anne"/>
    <n v="1"/>
    <x v="1"/>
    <s v="03049"/>
    <n v="9"/>
    <n v="3"/>
    <x v="3"/>
    <n v="20"/>
    <s v="Sir Rodney's Marmalade"/>
    <n v="3"/>
    <x v="4"/>
    <n v="81"/>
    <n v="5"/>
    <n v="0"/>
    <n v="405"/>
    <n v="90.85"/>
  </r>
  <r>
    <n v="10829"/>
    <s v="ISLAT"/>
    <n v="9"/>
    <x v="398"/>
    <s v="Dodsworth Anne"/>
    <n v="1"/>
    <x v="1"/>
    <s v="03049"/>
    <n v="9"/>
    <n v="3"/>
    <x v="3"/>
    <n v="2"/>
    <s v="Chang"/>
    <n v="1"/>
    <x v="5"/>
    <n v="19"/>
    <n v="10"/>
    <n v="0"/>
    <n v="190"/>
    <n v="154.72"/>
  </r>
  <r>
    <n v="10830"/>
    <s v="TRADH"/>
    <n v="4"/>
    <x v="398"/>
    <s v="Peacock Margaret"/>
    <n v="2"/>
    <x v="2"/>
    <s v="20852"/>
    <n v="4"/>
    <n v="1"/>
    <x v="0"/>
    <n v="6"/>
    <s v="Grandma's Boysenberry Spread"/>
    <n v="2"/>
    <x v="7"/>
    <n v="25"/>
    <n v="6"/>
    <n v="0"/>
    <n v="150"/>
    <n v="81.83"/>
  </r>
  <r>
    <n v="10831"/>
    <s v="SANTG"/>
    <n v="3"/>
    <x v="399"/>
    <s v="Leverling Janet"/>
    <n v="2"/>
    <x v="2"/>
    <s v="30346"/>
    <n v="3"/>
    <n v="4"/>
    <x v="2"/>
    <n v="19"/>
    <s v="Teatime Chocolate Biscuits"/>
    <n v="3"/>
    <x v="4"/>
    <n v="9.1999999999999993"/>
    <n v="2"/>
    <n v="0"/>
    <n v="18.399999999999999"/>
    <n v="72.19"/>
  </r>
  <r>
    <n v="10832"/>
    <s v="LAMAI"/>
    <n v="2"/>
    <x v="399"/>
    <s v="Fuller Andrew"/>
    <n v="2"/>
    <x v="2"/>
    <s v="01581"/>
    <n v="2"/>
    <n v="1"/>
    <x v="0"/>
    <n v="13"/>
    <s v="Konbu"/>
    <n v="8"/>
    <x v="2"/>
    <n v="6"/>
    <n v="3"/>
    <n v="0.20000000298023224"/>
    <n v="14.39999994635582"/>
    <n v="43.26"/>
  </r>
  <r>
    <n v="10833"/>
    <s v="OTTIK"/>
    <n v="6"/>
    <x v="400"/>
    <s v="Suyama Michael"/>
    <n v="2"/>
    <x v="2"/>
    <s v="85014"/>
    <n v="6"/>
    <n v="2"/>
    <x v="1"/>
    <n v="7"/>
    <s v="Uncle Bob's Organic Dried Pears"/>
    <n v="7"/>
    <x v="1"/>
    <n v="30"/>
    <n v="20"/>
    <n v="0.10000000149011612"/>
    <n v="539.99999910593033"/>
    <n v="71.489999999999995"/>
  </r>
  <r>
    <n v="10834"/>
    <s v="TRADH"/>
    <n v="1"/>
    <x v="400"/>
    <s v="Davolio Nancy"/>
    <n v="3"/>
    <x v="0"/>
    <s v="06897"/>
    <n v="1"/>
    <n v="1"/>
    <x v="0"/>
    <n v="29"/>
    <s v="Thüringer Rostbratwurst"/>
    <n v="6"/>
    <x v="6"/>
    <n v="123.79"/>
    <n v="8"/>
    <n v="5.000000074505806E-2"/>
    <n v="940.80399926215409"/>
    <n v="29.78"/>
  </r>
  <r>
    <n v="10835"/>
    <s v="ALFKI"/>
    <n v="1"/>
    <x v="400"/>
    <s v="Davolio Nancy"/>
    <n v="3"/>
    <x v="0"/>
    <s v="06897"/>
    <n v="1"/>
    <n v="1"/>
    <x v="0"/>
    <n v="59"/>
    <s v="Raclette Courdavault"/>
    <n v="4"/>
    <x v="0"/>
    <n v="55"/>
    <n v="15"/>
    <n v="0"/>
    <n v="825"/>
    <n v="69.53"/>
  </r>
  <r>
    <n v="10836"/>
    <s v="ERNSH"/>
    <n v="7"/>
    <x v="401"/>
    <s v="King Robert"/>
    <n v="1"/>
    <x v="1"/>
    <s v="60179"/>
    <n v="7"/>
    <n v="2"/>
    <x v="1"/>
    <n v="22"/>
    <s v="Gustaf's Knäckebröd"/>
    <n v="5"/>
    <x v="3"/>
    <n v="21"/>
    <n v="52"/>
    <n v="0"/>
    <n v="1092"/>
    <n v="411.88"/>
  </r>
  <r>
    <n v="10837"/>
    <s v="BERGS"/>
    <n v="9"/>
    <x v="401"/>
    <s v="Dodsworth Anne"/>
    <n v="3"/>
    <x v="0"/>
    <s v="03049"/>
    <n v="9"/>
    <n v="3"/>
    <x v="3"/>
    <n v="13"/>
    <s v="Konbu"/>
    <n v="8"/>
    <x v="2"/>
    <n v="6"/>
    <n v="6"/>
    <n v="0"/>
    <n v="36"/>
    <n v="13.32"/>
  </r>
  <r>
    <n v="10838"/>
    <s v="LINOD"/>
    <n v="3"/>
    <x v="402"/>
    <s v="Leverling Janet"/>
    <n v="3"/>
    <x v="0"/>
    <s v="30346"/>
    <n v="3"/>
    <n v="4"/>
    <x v="2"/>
    <n v="1"/>
    <s v="Chai"/>
    <n v="1"/>
    <x v="5"/>
    <n v="18"/>
    <n v="4"/>
    <n v="0.25"/>
    <n v="54"/>
    <n v="59.28"/>
  </r>
  <r>
    <n v="10839"/>
    <s v="TRADH"/>
    <n v="3"/>
    <x v="402"/>
    <s v="Leverling Janet"/>
    <n v="3"/>
    <x v="0"/>
    <s v="30346"/>
    <n v="3"/>
    <n v="4"/>
    <x v="2"/>
    <n v="58"/>
    <s v="Escargots de Bourgogne"/>
    <n v="8"/>
    <x v="2"/>
    <n v="13.25"/>
    <n v="30"/>
    <n v="0.10000000149011612"/>
    <n v="357.74999940767884"/>
    <n v="35.43"/>
  </r>
  <r>
    <n v="10840"/>
    <s v="LINOD"/>
    <n v="4"/>
    <x v="402"/>
    <s v="Peacock Margaret"/>
    <n v="2"/>
    <x v="2"/>
    <s v="20852"/>
    <n v="4"/>
    <n v="1"/>
    <x v="0"/>
    <n v="25"/>
    <s v="NuNuCa Nuß-Nougat-Creme"/>
    <n v="3"/>
    <x v="4"/>
    <n v="14"/>
    <n v="6"/>
    <n v="0.20000000298023224"/>
    <n v="67.199999749660492"/>
    <n v="2.71"/>
  </r>
  <r>
    <n v="10841"/>
    <s v="SUPRD"/>
    <n v="5"/>
    <x v="403"/>
    <s v="Buchanan Steven"/>
    <n v="2"/>
    <x v="2"/>
    <s v="02903"/>
    <n v="5"/>
    <n v="1"/>
    <x v="0"/>
    <n v="10"/>
    <s v="Ikura"/>
    <n v="8"/>
    <x v="2"/>
    <n v="31"/>
    <n v="16"/>
    <n v="0"/>
    <n v="496"/>
    <n v="424.3"/>
  </r>
  <r>
    <n v="10842"/>
    <s v="TORTU"/>
    <n v="1"/>
    <x v="403"/>
    <s v="Davolio Nancy"/>
    <n v="3"/>
    <x v="0"/>
    <s v="06897"/>
    <n v="1"/>
    <n v="1"/>
    <x v="0"/>
    <n v="11"/>
    <s v="Queso Cabrales"/>
    <n v="4"/>
    <x v="0"/>
    <n v="21"/>
    <n v="15"/>
    <n v="0"/>
    <n v="315"/>
    <n v="54.42"/>
  </r>
  <r>
    <n v="10843"/>
    <s v="VICTE"/>
    <n v="4"/>
    <x v="404"/>
    <s v="Peacock Margaret"/>
    <n v="2"/>
    <x v="2"/>
    <s v="20852"/>
    <n v="4"/>
    <n v="1"/>
    <x v="0"/>
    <n v="51"/>
    <s v="Manjimup Dried Apples"/>
    <n v="7"/>
    <x v="1"/>
    <n v="53"/>
    <n v="4"/>
    <n v="0.25"/>
    <n v="159"/>
    <n v="9.26"/>
  </r>
  <r>
    <n v="10844"/>
    <s v="PICCO"/>
    <n v="8"/>
    <x v="404"/>
    <s v="Callahan Laura"/>
    <n v="2"/>
    <x v="2"/>
    <s v="19428"/>
    <n v="8"/>
    <n v="3"/>
    <x v="3"/>
    <n v="22"/>
    <s v="Gustaf's Knäckebröd"/>
    <n v="5"/>
    <x v="3"/>
    <n v="21"/>
    <n v="35"/>
    <n v="0"/>
    <n v="735"/>
    <n v="25.22"/>
  </r>
  <r>
    <n v="10845"/>
    <s v="QUICK"/>
    <n v="8"/>
    <x v="404"/>
    <s v="Callahan Laura"/>
    <n v="1"/>
    <x v="1"/>
    <s v="19428"/>
    <n v="8"/>
    <n v="3"/>
    <x v="3"/>
    <n v="23"/>
    <s v="Tunnbröd"/>
    <n v="5"/>
    <x v="3"/>
    <n v="9"/>
    <n v="70"/>
    <n v="0.10000000149011612"/>
    <n v="566.99999906122684"/>
    <n v="212.98"/>
  </r>
  <r>
    <n v="10846"/>
    <s v="SUPRD"/>
    <n v="2"/>
    <x v="405"/>
    <s v="Fuller Andrew"/>
    <n v="3"/>
    <x v="0"/>
    <s v="01581"/>
    <n v="2"/>
    <n v="1"/>
    <x v="0"/>
    <n v="4"/>
    <s v="Chef Anton's Cajun Seasoning"/>
    <n v="2"/>
    <x v="7"/>
    <n v="22"/>
    <n v="21"/>
    <n v="0"/>
    <n v="462"/>
    <n v="56.46"/>
  </r>
  <r>
    <n v="10847"/>
    <s v="SAVEA"/>
    <n v="4"/>
    <x v="405"/>
    <s v="Peacock Margaret"/>
    <n v="3"/>
    <x v="0"/>
    <s v="20852"/>
    <n v="4"/>
    <n v="1"/>
    <x v="0"/>
    <n v="1"/>
    <s v="Chai"/>
    <n v="1"/>
    <x v="5"/>
    <n v="18"/>
    <n v="80"/>
    <n v="0.20000000298023224"/>
    <n v="1151.9999957084656"/>
    <n v="487.57"/>
  </r>
  <r>
    <n v="10848"/>
    <s v="CONSH"/>
    <n v="7"/>
    <x v="406"/>
    <s v="King Robert"/>
    <n v="2"/>
    <x v="2"/>
    <s v="60179"/>
    <n v="7"/>
    <n v="2"/>
    <x v="1"/>
    <n v="5"/>
    <s v="Chef Anton's Gumbo Mix"/>
    <n v="2"/>
    <x v="7"/>
    <n v="21.35"/>
    <n v="30"/>
    <n v="0"/>
    <n v="640.5"/>
    <n v="38.24"/>
  </r>
  <r>
    <n v="10849"/>
    <s v="KOENE"/>
    <n v="9"/>
    <x v="406"/>
    <s v="Dodsworth Anne"/>
    <n v="2"/>
    <x v="2"/>
    <s v="03049"/>
    <n v="9"/>
    <n v="3"/>
    <x v="3"/>
    <n v="3"/>
    <s v="Aniseed Syrup"/>
    <n v="2"/>
    <x v="7"/>
    <n v="10"/>
    <n v="49"/>
    <n v="0"/>
    <n v="490"/>
    <n v="0.56000000000000005"/>
  </r>
  <r>
    <n v="10850"/>
    <s v="VICTE"/>
    <n v="1"/>
    <x v="406"/>
    <s v="Davolio Nancy"/>
    <n v="1"/>
    <x v="1"/>
    <s v="06897"/>
    <n v="1"/>
    <n v="1"/>
    <x v="0"/>
    <n v="25"/>
    <s v="NuNuCa Nuß-Nougat-Creme"/>
    <n v="3"/>
    <x v="4"/>
    <n v="14"/>
    <n v="20"/>
    <n v="0.15000000596046448"/>
    <n v="237.99999833106995"/>
    <n v="49.19"/>
  </r>
  <r>
    <n v="10851"/>
    <s v="RICAR"/>
    <n v="5"/>
    <x v="407"/>
    <s v="Buchanan Steven"/>
    <n v="1"/>
    <x v="1"/>
    <s v="02903"/>
    <n v="5"/>
    <n v="1"/>
    <x v="0"/>
    <n v="2"/>
    <s v="Chang"/>
    <n v="1"/>
    <x v="5"/>
    <n v="19"/>
    <n v="5"/>
    <n v="5.000000074505806E-2"/>
    <n v="90.249999929219484"/>
    <n v="160.55000000000001"/>
  </r>
  <r>
    <n v="10852"/>
    <s v="RATTC"/>
    <n v="8"/>
    <x v="407"/>
    <s v="Callahan Laura"/>
    <n v="1"/>
    <x v="1"/>
    <s v="19428"/>
    <n v="8"/>
    <n v="3"/>
    <x v="3"/>
    <n v="2"/>
    <s v="Chang"/>
    <n v="1"/>
    <x v="5"/>
    <n v="19"/>
    <n v="15"/>
    <n v="0"/>
    <n v="285"/>
    <n v="174.05"/>
  </r>
  <r>
    <n v="10853"/>
    <s v="BLAUS"/>
    <n v="9"/>
    <x v="408"/>
    <s v="Dodsworth Anne"/>
    <n v="2"/>
    <x v="2"/>
    <s v="03049"/>
    <n v="9"/>
    <n v="3"/>
    <x v="3"/>
    <n v="18"/>
    <s v="Carnarvon Tigers"/>
    <n v="8"/>
    <x v="2"/>
    <n v="62.5"/>
    <n v="10"/>
    <n v="0"/>
    <n v="625"/>
    <n v="53.83"/>
  </r>
  <r>
    <n v="10854"/>
    <s v="ERNSH"/>
    <n v="3"/>
    <x v="408"/>
    <s v="Leverling Janet"/>
    <n v="2"/>
    <x v="2"/>
    <s v="30346"/>
    <n v="3"/>
    <n v="4"/>
    <x v="2"/>
    <n v="10"/>
    <s v="Ikura"/>
    <n v="8"/>
    <x v="2"/>
    <n v="31"/>
    <n v="100"/>
    <n v="0.15000000596046448"/>
    <n v="2634.9999815225601"/>
    <n v="100.22"/>
  </r>
  <r>
    <n v="10855"/>
    <s v="OLDWO"/>
    <n v="3"/>
    <x v="408"/>
    <s v="Leverling Janet"/>
    <n v="1"/>
    <x v="1"/>
    <s v="30346"/>
    <n v="3"/>
    <n v="4"/>
    <x v="2"/>
    <n v="16"/>
    <s v="Pavlova"/>
    <n v="3"/>
    <x v="4"/>
    <n v="17.45"/>
    <n v="50"/>
    <n v="0"/>
    <n v="872.5"/>
    <n v="170.97"/>
  </r>
  <r>
    <n v="10856"/>
    <s v="ANTON"/>
    <n v="3"/>
    <x v="409"/>
    <s v="Leverling Janet"/>
    <n v="2"/>
    <x v="2"/>
    <s v="30346"/>
    <n v="3"/>
    <n v="4"/>
    <x v="2"/>
    <n v="2"/>
    <s v="Chang"/>
    <n v="1"/>
    <x v="5"/>
    <n v="19"/>
    <n v="20"/>
    <n v="0"/>
    <n v="380"/>
    <n v="58.43"/>
  </r>
  <r>
    <n v="10857"/>
    <s v="BERGS"/>
    <n v="8"/>
    <x v="409"/>
    <s v="Callahan Laura"/>
    <n v="2"/>
    <x v="2"/>
    <s v="19428"/>
    <n v="8"/>
    <n v="3"/>
    <x v="3"/>
    <n v="3"/>
    <s v="Aniseed Syrup"/>
    <n v="2"/>
    <x v="7"/>
    <n v="10"/>
    <n v="30"/>
    <n v="0"/>
    <n v="300"/>
    <n v="188.85"/>
  </r>
  <r>
    <n v="10858"/>
    <s v="LACOR"/>
    <n v="2"/>
    <x v="410"/>
    <s v="Fuller Andrew"/>
    <n v="1"/>
    <x v="1"/>
    <s v="01581"/>
    <n v="2"/>
    <n v="1"/>
    <x v="0"/>
    <n v="7"/>
    <s v="Uncle Bob's Organic Dried Pears"/>
    <n v="7"/>
    <x v="1"/>
    <n v="30"/>
    <n v="5"/>
    <n v="0"/>
    <n v="150"/>
    <n v="52.51"/>
  </r>
  <r>
    <n v="10859"/>
    <s v="FRANK"/>
    <n v="1"/>
    <x v="410"/>
    <s v="Davolio Nancy"/>
    <n v="2"/>
    <x v="2"/>
    <s v="06897"/>
    <n v="1"/>
    <n v="1"/>
    <x v="0"/>
    <n v="24"/>
    <s v="Guaraná Fantástica"/>
    <n v="1"/>
    <x v="5"/>
    <n v="4.5"/>
    <n v="40"/>
    <n v="0.25"/>
    <n v="135"/>
    <n v="76.099999999999994"/>
  </r>
  <r>
    <n v="10860"/>
    <s v="FRANR"/>
    <n v="3"/>
    <x v="410"/>
    <s v="Leverling Janet"/>
    <n v="3"/>
    <x v="0"/>
    <s v="30346"/>
    <n v="3"/>
    <n v="4"/>
    <x v="2"/>
    <n v="51"/>
    <s v="Manjimup Dried Apples"/>
    <n v="7"/>
    <x v="1"/>
    <n v="53"/>
    <n v="3"/>
    <n v="0"/>
    <n v="159"/>
    <n v="19.260000000000002"/>
  </r>
  <r>
    <n v="10861"/>
    <s v="WHITC"/>
    <n v="4"/>
    <x v="411"/>
    <s v="Peacock Margaret"/>
    <n v="2"/>
    <x v="2"/>
    <s v="20852"/>
    <n v="4"/>
    <n v="1"/>
    <x v="0"/>
    <n v="17"/>
    <s v="Alice Mutton"/>
    <n v="6"/>
    <x v="6"/>
    <n v="39"/>
    <n v="42"/>
    <n v="0"/>
    <n v="1638"/>
    <n v="14.93"/>
  </r>
  <r>
    <n v="10862"/>
    <s v="LEHMS"/>
    <n v="8"/>
    <x v="411"/>
    <s v="Callahan Laura"/>
    <n v="2"/>
    <x v="2"/>
    <s v="19428"/>
    <n v="8"/>
    <n v="3"/>
    <x v="3"/>
    <n v="11"/>
    <s v="Queso Cabrales"/>
    <n v="4"/>
    <x v="0"/>
    <n v="21"/>
    <n v="25"/>
    <n v="0"/>
    <n v="525"/>
    <n v="53.23"/>
  </r>
  <r>
    <n v="10863"/>
    <s v="HILAA"/>
    <n v="4"/>
    <x v="412"/>
    <s v="Peacock Margaret"/>
    <n v="2"/>
    <x v="2"/>
    <s v="20852"/>
    <n v="4"/>
    <n v="1"/>
    <x v="0"/>
    <n v="1"/>
    <s v="Chai"/>
    <n v="1"/>
    <x v="5"/>
    <n v="18"/>
    <n v="20"/>
    <n v="0.15000000596046448"/>
    <n v="305.99999785423279"/>
    <n v="30.26"/>
  </r>
  <r>
    <n v="10864"/>
    <s v="AROUT"/>
    <n v="4"/>
    <x v="412"/>
    <s v="Peacock Margaret"/>
    <n v="2"/>
    <x v="2"/>
    <s v="20852"/>
    <n v="4"/>
    <n v="1"/>
    <x v="0"/>
    <n v="35"/>
    <s v="Steeleye Stout"/>
    <n v="1"/>
    <x v="5"/>
    <n v="18"/>
    <n v="4"/>
    <n v="0"/>
    <n v="72"/>
    <n v="3.04"/>
  </r>
  <r>
    <n v="10865"/>
    <s v="QUICK"/>
    <n v="2"/>
    <x v="412"/>
    <s v="Fuller Andrew"/>
    <n v="1"/>
    <x v="1"/>
    <s v="01581"/>
    <n v="2"/>
    <n v="1"/>
    <x v="0"/>
    <n v="38"/>
    <s v="Côte de Blaye"/>
    <n v="1"/>
    <x v="5"/>
    <n v="263.5"/>
    <n v="60"/>
    <n v="5.000000074505806E-2"/>
    <n v="15019.499988220632"/>
    <n v="348.14"/>
  </r>
  <r>
    <n v="10866"/>
    <s v="BERGS"/>
    <n v="5"/>
    <x v="413"/>
    <s v="Buchanan Steven"/>
    <n v="1"/>
    <x v="1"/>
    <s v="02903"/>
    <n v="5"/>
    <n v="1"/>
    <x v="0"/>
    <n v="2"/>
    <s v="Chang"/>
    <n v="1"/>
    <x v="5"/>
    <n v="19"/>
    <n v="21"/>
    <n v="0.25"/>
    <n v="299.25"/>
    <n v="109.11"/>
  </r>
  <r>
    <n v="10867"/>
    <s v="LONEP"/>
    <n v="6"/>
    <x v="413"/>
    <s v="Suyama Michael"/>
    <n v="1"/>
    <x v="1"/>
    <s v="85014"/>
    <n v="6"/>
    <n v="2"/>
    <x v="1"/>
    <n v="53"/>
    <s v="Perth Pasties"/>
    <n v="6"/>
    <x v="6"/>
    <n v="32.799999999999997"/>
    <n v="3"/>
    <n v="0"/>
    <n v="98.399999999999991"/>
    <n v="1.93"/>
  </r>
  <r>
    <n v="10868"/>
    <s v="QUEEN"/>
    <n v="7"/>
    <x v="414"/>
    <s v="King Robert"/>
    <n v="2"/>
    <x v="2"/>
    <s v="60179"/>
    <n v="7"/>
    <n v="2"/>
    <x v="1"/>
    <n v="26"/>
    <s v="Gumbär Gummibärchen"/>
    <n v="3"/>
    <x v="4"/>
    <n v="31.23"/>
    <n v="20"/>
    <n v="0"/>
    <n v="624.6"/>
    <n v="191.27"/>
  </r>
  <r>
    <n v="10869"/>
    <s v="SEVES"/>
    <n v="5"/>
    <x v="414"/>
    <s v="Buchanan Steven"/>
    <n v="1"/>
    <x v="1"/>
    <s v="02903"/>
    <n v="5"/>
    <n v="1"/>
    <x v="0"/>
    <n v="1"/>
    <s v="Chai"/>
    <n v="1"/>
    <x v="5"/>
    <n v="18"/>
    <n v="40"/>
    <n v="0"/>
    <n v="720"/>
    <n v="143.28"/>
  </r>
  <r>
    <n v="10870"/>
    <s v="WOLZA"/>
    <n v="5"/>
    <x v="414"/>
    <s v="Buchanan Steven"/>
    <n v="3"/>
    <x v="0"/>
    <s v="02903"/>
    <n v="5"/>
    <n v="1"/>
    <x v="0"/>
    <n v="35"/>
    <s v="Steeleye Stout"/>
    <n v="1"/>
    <x v="5"/>
    <n v="18"/>
    <n v="3"/>
    <n v="0"/>
    <n v="54"/>
    <n v="12.04"/>
  </r>
  <r>
    <n v="10871"/>
    <s v="BONAP"/>
    <n v="9"/>
    <x v="415"/>
    <s v="Dodsworth Anne"/>
    <n v="2"/>
    <x v="2"/>
    <s v="03049"/>
    <n v="9"/>
    <n v="3"/>
    <x v="3"/>
    <n v="6"/>
    <s v="Grandma's Boysenberry Spread"/>
    <n v="2"/>
    <x v="7"/>
    <n v="25"/>
    <n v="50"/>
    <n v="5.000000074505806E-2"/>
    <n v="1187.4999990686774"/>
    <n v="112.27"/>
  </r>
  <r>
    <n v="10872"/>
    <s v="GODOS"/>
    <n v="5"/>
    <x v="415"/>
    <s v="Buchanan Steven"/>
    <n v="2"/>
    <x v="2"/>
    <s v="02903"/>
    <n v="5"/>
    <n v="1"/>
    <x v="0"/>
    <n v="55"/>
    <s v="Pâté chinois"/>
    <n v="6"/>
    <x v="6"/>
    <n v="24"/>
    <n v="10"/>
    <n v="5.000000074505806E-2"/>
    <n v="227.99999982118607"/>
    <n v="175.32"/>
  </r>
  <r>
    <n v="10873"/>
    <s v="WILMK"/>
    <n v="4"/>
    <x v="416"/>
    <s v="Peacock Margaret"/>
    <n v="1"/>
    <x v="1"/>
    <s v="20852"/>
    <n v="4"/>
    <n v="1"/>
    <x v="0"/>
    <n v="21"/>
    <s v="Sir Rodney's Scones"/>
    <n v="3"/>
    <x v="4"/>
    <n v="10"/>
    <n v="20"/>
    <n v="0"/>
    <n v="200"/>
    <n v="0.82"/>
  </r>
  <r>
    <n v="10874"/>
    <s v="GODOS"/>
    <n v="5"/>
    <x v="416"/>
    <s v="Buchanan Steven"/>
    <n v="2"/>
    <x v="2"/>
    <s v="02903"/>
    <n v="5"/>
    <n v="1"/>
    <x v="0"/>
    <n v="10"/>
    <s v="Ikura"/>
    <n v="8"/>
    <x v="2"/>
    <n v="31"/>
    <n v="10"/>
    <n v="0"/>
    <n v="310"/>
    <n v="19.579999999999998"/>
  </r>
  <r>
    <n v="10875"/>
    <s v="BERGS"/>
    <n v="4"/>
    <x v="416"/>
    <s v="Peacock Margaret"/>
    <n v="2"/>
    <x v="2"/>
    <s v="20852"/>
    <n v="4"/>
    <n v="1"/>
    <x v="0"/>
    <n v="19"/>
    <s v="Teatime Chocolate Biscuits"/>
    <n v="3"/>
    <x v="4"/>
    <n v="9.1999999999999993"/>
    <n v="25"/>
    <n v="0"/>
    <n v="229.99999999999997"/>
    <n v="32.369999999999997"/>
  </r>
  <r>
    <n v="10876"/>
    <s v="BONAP"/>
    <n v="7"/>
    <x v="417"/>
    <s v="King Robert"/>
    <n v="3"/>
    <x v="0"/>
    <s v="60179"/>
    <n v="7"/>
    <n v="2"/>
    <x v="1"/>
    <n v="46"/>
    <s v="Spegesild"/>
    <n v="8"/>
    <x v="2"/>
    <n v="12"/>
    <n v="21"/>
    <n v="0"/>
    <n v="252"/>
    <n v="60.42"/>
  </r>
  <r>
    <n v="10877"/>
    <s v="RICAR"/>
    <n v="1"/>
    <x v="417"/>
    <s v="Davolio Nancy"/>
    <n v="1"/>
    <x v="1"/>
    <s v="06897"/>
    <n v="1"/>
    <n v="1"/>
    <x v="0"/>
    <n v="16"/>
    <s v="Pavlova"/>
    <n v="3"/>
    <x v="4"/>
    <n v="17.45"/>
    <n v="30"/>
    <n v="0.25"/>
    <n v="392.625"/>
    <n v="38.06"/>
  </r>
  <r>
    <n v="10878"/>
    <s v="QUICK"/>
    <n v="4"/>
    <x v="418"/>
    <s v="Peacock Margaret"/>
    <n v="1"/>
    <x v="1"/>
    <s v="20852"/>
    <n v="4"/>
    <n v="1"/>
    <x v="0"/>
    <n v="20"/>
    <s v="Sir Rodney's Marmalade"/>
    <n v="3"/>
    <x v="4"/>
    <n v="81"/>
    <n v="20"/>
    <n v="5.000000074505806E-2"/>
    <n v="1538.9999987930059"/>
    <n v="46.69"/>
  </r>
  <r>
    <n v="10879"/>
    <s v="WILMK"/>
    <n v="3"/>
    <x v="418"/>
    <s v="Leverling Janet"/>
    <n v="3"/>
    <x v="0"/>
    <s v="30346"/>
    <n v="3"/>
    <n v="4"/>
    <x v="2"/>
    <n v="40"/>
    <s v="Boston Crab Meat"/>
    <n v="8"/>
    <x v="2"/>
    <n v="18.399999999999999"/>
    <n v="12"/>
    <n v="0"/>
    <n v="220.79999999999998"/>
    <n v="8.5"/>
  </r>
  <r>
    <n v="10880"/>
    <s v="FOLKO"/>
    <n v="7"/>
    <x v="418"/>
    <s v="King Robert"/>
    <n v="1"/>
    <x v="1"/>
    <s v="60179"/>
    <n v="7"/>
    <n v="2"/>
    <x v="1"/>
    <n v="23"/>
    <s v="Tunnbröd"/>
    <n v="5"/>
    <x v="3"/>
    <n v="9"/>
    <n v="30"/>
    <n v="0.20000000298023224"/>
    <n v="215.9999991953373"/>
    <n v="88.01"/>
  </r>
  <r>
    <n v="10881"/>
    <s v="CACTU"/>
    <n v="4"/>
    <x v="419"/>
    <s v="Peacock Margaret"/>
    <n v="1"/>
    <x v="1"/>
    <s v="20852"/>
    <n v="4"/>
    <n v="1"/>
    <x v="0"/>
    <n v="73"/>
    <s v="Röd Kaviar"/>
    <n v="8"/>
    <x v="2"/>
    <n v="15"/>
    <n v="10"/>
    <n v="0"/>
    <n v="150"/>
    <n v="2.84"/>
  </r>
  <r>
    <n v="10882"/>
    <s v="SAVEA"/>
    <n v="4"/>
    <x v="419"/>
    <s v="Peacock Margaret"/>
    <n v="3"/>
    <x v="0"/>
    <s v="20852"/>
    <n v="4"/>
    <n v="1"/>
    <x v="0"/>
    <n v="42"/>
    <s v="Singaporean Hokkien Fried Mee"/>
    <n v="5"/>
    <x v="3"/>
    <n v="14"/>
    <n v="25"/>
    <n v="0"/>
    <n v="350"/>
    <n v="23.1"/>
  </r>
  <r>
    <n v="10883"/>
    <s v="LONEP"/>
    <n v="8"/>
    <x v="420"/>
    <s v="Callahan Laura"/>
    <n v="3"/>
    <x v="0"/>
    <s v="19428"/>
    <n v="8"/>
    <n v="3"/>
    <x v="3"/>
    <n v="24"/>
    <s v="Guaraná Fantástica"/>
    <n v="1"/>
    <x v="5"/>
    <n v="4.5"/>
    <n v="8"/>
    <n v="0"/>
    <n v="36"/>
    <n v="0.53"/>
  </r>
  <r>
    <n v="10884"/>
    <s v="LETSS"/>
    <n v="4"/>
    <x v="420"/>
    <s v="Peacock Margaret"/>
    <n v="2"/>
    <x v="2"/>
    <s v="20852"/>
    <n v="4"/>
    <n v="1"/>
    <x v="0"/>
    <n v="21"/>
    <s v="Sir Rodney's Scones"/>
    <n v="3"/>
    <x v="4"/>
    <n v="10"/>
    <n v="40"/>
    <n v="5.000000074505806E-2"/>
    <n v="379.99999970197678"/>
    <n v="90.97"/>
  </r>
  <r>
    <n v="10885"/>
    <s v="SUPRD"/>
    <n v="6"/>
    <x v="420"/>
    <s v="Suyama Michael"/>
    <n v="3"/>
    <x v="0"/>
    <s v="85014"/>
    <n v="6"/>
    <n v="2"/>
    <x v="1"/>
    <n v="2"/>
    <s v="Chang"/>
    <n v="1"/>
    <x v="5"/>
    <n v="19"/>
    <n v="20"/>
    <n v="0"/>
    <n v="380"/>
    <n v="5.64"/>
  </r>
  <r>
    <n v="10886"/>
    <s v="HANAR"/>
    <n v="1"/>
    <x v="421"/>
    <s v="Davolio Nancy"/>
    <n v="1"/>
    <x v="1"/>
    <s v="06897"/>
    <n v="1"/>
    <n v="1"/>
    <x v="0"/>
    <n v="10"/>
    <s v="Ikura"/>
    <n v="8"/>
    <x v="2"/>
    <n v="31"/>
    <n v="70"/>
    <n v="0"/>
    <n v="2170"/>
    <n v="4.99"/>
  </r>
  <r>
    <n v="10887"/>
    <s v="GALED"/>
    <n v="8"/>
    <x v="421"/>
    <s v="Callahan Laura"/>
    <n v="3"/>
    <x v="0"/>
    <s v="19428"/>
    <n v="8"/>
    <n v="3"/>
    <x v="3"/>
    <n v="25"/>
    <s v="NuNuCa Nuß-Nougat-Creme"/>
    <n v="3"/>
    <x v="4"/>
    <n v="14"/>
    <n v="5"/>
    <n v="0"/>
    <n v="70"/>
    <n v="1.25"/>
  </r>
  <r>
    <n v="10888"/>
    <s v="GODOS"/>
    <n v="1"/>
    <x v="422"/>
    <s v="Davolio Nancy"/>
    <n v="2"/>
    <x v="2"/>
    <s v="06897"/>
    <n v="1"/>
    <n v="1"/>
    <x v="0"/>
    <n v="2"/>
    <s v="Chang"/>
    <n v="1"/>
    <x v="5"/>
    <n v="19"/>
    <n v="20"/>
    <n v="0"/>
    <n v="380"/>
    <n v="51.87"/>
  </r>
  <r>
    <n v="10889"/>
    <s v="RATTC"/>
    <n v="9"/>
    <x v="422"/>
    <s v="Dodsworth Anne"/>
    <n v="3"/>
    <x v="0"/>
    <s v="03049"/>
    <n v="9"/>
    <n v="3"/>
    <x v="3"/>
    <n v="11"/>
    <s v="Queso Cabrales"/>
    <n v="4"/>
    <x v="0"/>
    <n v="21"/>
    <n v="40"/>
    <n v="0"/>
    <n v="840"/>
    <n v="280.61"/>
  </r>
  <r>
    <n v="10890"/>
    <s v="DUMON"/>
    <n v="7"/>
    <x v="422"/>
    <s v="King Robert"/>
    <n v="1"/>
    <x v="1"/>
    <s v="60179"/>
    <n v="7"/>
    <n v="2"/>
    <x v="1"/>
    <n v="17"/>
    <s v="Alice Mutton"/>
    <n v="6"/>
    <x v="6"/>
    <n v="39"/>
    <n v="15"/>
    <n v="0"/>
    <n v="585"/>
    <n v="32.76"/>
  </r>
  <r>
    <n v="10891"/>
    <s v="LEHMS"/>
    <n v="7"/>
    <x v="423"/>
    <s v="King Robert"/>
    <n v="2"/>
    <x v="2"/>
    <s v="60179"/>
    <n v="7"/>
    <n v="2"/>
    <x v="1"/>
    <n v="30"/>
    <s v="Nord-Ost Matjeshering"/>
    <n v="8"/>
    <x v="2"/>
    <n v="25.89"/>
    <n v="15"/>
    <n v="5.000000074505806E-2"/>
    <n v="368.93249971065671"/>
    <n v="20.37"/>
  </r>
  <r>
    <n v="10892"/>
    <s v="MAISD"/>
    <n v="4"/>
    <x v="423"/>
    <s v="Peacock Margaret"/>
    <n v="2"/>
    <x v="2"/>
    <s v="20852"/>
    <n v="4"/>
    <n v="1"/>
    <x v="0"/>
    <n v="59"/>
    <s v="Raclette Courdavault"/>
    <n v="4"/>
    <x v="0"/>
    <n v="55"/>
    <n v="40"/>
    <n v="5.000000074505806E-2"/>
    <n v="2089.9999983608723"/>
    <n v="120.27"/>
  </r>
  <r>
    <n v="10893"/>
    <s v="KOENE"/>
    <n v="9"/>
    <x v="424"/>
    <s v="Dodsworth Anne"/>
    <n v="2"/>
    <x v="2"/>
    <s v="03049"/>
    <n v="9"/>
    <n v="3"/>
    <x v="3"/>
    <n v="8"/>
    <s v="Northwoods Cranberry Sauce"/>
    <n v="2"/>
    <x v="7"/>
    <n v="40"/>
    <n v="30"/>
    <n v="0"/>
    <n v="1200"/>
    <n v="77.78"/>
  </r>
  <r>
    <n v="10894"/>
    <s v="SAVEA"/>
    <n v="1"/>
    <x v="424"/>
    <s v="Davolio Nancy"/>
    <n v="1"/>
    <x v="1"/>
    <s v="06897"/>
    <n v="1"/>
    <n v="1"/>
    <x v="0"/>
    <n v="13"/>
    <s v="Konbu"/>
    <n v="8"/>
    <x v="2"/>
    <n v="6"/>
    <n v="28"/>
    <n v="5.000000074505806E-2"/>
    <n v="159.59999987483025"/>
    <n v="116.13"/>
  </r>
  <r>
    <n v="10895"/>
    <s v="ERNSH"/>
    <n v="3"/>
    <x v="424"/>
    <s v="Leverling Janet"/>
    <n v="1"/>
    <x v="1"/>
    <s v="30346"/>
    <n v="3"/>
    <n v="4"/>
    <x v="2"/>
    <n v="24"/>
    <s v="Guaraná Fantástica"/>
    <n v="1"/>
    <x v="5"/>
    <n v="4.5"/>
    <n v="110"/>
    <n v="0"/>
    <n v="495"/>
    <n v="162.75"/>
  </r>
  <r>
    <n v="10896"/>
    <s v="MAISD"/>
    <n v="7"/>
    <x v="425"/>
    <s v="King Robert"/>
    <n v="3"/>
    <x v="0"/>
    <s v="60179"/>
    <n v="7"/>
    <n v="2"/>
    <x v="1"/>
    <n v="45"/>
    <s v="Rogede sild"/>
    <n v="8"/>
    <x v="2"/>
    <n v="9.5"/>
    <n v="15"/>
    <n v="0"/>
    <n v="142.5"/>
    <n v="32.450000000000003"/>
  </r>
  <r>
    <n v="10897"/>
    <s v="HUNGO"/>
    <n v="3"/>
    <x v="425"/>
    <s v="Leverling Janet"/>
    <n v="2"/>
    <x v="2"/>
    <s v="30346"/>
    <n v="3"/>
    <n v="4"/>
    <x v="2"/>
    <n v="29"/>
    <s v="Thüringer Rostbratwurst"/>
    <n v="6"/>
    <x v="6"/>
    <n v="123.79"/>
    <n v="80"/>
    <n v="0"/>
    <n v="9903.2000000000007"/>
    <n v="603.54"/>
  </r>
  <r>
    <n v="10898"/>
    <s v="OCEAN"/>
    <n v="4"/>
    <x v="426"/>
    <s v="Peacock Margaret"/>
    <n v="2"/>
    <x v="2"/>
    <s v="20852"/>
    <n v="4"/>
    <n v="1"/>
    <x v="0"/>
    <n v="13"/>
    <s v="Konbu"/>
    <n v="8"/>
    <x v="2"/>
    <n v="6"/>
    <n v="5"/>
    <n v="0"/>
    <n v="30"/>
    <n v="1.27"/>
  </r>
  <r>
    <n v="10899"/>
    <s v="LILAS"/>
    <n v="5"/>
    <x v="426"/>
    <s v="Buchanan Steven"/>
    <n v="3"/>
    <x v="0"/>
    <s v="02903"/>
    <n v="5"/>
    <n v="1"/>
    <x v="0"/>
    <n v="39"/>
    <s v="Chartreuse verte"/>
    <n v="1"/>
    <x v="5"/>
    <n v="18"/>
    <n v="8"/>
    <n v="0.15000000596046448"/>
    <n v="122.39999914169312"/>
    <n v="1.21"/>
  </r>
  <r>
    <n v="10900"/>
    <s v="WELLI"/>
    <n v="1"/>
    <x v="426"/>
    <s v="Davolio Nancy"/>
    <n v="2"/>
    <x v="2"/>
    <s v="06897"/>
    <n v="1"/>
    <n v="1"/>
    <x v="0"/>
    <n v="70"/>
    <s v="Outback Lager"/>
    <n v="1"/>
    <x v="5"/>
    <n v="15"/>
    <n v="3"/>
    <n v="0.25"/>
    <n v="33.75"/>
    <n v="1.66"/>
  </r>
  <r>
    <n v="10901"/>
    <s v="HILAA"/>
    <n v="4"/>
    <x v="427"/>
    <s v="Peacock Margaret"/>
    <n v="1"/>
    <x v="1"/>
    <s v="20852"/>
    <n v="4"/>
    <n v="1"/>
    <x v="0"/>
    <n v="41"/>
    <s v="Jack's New England Clam Chowder"/>
    <n v="8"/>
    <x v="2"/>
    <n v="9.65"/>
    <n v="30"/>
    <n v="0"/>
    <n v="289.5"/>
    <n v="62.09"/>
  </r>
  <r>
    <n v="10902"/>
    <s v="FOLKO"/>
    <n v="1"/>
    <x v="427"/>
    <s v="Davolio Nancy"/>
    <n v="1"/>
    <x v="1"/>
    <s v="06897"/>
    <n v="1"/>
    <n v="1"/>
    <x v="0"/>
    <n v="55"/>
    <s v="Pâté chinois"/>
    <n v="6"/>
    <x v="6"/>
    <n v="24"/>
    <n v="30"/>
    <n v="0.15000000596046448"/>
    <n v="611.99999570846558"/>
    <n v="44.15"/>
  </r>
  <r>
    <n v="10903"/>
    <s v="HANAR"/>
    <n v="3"/>
    <x v="428"/>
    <s v="Leverling Janet"/>
    <n v="3"/>
    <x v="0"/>
    <s v="30346"/>
    <n v="3"/>
    <n v="4"/>
    <x v="2"/>
    <n v="13"/>
    <s v="Konbu"/>
    <n v="8"/>
    <x v="2"/>
    <n v="6"/>
    <n v="40"/>
    <n v="0"/>
    <n v="240"/>
    <n v="36.71"/>
  </r>
  <r>
    <n v="10904"/>
    <s v="WHITC"/>
    <n v="3"/>
    <x v="428"/>
    <s v="Leverling Janet"/>
    <n v="3"/>
    <x v="0"/>
    <s v="30346"/>
    <n v="3"/>
    <n v="4"/>
    <x v="2"/>
    <n v="58"/>
    <s v="Escargots de Bourgogne"/>
    <n v="8"/>
    <x v="2"/>
    <n v="13.25"/>
    <n v="15"/>
    <n v="0"/>
    <n v="198.75"/>
    <n v="162.94999999999999"/>
  </r>
  <r>
    <n v="10905"/>
    <s v="WELLI"/>
    <n v="9"/>
    <x v="428"/>
    <s v="Dodsworth Anne"/>
    <n v="2"/>
    <x v="2"/>
    <s v="03049"/>
    <n v="9"/>
    <n v="3"/>
    <x v="3"/>
    <n v="1"/>
    <s v="Chai"/>
    <n v="1"/>
    <x v="5"/>
    <n v="18"/>
    <n v="20"/>
    <n v="5.000000074505806E-2"/>
    <n v="341.9999997317791"/>
    <n v="13.72"/>
  </r>
  <r>
    <n v="10906"/>
    <s v="WOLZA"/>
    <n v="4"/>
    <x v="429"/>
    <s v="Peacock Margaret"/>
    <n v="3"/>
    <x v="0"/>
    <s v="20852"/>
    <n v="4"/>
    <n v="1"/>
    <x v="0"/>
    <n v="61"/>
    <s v="Sirop d'érable"/>
    <n v="2"/>
    <x v="7"/>
    <n v="28.5"/>
    <n v="15"/>
    <n v="0"/>
    <n v="427.5"/>
    <n v="26.29"/>
  </r>
  <r>
    <n v="10907"/>
    <s v="SPECD"/>
    <n v="6"/>
    <x v="429"/>
    <s v="Suyama Michael"/>
    <n v="3"/>
    <x v="0"/>
    <s v="85014"/>
    <n v="6"/>
    <n v="2"/>
    <x v="1"/>
    <n v="75"/>
    <s v="Rhönbräu Klosterbier"/>
    <n v="1"/>
    <x v="5"/>
    <n v="7.75"/>
    <n v="14"/>
    <n v="0"/>
    <n v="108.5"/>
    <n v="9.19"/>
  </r>
  <r>
    <n v="10908"/>
    <s v="REGGC"/>
    <n v="4"/>
    <x v="430"/>
    <s v="Peacock Margaret"/>
    <n v="2"/>
    <x v="2"/>
    <s v="20852"/>
    <n v="4"/>
    <n v="1"/>
    <x v="0"/>
    <n v="7"/>
    <s v="Uncle Bob's Organic Dried Pears"/>
    <n v="7"/>
    <x v="1"/>
    <n v="30"/>
    <n v="20"/>
    <n v="5.000000074505806E-2"/>
    <n v="569.99999955296516"/>
    <n v="32.96"/>
  </r>
  <r>
    <n v="10909"/>
    <s v="SANTG"/>
    <n v="1"/>
    <x v="430"/>
    <s v="Davolio Nancy"/>
    <n v="2"/>
    <x v="2"/>
    <s v="06897"/>
    <n v="1"/>
    <n v="1"/>
    <x v="0"/>
    <n v="7"/>
    <s v="Uncle Bob's Organic Dried Pears"/>
    <n v="7"/>
    <x v="1"/>
    <n v="30"/>
    <n v="12"/>
    <n v="0"/>
    <n v="360"/>
    <n v="53.05"/>
  </r>
  <r>
    <n v="10910"/>
    <s v="WILMK"/>
    <n v="1"/>
    <x v="430"/>
    <s v="Davolio Nancy"/>
    <n v="3"/>
    <x v="0"/>
    <s v="06897"/>
    <n v="1"/>
    <n v="1"/>
    <x v="0"/>
    <n v="19"/>
    <s v="Teatime Chocolate Biscuits"/>
    <n v="3"/>
    <x v="4"/>
    <n v="9.1999999999999993"/>
    <n v="12"/>
    <n v="0"/>
    <n v="110.39999999999999"/>
    <n v="38.11"/>
  </r>
  <r>
    <n v="10911"/>
    <s v="GODOS"/>
    <n v="3"/>
    <x v="430"/>
    <s v="Leverling Janet"/>
    <n v="1"/>
    <x v="1"/>
    <s v="30346"/>
    <n v="3"/>
    <n v="4"/>
    <x v="2"/>
    <n v="1"/>
    <s v="Chai"/>
    <n v="1"/>
    <x v="5"/>
    <n v="18"/>
    <n v="10"/>
    <n v="0"/>
    <n v="180"/>
    <n v="38.19"/>
  </r>
  <r>
    <n v="10912"/>
    <s v="HUNGO"/>
    <n v="2"/>
    <x v="430"/>
    <s v="Fuller Andrew"/>
    <n v="2"/>
    <x v="2"/>
    <s v="01581"/>
    <n v="2"/>
    <n v="1"/>
    <x v="0"/>
    <n v="11"/>
    <s v="Queso Cabrales"/>
    <n v="4"/>
    <x v="0"/>
    <n v="21"/>
    <n v="40"/>
    <n v="0.25"/>
    <n v="630"/>
    <n v="580.91"/>
  </r>
  <r>
    <n v="10913"/>
    <s v="QUEEN"/>
    <n v="4"/>
    <x v="430"/>
    <s v="Peacock Margaret"/>
    <n v="1"/>
    <x v="1"/>
    <s v="20852"/>
    <n v="4"/>
    <n v="1"/>
    <x v="0"/>
    <n v="4"/>
    <s v="Chef Anton's Cajun Seasoning"/>
    <n v="2"/>
    <x v="7"/>
    <n v="22"/>
    <n v="30"/>
    <n v="0.25"/>
    <n v="495"/>
    <n v="33.049999999999997"/>
  </r>
  <r>
    <n v="10914"/>
    <s v="QUEEN"/>
    <n v="6"/>
    <x v="431"/>
    <s v="Suyama Michael"/>
    <n v="1"/>
    <x v="1"/>
    <s v="85014"/>
    <n v="6"/>
    <n v="2"/>
    <x v="1"/>
    <n v="71"/>
    <s v="Flotemysost"/>
    <n v="4"/>
    <x v="0"/>
    <n v="21.5"/>
    <n v="25"/>
    <n v="0"/>
    <n v="537.5"/>
    <n v="21.19"/>
  </r>
  <r>
    <n v="10915"/>
    <s v="TORTU"/>
    <n v="2"/>
    <x v="431"/>
    <s v="Fuller Andrew"/>
    <n v="2"/>
    <x v="2"/>
    <s v="01581"/>
    <n v="2"/>
    <n v="1"/>
    <x v="0"/>
    <n v="17"/>
    <s v="Alice Mutton"/>
    <n v="6"/>
    <x v="6"/>
    <n v="39"/>
    <n v="10"/>
    <n v="0"/>
    <n v="390"/>
    <n v="3.51"/>
  </r>
  <r>
    <n v="10916"/>
    <s v="RANCH"/>
    <n v="1"/>
    <x v="431"/>
    <s v="Davolio Nancy"/>
    <n v="2"/>
    <x v="2"/>
    <s v="06897"/>
    <n v="1"/>
    <n v="1"/>
    <x v="0"/>
    <n v="16"/>
    <s v="Pavlova"/>
    <n v="3"/>
    <x v="4"/>
    <n v="17.45"/>
    <n v="6"/>
    <n v="0"/>
    <n v="104.69999999999999"/>
    <n v="63.77"/>
  </r>
  <r>
    <n v="10917"/>
    <s v="ROMEY"/>
    <n v="4"/>
    <x v="432"/>
    <s v="Peacock Margaret"/>
    <n v="2"/>
    <x v="2"/>
    <s v="20852"/>
    <n v="4"/>
    <n v="1"/>
    <x v="0"/>
    <n v="30"/>
    <s v="Nord-Ost Matjeshering"/>
    <n v="8"/>
    <x v="2"/>
    <n v="25.89"/>
    <n v="1"/>
    <n v="0"/>
    <n v="25.89"/>
    <n v="8.2899999999999991"/>
  </r>
  <r>
    <n v="10918"/>
    <s v="BOTTM"/>
    <n v="3"/>
    <x v="432"/>
    <s v="Leverling Janet"/>
    <n v="3"/>
    <x v="0"/>
    <s v="30346"/>
    <n v="3"/>
    <n v="4"/>
    <x v="2"/>
    <n v="1"/>
    <s v="Chai"/>
    <n v="1"/>
    <x v="5"/>
    <n v="18"/>
    <n v="60"/>
    <n v="0.25"/>
    <n v="810"/>
    <n v="48.83"/>
  </r>
  <r>
    <n v="10919"/>
    <s v="LINOD"/>
    <n v="2"/>
    <x v="432"/>
    <s v="Fuller Andrew"/>
    <n v="2"/>
    <x v="2"/>
    <s v="01581"/>
    <n v="2"/>
    <n v="1"/>
    <x v="0"/>
    <n v="16"/>
    <s v="Pavlova"/>
    <n v="3"/>
    <x v="4"/>
    <n v="17.45"/>
    <n v="24"/>
    <n v="0"/>
    <n v="418.79999999999995"/>
    <n v="19.8"/>
  </r>
  <r>
    <n v="10920"/>
    <s v="AROUT"/>
    <n v="4"/>
    <x v="433"/>
    <s v="Peacock Margaret"/>
    <n v="2"/>
    <x v="2"/>
    <s v="20852"/>
    <n v="4"/>
    <n v="1"/>
    <x v="0"/>
    <n v="50"/>
    <s v="Valkoinen suklaa"/>
    <n v="3"/>
    <x v="4"/>
    <n v="16.25"/>
    <n v="24"/>
    <n v="0"/>
    <n v="390"/>
    <n v="29.61"/>
  </r>
  <r>
    <n v="10921"/>
    <s v="VAFFE"/>
    <n v="1"/>
    <x v="433"/>
    <s v="Davolio Nancy"/>
    <n v="1"/>
    <x v="1"/>
    <s v="06897"/>
    <n v="1"/>
    <n v="1"/>
    <x v="0"/>
    <n v="35"/>
    <s v="Steeleye Stout"/>
    <n v="1"/>
    <x v="5"/>
    <n v="18"/>
    <n v="10"/>
    <n v="0"/>
    <n v="180"/>
    <n v="176.48"/>
  </r>
  <r>
    <n v="10922"/>
    <s v="HANAR"/>
    <n v="5"/>
    <x v="433"/>
    <s v="Buchanan Steven"/>
    <n v="3"/>
    <x v="0"/>
    <s v="02903"/>
    <n v="5"/>
    <n v="1"/>
    <x v="0"/>
    <n v="17"/>
    <s v="Alice Mutton"/>
    <n v="6"/>
    <x v="6"/>
    <n v="39"/>
    <n v="15"/>
    <n v="0"/>
    <n v="585"/>
    <n v="62.74"/>
  </r>
  <r>
    <n v="10923"/>
    <s v="LAMAI"/>
    <n v="7"/>
    <x v="433"/>
    <s v="King Robert"/>
    <n v="3"/>
    <x v="0"/>
    <s v="60179"/>
    <n v="7"/>
    <n v="2"/>
    <x v="1"/>
    <n v="42"/>
    <s v="Singaporean Hokkien Fried Mee"/>
    <n v="5"/>
    <x v="3"/>
    <n v="14"/>
    <n v="10"/>
    <n v="0.20000000298023224"/>
    <n v="111.99999958276749"/>
    <n v="68.260000000000005"/>
  </r>
  <r>
    <n v="10924"/>
    <s v="BERGS"/>
    <n v="3"/>
    <x v="434"/>
    <s v="Leverling Janet"/>
    <n v="2"/>
    <x v="2"/>
    <s v="30346"/>
    <n v="3"/>
    <n v="4"/>
    <x v="2"/>
    <n v="10"/>
    <s v="Ikura"/>
    <n v="8"/>
    <x v="2"/>
    <n v="31"/>
    <n v="20"/>
    <n v="0.10000000149011612"/>
    <n v="557.99999907612801"/>
    <n v="151.52000000000001"/>
  </r>
  <r>
    <n v="10925"/>
    <s v="HANAR"/>
    <n v="3"/>
    <x v="434"/>
    <s v="Leverling Janet"/>
    <n v="1"/>
    <x v="1"/>
    <s v="30346"/>
    <n v="3"/>
    <n v="4"/>
    <x v="2"/>
    <n v="36"/>
    <s v="Inlagd Sill"/>
    <n v="8"/>
    <x v="2"/>
    <n v="19"/>
    <n v="25"/>
    <n v="0.15000000596046448"/>
    <n v="403.74999716877937"/>
    <n v="2.27"/>
  </r>
  <r>
    <n v="10926"/>
    <s v="ANATR"/>
    <n v="4"/>
    <x v="434"/>
    <s v="Peacock Margaret"/>
    <n v="3"/>
    <x v="0"/>
    <s v="20852"/>
    <n v="4"/>
    <n v="1"/>
    <x v="0"/>
    <n v="11"/>
    <s v="Queso Cabrales"/>
    <n v="4"/>
    <x v="0"/>
    <n v="21"/>
    <n v="2"/>
    <n v="0"/>
    <n v="42"/>
    <n v="39.92"/>
  </r>
  <r>
    <n v="10927"/>
    <s v="LACOR"/>
    <n v="4"/>
    <x v="435"/>
    <s v="Peacock Margaret"/>
    <n v="1"/>
    <x v="1"/>
    <s v="20852"/>
    <n v="4"/>
    <n v="1"/>
    <x v="0"/>
    <n v="20"/>
    <s v="Sir Rodney's Marmalade"/>
    <n v="3"/>
    <x v="4"/>
    <n v="81"/>
    <n v="5"/>
    <n v="0"/>
    <n v="405"/>
    <n v="19.79"/>
  </r>
  <r>
    <n v="10928"/>
    <s v="GALED"/>
    <n v="1"/>
    <x v="435"/>
    <s v="Davolio Nancy"/>
    <n v="1"/>
    <x v="1"/>
    <s v="06897"/>
    <n v="1"/>
    <n v="1"/>
    <x v="0"/>
    <n v="47"/>
    <s v="Zaanse koeken"/>
    <n v="3"/>
    <x v="4"/>
    <n v="9.5"/>
    <n v="5"/>
    <n v="0"/>
    <n v="47.5"/>
    <n v="1.36"/>
  </r>
  <r>
    <n v="10929"/>
    <s v="FRANK"/>
    <n v="6"/>
    <x v="435"/>
    <s v="Suyama Michael"/>
    <n v="1"/>
    <x v="1"/>
    <s v="85014"/>
    <n v="6"/>
    <n v="2"/>
    <x v="1"/>
    <n v="21"/>
    <s v="Sir Rodney's Scones"/>
    <n v="3"/>
    <x v="4"/>
    <n v="10"/>
    <n v="60"/>
    <n v="0"/>
    <n v="600"/>
    <n v="33.93"/>
  </r>
  <r>
    <n v="10930"/>
    <s v="SUPRD"/>
    <n v="4"/>
    <x v="436"/>
    <s v="Peacock Margaret"/>
    <n v="3"/>
    <x v="0"/>
    <s v="20852"/>
    <n v="4"/>
    <n v="1"/>
    <x v="0"/>
    <n v="21"/>
    <s v="Sir Rodney's Scones"/>
    <n v="3"/>
    <x v="4"/>
    <n v="10"/>
    <n v="36"/>
    <n v="0"/>
    <n v="360"/>
    <n v="15.55"/>
  </r>
  <r>
    <n v="10931"/>
    <s v="RICSU"/>
    <n v="4"/>
    <x v="436"/>
    <s v="Peacock Margaret"/>
    <n v="2"/>
    <x v="2"/>
    <s v="20852"/>
    <n v="4"/>
    <n v="1"/>
    <x v="0"/>
    <n v="13"/>
    <s v="Konbu"/>
    <n v="8"/>
    <x v="2"/>
    <n v="6"/>
    <n v="42"/>
    <n v="0.15000000596046448"/>
    <n v="214.19999849796295"/>
    <n v="13.6"/>
  </r>
  <r>
    <n v="10932"/>
    <s v="BONAP"/>
    <n v="8"/>
    <x v="436"/>
    <s v="Callahan Laura"/>
    <n v="1"/>
    <x v="1"/>
    <s v="19428"/>
    <n v="8"/>
    <n v="3"/>
    <x v="3"/>
    <n v="16"/>
    <s v="Pavlova"/>
    <n v="3"/>
    <x v="4"/>
    <n v="17.45"/>
    <n v="30"/>
    <n v="0.10000000149011612"/>
    <n v="471.14999921992421"/>
    <n v="134.63999999999999"/>
  </r>
  <r>
    <n v="10933"/>
    <s v="ISLAT"/>
    <n v="6"/>
    <x v="436"/>
    <s v="Suyama Michael"/>
    <n v="3"/>
    <x v="0"/>
    <s v="85014"/>
    <n v="6"/>
    <n v="2"/>
    <x v="1"/>
    <n v="53"/>
    <s v="Perth Pasties"/>
    <n v="6"/>
    <x v="6"/>
    <n v="32.799999999999997"/>
    <n v="2"/>
    <n v="0"/>
    <n v="65.599999999999994"/>
    <n v="54.15"/>
  </r>
  <r>
    <n v="10934"/>
    <s v="LEHMS"/>
    <n v="3"/>
    <x v="437"/>
    <s v="Leverling Janet"/>
    <n v="3"/>
    <x v="0"/>
    <s v="30346"/>
    <n v="3"/>
    <n v="4"/>
    <x v="2"/>
    <n v="6"/>
    <s v="Grandma's Boysenberry Spread"/>
    <n v="2"/>
    <x v="7"/>
    <n v="25"/>
    <n v="20"/>
    <n v="0"/>
    <n v="500"/>
    <n v="32.01"/>
  </r>
  <r>
    <n v="10935"/>
    <s v="WELLI"/>
    <n v="4"/>
    <x v="437"/>
    <s v="Peacock Margaret"/>
    <n v="3"/>
    <x v="0"/>
    <s v="20852"/>
    <n v="4"/>
    <n v="1"/>
    <x v="0"/>
    <n v="1"/>
    <s v="Chai"/>
    <n v="1"/>
    <x v="5"/>
    <n v="18"/>
    <n v="21"/>
    <n v="0"/>
    <n v="378"/>
    <n v="47.59"/>
  </r>
  <r>
    <n v="10936"/>
    <s v="GREAL"/>
    <n v="3"/>
    <x v="437"/>
    <s v="Leverling Janet"/>
    <n v="2"/>
    <x v="2"/>
    <s v="30346"/>
    <n v="3"/>
    <n v="4"/>
    <x v="2"/>
    <n v="36"/>
    <s v="Inlagd Sill"/>
    <n v="8"/>
    <x v="2"/>
    <n v="19"/>
    <n v="30"/>
    <n v="0.20000000298023224"/>
    <n v="455.99999830126762"/>
    <n v="33.68"/>
  </r>
  <r>
    <n v="10937"/>
    <s v="CACTU"/>
    <n v="7"/>
    <x v="438"/>
    <s v="King Robert"/>
    <n v="3"/>
    <x v="0"/>
    <s v="60179"/>
    <n v="7"/>
    <n v="2"/>
    <x v="1"/>
    <n v="28"/>
    <s v="Rössle Sauerkraut"/>
    <n v="7"/>
    <x v="1"/>
    <n v="45.6"/>
    <n v="8"/>
    <n v="0"/>
    <n v="364.8"/>
    <n v="31.51"/>
  </r>
  <r>
    <n v="10938"/>
    <s v="QUICK"/>
    <n v="3"/>
    <x v="438"/>
    <s v="Leverling Janet"/>
    <n v="2"/>
    <x v="2"/>
    <s v="30346"/>
    <n v="3"/>
    <n v="4"/>
    <x v="2"/>
    <n v="13"/>
    <s v="Konbu"/>
    <n v="8"/>
    <x v="2"/>
    <n v="6"/>
    <n v="20"/>
    <n v="0.25"/>
    <n v="90"/>
    <n v="31.89"/>
  </r>
  <r>
    <n v="10939"/>
    <s v="MAGAA"/>
    <n v="2"/>
    <x v="438"/>
    <s v="Fuller Andrew"/>
    <n v="2"/>
    <x v="2"/>
    <s v="01581"/>
    <n v="2"/>
    <n v="1"/>
    <x v="0"/>
    <n v="2"/>
    <s v="Chang"/>
    <n v="1"/>
    <x v="5"/>
    <n v="19"/>
    <n v="10"/>
    <n v="0.15000000596046448"/>
    <n v="161.49999886751175"/>
    <n v="76.33"/>
  </r>
  <r>
    <n v="10940"/>
    <s v="BONAP"/>
    <n v="8"/>
    <x v="439"/>
    <s v="Callahan Laura"/>
    <n v="3"/>
    <x v="0"/>
    <s v="19428"/>
    <n v="8"/>
    <n v="3"/>
    <x v="3"/>
    <n v="7"/>
    <s v="Uncle Bob's Organic Dried Pears"/>
    <n v="7"/>
    <x v="1"/>
    <n v="30"/>
    <n v="8"/>
    <n v="0"/>
    <n v="240"/>
    <n v="19.77"/>
  </r>
  <r>
    <n v="10941"/>
    <s v="SAVEA"/>
    <n v="7"/>
    <x v="439"/>
    <s v="King Robert"/>
    <n v="2"/>
    <x v="2"/>
    <s v="60179"/>
    <n v="7"/>
    <n v="2"/>
    <x v="1"/>
    <n v="31"/>
    <s v="Gorgonzola Telino"/>
    <n v="4"/>
    <x v="0"/>
    <n v="12.5"/>
    <n v="44"/>
    <n v="0.25"/>
    <n v="412.5"/>
    <n v="400.81"/>
  </r>
  <r>
    <n v="10942"/>
    <s v="REGGC"/>
    <n v="9"/>
    <x v="439"/>
    <s v="Dodsworth Anne"/>
    <n v="3"/>
    <x v="0"/>
    <s v="03049"/>
    <n v="9"/>
    <n v="3"/>
    <x v="3"/>
    <n v="49"/>
    <s v="Maxilaku"/>
    <n v="3"/>
    <x v="4"/>
    <n v="20"/>
    <n v="28"/>
    <n v="0"/>
    <n v="560"/>
    <n v="17.95"/>
  </r>
  <r>
    <n v="10943"/>
    <s v="BSBEV"/>
    <n v="4"/>
    <x v="439"/>
    <s v="Peacock Margaret"/>
    <n v="2"/>
    <x v="2"/>
    <s v="20852"/>
    <n v="4"/>
    <n v="1"/>
    <x v="0"/>
    <n v="13"/>
    <s v="Konbu"/>
    <n v="8"/>
    <x v="2"/>
    <n v="6"/>
    <n v="15"/>
    <n v="0"/>
    <n v="90"/>
    <n v="2.17"/>
  </r>
  <r>
    <n v="10944"/>
    <s v="BOTTM"/>
    <n v="6"/>
    <x v="440"/>
    <s v="Suyama Michael"/>
    <n v="3"/>
    <x v="0"/>
    <s v="85014"/>
    <n v="6"/>
    <n v="2"/>
    <x v="1"/>
    <n v="11"/>
    <s v="Queso Cabrales"/>
    <n v="4"/>
    <x v="0"/>
    <n v="21"/>
    <n v="5"/>
    <n v="0.25"/>
    <n v="78.75"/>
    <n v="52.92"/>
  </r>
  <r>
    <n v="10945"/>
    <s v="MORGK"/>
    <n v="4"/>
    <x v="440"/>
    <s v="Peacock Margaret"/>
    <n v="1"/>
    <x v="1"/>
    <s v="20852"/>
    <n v="4"/>
    <n v="1"/>
    <x v="0"/>
    <n v="13"/>
    <s v="Konbu"/>
    <n v="8"/>
    <x v="2"/>
    <n v="6"/>
    <n v="20"/>
    <n v="0"/>
    <n v="120"/>
    <n v="10.220000000000001"/>
  </r>
  <r>
    <n v="10946"/>
    <s v="VAFFE"/>
    <n v="1"/>
    <x v="440"/>
    <s v="Davolio Nancy"/>
    <n v="2"/>
    <x v="2"/>
    <s v="06897"/>
    <n v="1"/>
    <n v="1"/>
    <x v="0"/>
    <n v="10"/>
    <s v="Ikura"/>
    <n v="8"/>
    <x v="2"/>
    <n v="31"/>
    <n v="25"/>
    <n v="0"/>
    <n v="775"/>
    <n v="27.2"/>
  </r>
  <r>
    <n v="10947"/>
    <s v="BSBEV"/>
    <n v="3"/>
    <x v="441"/>
    <s v="Leverling Janet"/>
    <n v="2"/>
    <x v="2"/>
    <s v="30346"/>
    <n v="3"/>
    <n v="4"/>
    <x v="2"/>
    <n v="59"/>
    <s v="Raclette Courdavault"/>
    <n v="4"/>
    <x v="0"/>
    <n v="55"/>
    <n v="4"/>
    <n v="0"/>
    <n v="220"/>
    <n v="3.26"/>
  </r>
  <r>
    <n v="10948"/>
    <s v="GODOS"/>
    <n v="3"/>
    <x v="441"/>
    <s v="Leverling Janet"/>
    <n v="3"/>
    <x v="0"/>
    <s v="30346"/>
    <n v="3"/>
    <n v="4"/>
    <x v="2"/>
    <n v="50"/>
    <s v="Valkoinen suklaa"/>
    <n v="3"/>
    <x v="4"/>
    <n v="16.25"/>
    <n v="9"/>
    <n v="0"/>
    <n v="146.25"/>
    <n v="23.39"/>
  </r>
  <r>
    <n v="10949"/>
    <s v="BOTTM"/>
    <n v="2"/>
    <x v="441"/>
    <s v="Fuller Andrew"/>
    <n v="3"/>
    <x v="0"/>
    <s v="01581"/>
    <n v="2"/>
    <n v="1"/>
    <x v="0"/>
    <n v="6"/>
    <s v="Grandma's Boysenberry Spread"/>
    <n v="2"/>
    <x v="7"/>
    <n v="25"/>
    <n v="12"/>
    <n v="0"/>
    <n v="300"/>
    <n v="74.44"/>
  </r>
  <r>
    <n v="10950"/>
    <s v="MAGAA"/>
    <n v="1"/>
    <x v="442"/>
    <s v="Davolio Nancy"/>
    <n v="2"/>
    <x v="2"/>
    <s v="06897"/>
    <n v="1"/>
    <n v="1"/>
    <x v="0"/>
    <n v="4"/>
    <s v="Chef Anton's Cajun Seasoning"/>
    <n v="2"/>
    <x v="7"/>
    <n v="22"/>
    <n v="5"/>
    <n v="0"/>
    <n v="110"/>
    <n v="2.5"/>
  </r>
  <r>
    <n v="10951"/>
    <s v="RICSU"/>
    <n v="9"/>
    <x v="442"/>
    <s v="Dodsworth Anne"/>
    <n v="2"/>
    <x v="2"/>
    <s v="03049"/>
    <n v="9"/>
    <n v="3"/>
    <x v="3"/>
    <n v="33"/>
    <s v="Geitost"/>
    <n v="4"/>
    <x v="0"/>
    <n v="2.5"/>
    <n v="15"/>
    <n v="5.000000074505806E-2"/>
    <n v="35.624999972060323"/>
    <n v="30.85"/>
  </r>
  <r>
    <n v="10952"/>
    <s v="ALFKI"/>
    <n v="1"/>
    <x v="442"/>
    <s v="Davolio Nancy"/>
    <n v="1"/>
    <x v="1"/>
    <s v="06897"/>
    <n v="1"/>
    <n v="1"/>
    <x v="0"/>
    <n v="6"/>
    <s v="Grandma's Boysenberry Spread"/>
    <n v="2"/>
    <x v="7"/>
    <n v="25"/>
    <n v="16"/>
    <n v="5.000000074505806E-2"/>
    <n v="379.99999970197678"/>
    <n v="40.42"/>
  </r>
  <r>
    <n v="10953"/>
    <s v="AROUT"/>
    <n v="9"/>
    <x v="442"/>
    <s v="Dodsworth Anne"/>
    <n v="2"/>
    <x v="2"/>
    <s v="03049"/>
    <n v="9"/>
    <n v="3"/>
    <x v="3"/>
    <n v="20"/>
    <s v="Sir Rodney's Marmalade"/>
    <n v="3"/>
    <x v="4"/>
    <n v="81"/>
    <n v="50"/>
    <n v="5.000000074505806E-2"/>
    <n v="3847.4999969825149"/>
    <n v="23.72"/>
  </r>
  <r>
    <n v="10954"/>
    <s v="LINOD"/>
    <n v="5"/>
    <x v="443"/>
    <s v="Buchanan Steven"/>
    <n v="1"/>
    <x v="1"/>
    <s v="02903"/>
    <n v="5"/>
    <n v="1"/>
    <x v="0"/>
    <n v="16"/>
    <s v="Pavlova"/>
    <n v="3"/>
    <x v="4"/>
    <n v="17.45"/>
    <n v="28"/>
    <n v="0.15000000596046448"/>
    <n v="415.30999708771702"/>
    <n v="27.91"/>
  </r>
  <r>
    <n v="10955"/>
    <s v="FOLKO"/>
    <n v="8"/>
    <x v="443"/>
    <s v="Callahan Laura"/>
    <n v="2"/>
    <x v="2"/>
    <s v="19428"/>
    <n v="8"/>
    <n v="3"/>
    <x v="3"/>
    <n v="75"/>
    <s v="Rhönbräu Klosterbier"/>
    <n v="1"/>
    <x v="5"/>
    <n v="7.75"/>
    <n v="12"/>
    <n v="0.20000000298023224"/>
    <n v="74.399999722838402"/>
    <n v="3.26"/>
  </r>
  <r>
    <n v="10956"/>
    <s v="BLAUS"/>
    <n v="6"/>
    <x v="443"/>
    <s v="Suyama Michael"/>
    <n v="2"/>
    <x v="2"/>
    <s v="85014"/>
    <n v="6"/>
    <n v="2"/>
    <x v="1"/>
    <n v="21"/>
    <s v="Sir Rodney's Scones"/>
    <n v="3"/>
    <x v="4"/>
    <n v="10"/>
    <n v="12"/>
    <n v="0"/>
    <n v="120"/>
    <n v="44.65"/>
  </r>
  <r>
    <n v="10957"/>
    <s v="HILAA"/>
    <n v="8"/>
    <x v="444"/>
    <s v="Callahan Laura"/>
    <n v="3"/>
    <x v="0"/>
    <s v="19428"/>
    <n v="8"/>
    <n v="3"/>
    <x v="3"/>
    <n v="30"/>
    <s v="Nord-Ost Matjeshering"/>
    <n v="8"/>
    <x v="2"/>
    <n v="25.89"/>
    <n v="30"/>
    <n v="0"/>
    <n v="776.7"/>
    <n v="105.36"/>
  </r>
  <r>
    <n v="10958"/>
    <s v="OCEAN"/>
    <n v="7"/>
    <x v="444"/>
    <s v="King Robert"/>
    <n v="2"/>
    <x v="2"/>
    <s v="60179"/>
    <n v="7"/>
    <n v="2"/>
    <x v="1"/>
    <n v="5"/>
    <s v="Chef Anton's Gumbo Mix"/>
    <n v="2"/>
    <x v="7"/>
    <n v="21.35"/>
    <n v="20"/>
    <n v="0"/>
    <n v="427"/>
    <n v="49.56"/>
  </r>
  <r>
    <n v="10959"/>
    <s v="GOURL"/>
    <n v="6"/>
    <x v="444"/>
    <s v="Suyama Michael"/>
    <n v="2"/>
    <x v="2"/>
    <s v="85014"/>
    <n v="6"/>
    <n v="2"/>
    <x v="1"/>
    <n v="75"/>
    <s v="Rhönbräu Klosterbier"/>
    <n v="1"/>
    <x v="5"/>
    <n v="7.75"/>
    <n v="20"/>
    <n v="0.15000000596046448"/>
    <n v="131.74999907612801"/>
    <n v="4.9800000000000004"/>
  </r>
  <r>
    <n v="10960"/>
    <s v="HILAA"/>
    <n v="3"/>
    <x v="445"/>
    <s v="Leverling Janet"/>
    <n v="1"/>
    <x v="1"/>
    <s v="30346"/>
    <n v="3"/>
    <n v="4"/>
    <x v="2"/>
    <n v="24"/>
    <s v="Guaraná Fantástica"/>
    <n v="1"/>
    <x v="5"/>
    <n v="4.5"/>
    <n v="10"/>
    <n v="0.25"/>
    <n v="33.75"/>
    <n v="2.08"/>
  </r>
  <r>
    <n v="10961"/>
    <s v="QUEEN"/>
    <n v="8"/>
    <x v="445"/>
    <s v="Callahan Laura"/>
    <n v="1"/>
    <x v="1"/>
    <s v="19428"/>
    <n v="8"/>
    <n v="3"/>
    <x v="3"/>
    <n v="52"/>
    <s v="Filo Mix"/>
    <n v="5"/>
    <x v="3"/>
    <n v="7"/>
    <n v="6"/>
    <n v="5.000000074505806E-2"/>
    <n v="39.899999968707561"/>
    <n v="104.47"/>
  </r>
  <r>
    <n v="10962"/>
    <s v="QUICK"/>
    <n v="8"/>
    <x v="445"/>
    <s v="Callahan Laura"/>
    <n v="2"/>
    <x v="2"/>
    <s v="19428"/>
    <n v="8"/>
    <n v="3"/>
    <x v="3"/>
    <n v="7"/>
    <s v="Uncle Bob's Organic Dried Pears"/>
    <n v="7"/>
    <x v="1"/>
    <n v="30"/>
    <n v="45"/>
    <n v="0"/>
    <n v="1350"/>
    <n v="275.79000000000002"/>
  </r>
  <r>
    <n v="10963"/>
    <s v="FURIB"/>
    <n v="9"/>
    <x v="445"/>
    <s v="Dodsworth Anne"/>
    <n v="3"/>
    <x v="0"/>
    <s v="03049"/>
    <n v="9"/>
    <n v="3"/>
    <x v="3"/>
    <n v="60"/>
    <s v="Camembert Pierrot"/>
    <n v="4"/>
    <x v="0"/>
    <n v="34"/>
    <n v="2"/>
    <n v="0.15000000596046448"/>
    <n v="57.799999594688416"/>
    <n v="2.7"/>
  </r>
  <r>
    <n v="10964"/>
    <s v="SPECD"/>
    <n v="3"/>
    <x v="446"/>
    <s v="Leverling Janet"/>
    <n v="2"/>
    <x v="2"/>
    <s v="30346"/>
    <n v="3"/>
    <n v="4"/>
    <x v="2"/>
    <n v="18"/>
    <s v="Carnarvon Tigers"/>
    <n v="8"/>
    <x v="2"/>
    <n v="62.5"/>
    <n v="6"/>
    <n v="0"/>
    <n v="375"/>
    <n v="87.38"/>
  </r>
  <r>
    <n v="10965"/>
    <s v="OLDWO"/>
    <n v="6"/>
    <x v="446"/>
    <s v="Suyama Michael"/>
    <n v="3"/>
    <x v="0"/>
    <s v="85014"/>
    <n v="6"/>
    <n v="2"/>
    <x v="1"/>
    <n v="51"/>
    <s v="Manjimup Dried Apples"/>
    <n v="7"/>
    <x v="1"/>
    <n v="53"/>
    <n v="16"/>
    <n v="0"/>
    <n v="848"/>
    <n v="144.38"/>
  </r>
  <r>
    <n v="10966"/>
    <s v="CHOPS"/>
    <n v="4"/>
    <x v="446"/>
    <s v="Peacock Margaret"/>
    <n v="1"/>
    <x v="1"/>
    <s v="20852"/>
    <n v="4"/>
    <n v="1"/>
    <x v="0"/>
    <n v="37"/>
    <s v="Gravad lax"/>
    <n v="8"/>
    <x v="2"/>
    <n v="26"/>
    <n v="8"/>
    <n v="0"/>
    <n v="208"/>
    <n v="27.19"/>
  </r>
  <r>
    <n v="10967"/>
    <s v="TOMSP"/>
    <n v="2"/>
    <x v="447"/>
    <s v="Fuller Andrew"/>
    <n v="2"/>
    <x v="2"/>
    <s v="01581"/>
    <n v="2"/>
    <n v="1"/>
    <x v="0"/>
    <n v="19"/>
    <s v="Teatime Chocolate Biscuits"/>
    <n v="3"/>
    <x v="4"/>
    <n v="9.1999999999999993"/>
    <n v="12"/>
    <n v="0"/>
    <n v="110.39999999999999"/>
    <n v="62.22"/>
  </r>
  <r>
    <n v="10968"/>
    <s v="ERNSH"/>
    <n v="1"/>
    <x v="447"/>
    <s v="Davolio Nancy"/>
    <n v="3"/>
    <x v="0"/>
    <s v="06897"/>
    <n v="1"/>
    <n v="1"/>
    <x v="0"/>
    <n v="12"/>
    <s v="Queso Manchego La Pastora"/>
    <n v="4"/>
    <x v="0"/>
    <n v="38"/>
    <n v="30"/>
    <n v="0"/>
    <n v="1140"/>
    <n v="74.599999999999994"/>
  </r>
  <r>
    <n v="10969"/>
    <s v="COMMI"/>
    <n v="1"/>
    <x v="447"/>
    <s v="Davolio Nancy"/>
    <n v="2"/>
    <x v="2"/>
    <s v="06897"/>
    <n v="1"/>
    <n v="1"/>
    <x v="0"/>
    <n v="46"/>
    <s v="Spegesild"/>
    <n v="8"/>
    <x v="2"/>
    <n v="12"/>
    <n v="9"/>
    <n v="0"/>
    <n v="108"/>
    <n v="0.21"/>
  </r>
  <r>
    <n v="10970"/>
    <s v="BOLID"/>
    <n v="9"/>
    <x v="448"/>
    <s v="Dodsworth Anne"/>
    <n v="1"/>
    <x v="1"/>
    <s v="03049"/>
    <n v="9"/>
    <n v="3"/>
    <x v="3"/>
    <n v="52"/>
    <s v="Filo Mix"/>
    <n v="5"/>
    <x v="3"/>
    <n v="7"/>
    <n v="40"/>
    <n v="0.20000000298023224"/>
    <n v="223.99999916553497"/>
    <n v="16.16"/>
  </r>
  <r>
    <n v="10971"/>
    <s v="FRANR"/>
    <n v="2"/>
    <x v="448"/>
    <s v="Fuller Andrew"/>
    <n v="2"/>
    <x v="2"/>
    <s v="01581"/>
    <n v="2"/>
    <n v="1"/>
    <x v="0"/>
    <n v="29"/>
    <s v="Thüringer Rostbratwurst"/>
    <n v="6"/>
    <x v="6"/>
    <n v="123.79"/>
    <n v="14"/>
    <n v="0"/>
    <n v="1733.0600000000002"/>
    <n v="121.82"/>
  </r>
  <r>
    <n v="10972"/>
    <s v="LACOR"/>
    <n v="4"/>
    <x v="448"/>
    <s v="Peacock Margaret"/>
    <n v="2"/>
    <x v="2"/>
    <s v="20852"/>
    <n v="4"/>
    <n v="1"/>
    <x v="0"/>
    <n v="17"/>
    <s v="Alice Mutton"/>
    <n v="6"/>
    <x v="6"/>
    <n v="39"/>
    <n v="6"/>
    <n v="0"/>
    <n v="234"/>
    <n v="0.02"/>
  </r>
  <r>
    <n v="10973"/>
    <s v="LACOR"/>
    <n v="6"/>
    <x v="448"/>
    <s v="Suyama Michael"/>
    <n v="2"/>
    <x v="2"/>
    <s v="85014"/>
    <n v="6"/>
    <n v="2"/>
    <x v="1"/>
    <n v="26"/>
    <s v="Gumbär Gummibärchen"/>
    <n v="3"/>
    <x v="4"/>
    <n v="31.23"/>
    <n v="5"/>
    <n v="0"/>
    <n v="156.15"/>
    <n v="15.17"/>
  </r>
  <r>
    <n v="10974"/>
    <s v="SPLIR"/>
    <n v="3"/>
    <x v="449"/>
    <s v="Leverling Janet"/>
    <n v="3"/>
    <x v="0"/>
    <s v="30346"/>
    <n v="3"/>
    <n v="4"/>
    <x v="2"/>
    <n v="63"/>
    <s v="Vegie-spread"/>
    <n v="2"/>
    <x v="7"/>
    <n v="43.9"/>
    <n v="10"/>
    <n v="0"/>
    <n v="439"/>
    <n v="12.96"/>
  </r>
  <r>
    <n v="10975"/>
    <s v="BOTTM"/>
    <n v="1"/>
    <x v="449"/>
    <s v="Davolio Nancy"/>
    <n v="3"/>
    <x v="0"/>
    <s v="06897"/>
    <n v="1"/>
    <n v="1"/>
    <x v="0"/>
    <n v="8"/>
    <s v="Northwoods Cranberry Sauce"/>
    <n v="2"/>
    <x v="7"/>
    <n v="40"/>
    <n v="16"/>
    <n v="0"/>
    <n v="640"/>
    <n v="32.270000000000003"/>
  </r>
  <r>
    <n v="10976"/>
    <s v="HILAA"/>
    <n v="1"/>
    <x v="449"/>
    <s v="Davolio Nancy"/>
    <n v="1"/>
    <x v="1"/>
    <s v="06897"/>
    <n v="1"/>
    <n v="1"/>
    <x v="0"/>
    <n v="28"/>
    <s v="Rössle Sauerkraut"/>
    <n v="7"/>
    <x v="1"/>
    <n v="45.6"/>
    <n v="20"/>
    <n v="0"/>
    <n v="912"/>
    <n v="37.97"/>
  </r>
  <r>
    <n v="10977"/>
    <s v="FOLKO"/>
    <n v="8"/>
    <x v="450"/>
    <s v="Callahan Laura"/>
    <n v="3"/>
    <x v="0"/>
    <s v="19428"/>
    <n v="8"/>
    <n v="3"/>
    <x v="3"/>
    <n v="39"/>
    <s v="Chartreuse verte"/>
    <n v="1"/>
    <x v="5"/>
    <n v="18"/>
    <n v="30"/>
    <n v="0"/>
    <n v="540"/>
    <n v="208.5"/>
  </r>
  <r>
    <n v="10978"/>
    <s v="MAISD"/>
    <n v="9"/>
    <x v="450"/>
    <s v="Dodsworth Anne"/>
    <n v="2"/>
    <x v="2"/>
    <s v="03049"/>
    <n v="9"/>
    <n v="3"/>
    <x v="3"/>
    <n v="8"/>
    <s v="Northwoods Cranberry Sauce"/>
    <n v="2"/>
    <x v="7"/>
    <n v="40"/>
    <n v="20"/>
    <n v="0.15000000596046448"/>
    <n v="679.99999523162842"/>
    <n v="32.82"/>
  </r>
  <r>
    <n v="10979"/>
    <s v="ERNSH"/>
    <n v="8"/>
    <x v="450"/>
    <s v="Callahan Laura"/>
    <n v="2"/>
    <x v="2"/>
    <s v="19428"/>
    <n v="8"/>
    <n v="3"/>
    <x v="3"/>
    <n v="7"/>
    <s v="Uncle Bob's Organic Dried Pears"/>
    <n v="7"/>
    <x v="1"/>
    <n v="30"/>
    <n v="18"/>
    <n v="0"/>
    <n v="540"/>
    <n v="353.07"/>
  </r>
  <r>
    <n v="10980"/>
    <s v="FOLKO"/>
    <n v="4"/>
    <x v="451"/>
    <s v="Peacock Margaret"/>
    <n v="1"/>
    <x v="1"/>
    <s v="20852"/>
    <n v="4"/>
    <n v="1"/>
    <x v="0"/>
    <n v="75"/>
    <s v="Rhönbräu Klosterbier"/>
    <n v="1"/>
    <x v="5"/>
    <n v="7.75"/>
    <n v="40"/>
    <n v="0.20000000298023224"/>
    <n v="247.99999907612801"/>
    <n v="1.26"/>
  </r>
  <r>
    <n v="10981"/>
    <s v="HANAR"/>
    <n v="1"/>
    <x v="451"/>
    <s v="Davolio Nancy"/>
    <n v="2"/>
    <x v="2"/>
    <s v="06897"/>
    <n v="1"/>
    <n v="1"/>
    <x v="0"/>
    <n v="38"/>
    <s v="Côte de Blaye"/>
    <n v="1"/>
    <x v="5"/>
    <n v="263.5"/>
    <n v="60"/>
    <n v="0"/>
    <n v="15810"/>
    <n v="193.37"/>
  </r>
  <r>
    <n v="10982"/>
    <s v="BOTTM"/>
    <n v="2"/>
    <x v="451"/>
    <s v="Fuller Andrew"/>
    <n v="1"/>
    <x v="1"/>
    <s v="01581"/>
    <n v="2"/>
    <n v="1"/>
    <x v="0"/>
    <n v="7"/>
    <s v="Uncle Bob's Organic Dried Pears"/>
    <n v="7"/>
    <x v="1"/>
    <n v="30"/>
    <n v="20"/>
    <n v="0"/>
    <n v="600"/>
    <n v="14.01"/>
  </r>
  <r>
    <n v="10983"/>
    <s v="SAVEA"/>
    <n v="2"/>
    <x v="451"/>
    <s v="Fuller Andrew"/>
    <n v="2"/>
    <x v="2"/>
    <s v="01581"/>
    <n v="2"/>
    <n v="1"/>
    <x v="0"/>
    <n v="13"/>
    <s v="Konbu"/>
    <n v="8"/>
    <x v="2"/>
    <n v="6"/>
    <n v="84"/>
    <n v="0.15000000596046448"/>
    <n v="428.3999969959259"/>
    <n v="657.54"/>
  </r>
  <r>
    <n v="10984"/>
    <s v="SAVEA"/>
    <n v="1"/>
    <x v="452"/>
    <s v="Davolio Nancy"/>
    <n v="3"/>
    <x v="0"/>
    <s v="06897"/>
    <n v="1"/>
    <n v="1"/>
    <x v="0"/>
    <n v="16"/>
    <s v="Pavlova"/>
    <n v="3"/>
    <x v="4"/>
    <n v="17.45"/>
    <n v="55"/>
    <n v="0"/>
    <n v="959.75"/>
    <n v="211.22"/>
  </r>
  <r>
    <n v="10985"/>
    <s v="HUNGO"/>
    <n v="2"/>
    <x v="452"/>
    <s v="Fuller Andrew"/>
    <n v="1"/>
    <x v="1"/>
    <s v="01581"/>
    <n v="2"/>
    <n v="1"/>
    <x v="0"/>
    <n v="16"/>
    <s v="Pavlova"/>
    <n v="3"/>
    <x v="4"/>
    <n v="17.45"/>
    <n v="36"/>
    <n v="0.10000000149011612"/>
    <n v="565.37999906390894"/>
    <n v="91.51"/>
  </r>
  <r>
    <n v="10986"/>
    <s v="OCEAN"/>
    <n v="8"/>
    <x v="452"/>
    <s v="Callahan Laura"/>
    <n v="2"/>
    <x v="2"/>
    <s v="19428"/>
    <n v="8"/>
    <n v="3"/>
    <x v="3"/>
    <n v="11"/>
    <s v="Queso Cabrales"/>
    <n v="4"/>
    <x v="0"/>
    <n v="21"/>
    <n v="30"/>
    <n v="0"/>
    <n v="630"/>
    <n v="217.86"/>
  </r>
  <r>
    <n v="10987"/>
    <s v="EASTC"/>
    <n v="8"/>
    <x v="453"/>
    <s v="Callahan Laura"/>
    <n v="1"/>
    <x v="1"/>
    <s v="19428"/>
    <n v="8"/>
    <n v="3"/>
    <x v="3"/>
    <n v="7"/>
    <s v="Uncle Bob's Organic Dried Pears"/>
    <n v="7"/>
    <x v="1"/>
    <n v="30"/>
    <n v="60"/>
    <n v="0"/>
    <n v="1800"/>
    <n v="185.48"/>
  </r>
  <r>
    <n v="10988"/>
    <s v="RATTC"/>
    <n v="3"/>
    <x v="453"/>
    <s v="Leverling Janet"/>
    <n v="2"/>
    <x v="2"/>
    <s v="30346"/>
    <n v="3"/>
    <n v="4"/>
    <x v="2"/>
    <n v="7"/>
    <s v="Uncle Bob's Organic Dried Pears"/>
    <n v="7"/>
    <x v="1"/>
    <n v="30"/>
    <n v="60"/>
    <n v="0"/>
    <n v="1800"/>
    <n v="61.14"/>
  </r>
  <r>
    <n v="10989"/>
    <s v="QUEDE"/>
    <n v="2"/>
    <x v="453"/>
    <s v="Fuller Andrew"/>
    <n v="1"/>
    <x v="1"/>
    <s v="01581"/>
    <n v="2"/>
    <n v="1"/>
    <x v="0"/>
    <n v="6"/>
    <s v="Grandma's Boysenberry Spread"/>
    <n v="2"/>
    <x v="7"/>
    <n v="25"/>
    <n v="40"/>
    <n v="0"/>
    <n v="1000"/>
    <n v="34.76"/>
  </r>
  <r>
    <n v="10990"/>
    <s v="ERNSH"/>
    <n v="2"/>
    <x v="454"/>
    <s v="Fuller Andrew"/>
    <n v="3"/>
    <x v="0"/>
    <s v="01581"/>
    <n v="2"/>
    <n v="1"/>
    <x v="0"/>
    <n v="21"/>
    <s v="Sir Rodney's Scones"/>
    <n v="3"/>
    <x v="4"/>
    <n v="10"/>
    <n v="65"/>
    <n v="0"/>
    <n v="650"/>
    <n v="117.61"/>
  </r>
  <r>
    <n v="10991"/>
    <s v="QUICK"/>
    <n v="1"/>
    <x v="454"/>
    <s v="Davolio Nancy"/>
    <n v="1"/>
    <x v="1"/>
    <s v="06897"/>
    <n v="1"/>
    <n v="1"/>
    <x v="0"/>
    <n v="2"/>
    <s v="Chang"/>
    <n v="1"/>
    <x v="5"/>
    <n v="19"/>
    <n v="50"/>
    <n v="0.20000000298023224"/>
    <n v="759.99999716877937"/>
    <n v="38.51"/>
  </r>
  <r>
    <n v="10992"/>
    <s v="THEBI"/>
    <n v="1"/>
    <x v="454"/>
    <s v="Davolio Nancy"/>
    <n v="3"/>
    <x v="0"/>
    <s v="06897"/>
    <n v="1"/>
    <n v="1"/>
    <x v="0"/>
    <n v="72"/>
    <s v="Mozzarella di Giovanni"/>
    <n v="4"/>
    <x v="0"/>
    <n v="34.799999999999997"/>
    <n v="2"/>
    <n v="0"/>
    <n v="69.599999999999994"/>
    <n v="4.2699999999999996"/>
  </r>
  <r>
    <n v="10993"/>
    <s v="FOLKO"/>
    <n v="7"/>
    <x v="454"/>
    <s v="King Robert"/>
    <n v="3"/>
    <x v="0"/>
    <s v="60179"/>
    <n v="7"/>
    <n v="2"/>
    <x v="1"/>
    <n v="29"/>
    <s v="Thüringer Rostbratwurst"/>
    <n v="6"/>
    <x v="6"/>
    <n v="123.79"/>
    <n v="50"/>
    <n v="0.25"/>
    <n v="4642.125"/>
    <n v="8.81"/>
  </r>
  <r>
    <n v="10994"/>
    <s v="VAFFE"/>
    <n v="2"/>
    <x v="455"/>
    <s v="Fuller Andrew"/>
    <n v="3"/>
    <x v="0"/>
    <s v="01581"/>
    <n v="2"/>
    <n v="1"/>
    <x v="0"/>
    <n v="59"/>
    <s v="Raclette Courdavault"/>
    <n v="4"/>
    <x v="0"/>
    <n v="55"/>
    <n v="18"/>
    <n v="5.000000074505806E-2"/>
    <n v="940.49999926239252"/>
    <n v="65.53"/>
  </r>
  <r>
    <n v="10995"/>
    <s v="PERIC"/>
    <n v="1"/>
    <x v="455"/>
    <s v="Davolio Nancy"/>
    <n v="3"/>
    <x v="0"/>
    <s v="06897"/>
    <n v="1"/>
    <n v="1"/>
    <x v="0"/>
    <n v="51"/>
    <s v="Manjimup Dried Apples"/>
    <n v="7"/>
    <x v="1"/>
    <n v="53"/>
    <n v="20"/>
    <n v="0"/>
    <n v="1060"/>
    <n v="46"/>
  </r>
  <r>
    <n v="10996"/>
    <s v="QUICK"/>
    <n v="4"/>
    <x v="455"/>
    <s v="Peacock Margaret"/>
    <n v="2"/>
    <x v="2"/>
    <s v="20852"/>
    <n v="4"/>
    <n v="1"/>
    <x v="0"/>
    <n v="42"/>
    <s v="Singaporean Hokkien Fried Mee"/>
    <n v="5"/>
    <x v="3"/>
    <n v="14"/>
    <n v="40"/>
    <n v="0"/>
    <n v="560"/>
    <n v="1.1200000000000001"/>
  </r>
  <r>
    <n v="10997"/>
    <s v="LILAS"/>
    <n v="8"/>
    <x v="456"/>
    <s v="Callahan Laura"/>
    <n v="2"/>
    <x v="2"/>
    <s v="19428"/>
    <n v="8"/>
    <n v="3"/>
    <x v="3"/>
    <n v="32"/>
    <s v="Mascarpone Fabioli"/>
    <n v="4"/>
    <x v="0"/>
    <n v="32"/>
    <n v="50"/>
    <n v="0"/>
    <n v="1600"/>
    <n v="73.91"/>
  </r>
  <r>
    <n v="10998"/>
    <s v="WOLZA"/>
    <n v="8"/>
    <x v="456"/>
    <s v="Callahan Laura"/>
    <n v="2"/>
    <x v="2"/>
    <s v="19428"/>
    <n v="8"/>
    <n v="3"/>
    <x v="3"/>
    <n v="24"/>
    <s v="Guaraná Fantástica"/>
    <n v="1"/>
    <x v="5"/>
    <n v="4.5"/>
    <n v="12"/>
    <n v="0"/>
    <n v="54"/>
    <n v="20.309999999999999"/>
  </r>
  <r>
    <n v="10999"/>
    <s v="OTTIK"/>
    <n v="6"/>
    <x v="456"/>
    <s v="Suyama Michael"/>
    <n v="2"/>
    <x v="2"/>
    <s v="85014"/>
    <n v="6"/>
    <n v="2"/>
    <x v="1"/>
    <n v="41"/>
    <s v="Jack's New England Clam Chowder"/>
    <n v="8"/>
    <x v="2"/>
    <n v="9.65"/>
    <n v="20"/>
    <n v="5.000000074505806E-2"/>
    <n v="183.34999985620379"/>
    <n v="96.35"/>
  </r>
  <r>
    <n v="11000"/>
    <s v="RATTC"/>
    <n v="2"/>
    <x v="457"/>
    <s v="Fuller Andrew"/>
    <n v="3"/>
    <x v="0"/>
    <s v="01581"/>
    <n v="2"/>
    <n v="1"/>
    <x v="0"/>
    <n v="4"/>
    <s v="Chef Anton's Cajun Seasoning"/>
    <n v="2"/>
    <x v="7"/>
    <n v="22"/>
    <n v="25"/>
    <n v="0.25"/>
    <n v="412.5"/>
    <n v="55.12"/>
  </r>
  <r>
    <n v="11001"/>
    <s v="FOLKO"/>
    <n v="2"/>
    <x v="457"/>
    <s v="Fuller Andrew"/>
    <n v="2"/>
    <x v="2"/>
    <s v="01581"/>
    <n v="2"/>
    <n v="1"/>
    <x v="0"/>
    <n v="7"/>
    <s v="Uncle Bob's Organic Dried Pears"/>
    <n v="7"/>
    <x v="1"/>
    <n v="30"/>
    <n v="60"/>
    <n v="0"/>
    <n v="1800"/>
    <n v="197.3"/>
  </r>
  <r>
    <n v="11002"/>
    <s v="SAVEA"/>
    <n v="4"/>
    <x v="457"/>
    <s v="Peacock Margaret"/>
    <n v="1"/>
    <x v="1"/>
    <s v="20852"/>
    <n v="4"/>
    <n v="1"/>
    <x v="0"/>
    <n v="13"/>
    <s v="Konbu"/>
    <n v="8"/>
    <x v="2"/>
    <n v="6"/>
    <n v="56"/>
    <n v="0"/>
    <n v="336"/>
    <n v="141.16"/>
  </r>
  <r>
    <n v="11003"/>
    <s v="THECR"/>
    <n v="3"/>
    <x v="457"/>
    <s v="Leverling Janet"/>
    <n v="3"/>
    <x v="0"/>
    <s v="30346"/>
    <n v="3"/>
    <n v="4"/>
    <x v="2"/>
    <n v="1"/>
    <s v="Chai"/>
    <n v="1"/>
    <x v="5"/>
    <n v="18"/>
    <n v="4"/>
    <n v="0"/>
    <n v="72"/>
    <n v="14.91"/>
  </r>
  <r>
    <n v="11004"/>
    <s v="MAISD"/>
    <n v="3"/>
    <x v="458"/>
    <s v="Leverling Janet"/>
    <n v="1"/>
    <x v="1"/>
    <s v="30346"/>
    <n v="3"/>
    <n v="4"/>
    <x v="2"/>
    <n v="26"/>
    <s v="Gumbär Gummibärchen"/>
    <n v="3"/>
    <x v="4"/>
    <n v="31.23"/>
    <n v="6"/>
    <n v="0"/>
    <n v="187.38"/>
    <n v="44.84"/>
  </r>
  <r>
    <n v="11005"/>
    <s v="WILMK"/>
    <n v="2"/>
    <x v="458"/>
    <s v="Fuller Andrew"/>
    <n v="1"/>
    <x v="1"/>
    <s v="01581"/>
    <n v="2"/>
    <n v="1"/>
    <x v="0"/>
    <n v="1"/>
    <s v="Chai"/>
    <n v="1"/>
    <x v="5"/>
    <n v="18"/>
    <n v="2"/>
    <n v="0"/>
    <n v="36"/>
    <n v="0.75"/>
  </r>
  <r>
    <n v="11006"/>
    <s v="GREAL"/>
    <n v="3"/>
    <x v="458"/>
    <s v="Leverling Janet"/>
    <n v="2"/>
    <x v="2"/>
    <s v="30346"/>
    <n v="3"/>
    <n v="4"/>
    <x v="2"/>
    <n v="1"/>
    <s v="Chai"/>
    <n v="1"/>
    <x v="5"/>
    <n v="18"/>
    <n v="8"/>
    <n v="0"/>
    <n v="144"/>
    <n v="25.19"/>
  </r>
  <r>
    <n v="11007"/>
    <s v="PRINI"/>
    <n v="8"/>
    <x v="459"/>
    <s v="Callahan Laura"/>
    <n v="2"/>
    <x v="2"/>
    <s v="19428"/>
    <n v="8"/>
    <n v="3"/>
    <x v="3"/>
    <n v="8"/>
    <s v="Northwoods Cranberry Sauce"/>
    <n v="2"/>
    <x v="7"/>
    <n v="40"/>
    <n v="30"/>
    <n v="0"/>
    <n v="1200"/>
    <n v="202.24"/>
  </r>
  <r>
    <n v="11008"/>
    <s v="ERNSH"/>
    <n v="7"/>
    <x v="459"/>
    <s v="King Robert"/>
    <n v="3"/>
    <x v="0"/>
    <s v="60179"/>
    <n v="7"/>
    <n v="2"/>
    <x v="1"/>
    <n v="28"/>
    <s v="Rössle Sauerkraut"/>
    <n v="7"/>
    <x v="1"/>
    <n v="45.6"/>
    <n v="70"/>
    <n v="5.000000074505806E-2"/>
    <n v="3032.3999976217747"/>
    <n v="79.459999999999994"/>
  </r>
  <r>
    <n v="11009"/>
    <s v="GODOS"/>
    <n v="2"/>
    <x v="459"/>
    <s v="Fuller Andrew"/>
    <n v="1"/>
    <x v="1"/>
    <s v="01581"/>
    <n v="2"/>
    <n v="1"/>
    <x v="0"/>
    <n v="24"/>
    <s v="Guaraná Fantástica"/>
    <n v="1"/>
    <x v="5"/>
    <n v="4.5"/>
    <n v="12"/>
    <n v="0"/>
    <n v="54"/>
    <n v="59.11"/>
  </r>
  <r>
    <n v="11010"/>
    <s v="REGGC"/>
    <n v="2"/>
    <x v="460"/>
    <s v="Fuller Andrew"/>
    <n v="2"/>
    <x v="2"/>
    <s v="01581"/>
    <n v="2"/>
    <n v="1"/>
    <x v="0"/>
    <n v="7"/>
    <s v="Uncle Bob's Organic Dried Pears"/>
    <n v="7"/>
    <x v="1"/>
    <n v="30"/>
    <n v="20"/>
    <n v="0"/>
    <n v="600"/>
    <n v="28.71"/>
  </r>
  <r>
    <n v="11011"/>
    <s v="ALFKI"/>
    <n v="3"/>
    <x v="460"/>
    <s v="Leverling Janet"/>
    <n v="1"/>
    <x v="1"/>
    <s v="30346"/>
    <n v="3"/>
    <n v="4"/>
    <x v="2"/>
    <n v="58"/>
    <s v="Escargots de Bourgogne"/>
    <n v="8"/>
    <x v="2"/>
    <n v="13.25"/>
    <n v="40"/>
    <n v="5.000000074505806E-2"/>
    <n v="503.49999960511923"/>
    <n v="1.21"/>
  </r>
  <r>
    <n v="11012"/>
    <s v="FRANK"/>
    <n v="1"/>
    <x v="460"/>
    <s v="Davolio Nancy"/>
    <n v="3"/>
    <x v="0"/>
    <s v="06897"/>
    <n v="1"/>
    <n v="1"/>
    <x v="0"/>
    <n v="19"/>
    <s v="Teatime Chocolate Biscuits"/>
    <n v="3"/>
    <x v="4"/>
    <n v="9.1999999999999993"/>
    <n v="50"/>
    <n v="5.000000074505806E-2"/>
    <n v="436.99999965727324"/>
    <n v="242.95"/>
  </r>
  <r>
    <n v="11013"/>
    <s v="ROMEY"/>
    <n v="2"/>
    <x v="460"/>
    <s v="Fuller Andrew"/>
    <n v="1"/>
    <x v="1"/>
    <s v="01581"/>
    <n v="2"/>
    <n v="1"/>
    <x v="0"/>
    <n v="23"/>
    <s v="Tunnbröd"/>
    <n v="5"/>
    <x v="3"/>
    <n v="9"/>
    <n v="10"/>
    <n v="0"/>
    <n v="90"/>
    <n v="32.99"/>
  </r>
  <r>
    <n v="11014"/>
    <s v="LINOD"/>
    <n v="2"/>
    <x v="461"/>
    <s v="Fuller Andrew"/>
    <n v="3"/>
    <x v="0"/>
    <s v="01581"/>
    <n v="2"/>
    <n v="1"/>
    <x v="0"/>
    <n v="41"/>
    <s v="Jack's New England Clam Chowder"/>
    <n v="8"/>
    <x v="2"/>
    <n v="9.65"/>
    <n v="28"/>
    <n v="0.10000000149011612"/>
    <n v="243.17999959737062"/>
    <n v="23.6"/>
  </r>
  <r>
    <n v="11015"/>
    <s v="SANTG"/>
    <n v="2"/>
    <x v="461"/>
    <s v="Fuller Andrew"/>
    <n v="2"/>
    <x v="2"/>
    <s v="01581"/>
    <n v="2"/>
    <n v="1"/>
    <x v="0"/>
    <n v="30"/>
    <s v="Nord-Ost Matjeshering"/>
    <n v="8"/>
    <x v="2"/>
    <n v="25.89"/>
    <n v="15"/>
    <n v="0"/>
    <n v="388.35"/>
    <n v="4.62"/>
  </r>
  <r>
    <n v="11016"/>
    <s v="AROUT"/>
    <n v="9"/>
    <x v="461"/>
    <s v="Dodsworth Anne"/>
    <n v="2"/>
    <x v="2"/>
    <s v="03049"/>
    <n v="9"/>
    <n v="3"/>
    <x v="3"/>
    <n v="31"/>
    <s v="Gorgonzola Telino"/>
    <n v="4"/>
    <x v="0"/>
    <n v="12.5"/>
    <n v="15"/>
    <n v="0"/>
    <n v="187.5"/>
    <n v="33.799999999999997"/>
  </r>
  <r>
    <n v="11017"/>
    <s v="ERNSH"/>
    <n v="9"/>
    <x v="462"/>
    <s v="Dodsworth Anne"/>
    <n v="2"/>
    <x v="2"/>
    <s v="03049"/>
    <n v="9"/>
    <n v="3"/>
    <x v="3"/>
    <n v="3"/>
    <s v="Aniseed Syrup"/>
    <n v="2"/>
    <x v="7"/>
    <n v="10"/>
    <n v="25"/>
    <n v="0"/>
    <n v="250"/>
    <n v="754.26"/>
  </r>
  <r>
    <n v="11018"/>
    <s v="LONEP"/>
    <n v="4"/>
    <x v="462"/>
    <s v="Peacock Margaret"/>
    <n v="2"/>
    <x v="2"/>
    <s v="20852"/>
    <n v="4"/>
    <n v="1"/>
    <x v="0"/>
    <n v="12"/>
    <s v="Queso Manchego La Pastora"/>
    <n v="4"/>
    <x v="0"/>
    <n v="38"/>
    <n v="20"/>
    <n v="0"/>
    <n v="760"/>
    <n v="11.65"/>
  </r>
  <r>
    <n v="11019"/>
    <s v="RANCH"/>
    <n v="6"/>
    <x v="462"/>
    <s v="Suyama Michael"/>
    <n v="3"/>
    <x v="0"/>
    <s v="85014"/>
    <n v="6"/>
    <n v="2"/>
    <x v="1"/>
    <n v="46"/>
    <s v="Spegesild"/>
    <n v="8"/>
    <x v="2"/>
    <n v="12"/>
    <n v="3"/>
    <n v="0"/>
    <n v="36"/>
    <n v="3.17"/>
  </r>
  <r>
    <n v="11020"/>
    <s v="OTTIK"/>
    <n v="2"/>
    <x v="463"/>
    <s v="Fuller Andrew"/>
    <n v="2"/>
    <x v="2"/>
    <s v="01581"/>
    <n v="2"/>
    <n v="1"/>
    <x v="0"/>
    <n v="10"/>
    <s v="Ikura"/>
    <n v="8"/>
    <x v="2"/>
    <n v="31"/>
    <n v="24"/>
    <n v="0.15000000596046448"/>
    <n v="632.39999556541443"/>
    <n v="43.3"/>
  </r>
  <r>
    <n v="11021"/>
    <s v="QUICK"/>
    <n v="3"/>
    <x v="463"/>
    <s v="Leverling Janet"/>
    <n v="1"/>
    <x v="1"/>
    <s v="30346"/>
    <n v="3"/>
    <n v="4"/>
    <x v="2"/>
    <n v="2"/>
    <s v="Chang"/>
    <n v="1"/>
    <x v="5"/>
    <n v="19"/>
    <n v="11"/>
    <n v="0.25"/>
    <n v="156.75"/>
    <n v="297.18"/>
  </r>
  <r>
    <n v="11022"/>
    <s v="HANAR"/>
    <n v="9"/>
    <x v="463"/>
    <s v="Dodsworth Anne"/>
    <n v="2"/>
    <x v="2"/>
    <s v="03049"/>
    <n v="9"/>
    <n v="3"/>
    <x v="3"/>
    <n v="19"/>
    <s v="Teatime Chocolate Biscuits"/>
    <n v="3"/>
    <x v="4"/>
    <n v="9.1999999999999993"/>
    <n v="35"/>
    <n v="0"/>
    <n v="322"/>
    <n v="6.27"/>
  </r>
  <r>
    <n v="11023"/>
    <s v="BSBEV"/>
    <n v="1"/>
    <x v="463"/>
    <s v="Davolio Nancy"/>
    <n v="2"/>
    <x v="2"/>
    <s v="06897"/>
    <n v="1"/>
    <n v="1"/>
    <x v="0"/>
    <n v="7"/>
    <s v="Uncle Bob's Organic Dried Pears"/>
    <n v="7"/>
    <x v="1"/>
    <n v="30"/>
    <n v="4"/>
    <n v="0"/>
    <n v="120"/>
    <n v="123.83"/>
  </r>
  <r>
    <n v="11024"/>
    <s v="EASTC"/>
    <n v="4"/>
    <x v="464"/>
    <s v="Peacock Margaret"/>
    <n v="1"/>
    <x v="1"/>
    <s v="20852"/>
    <n v="4"/>
    <n v="1"/>
    <x v="0"/>
    <n v="26"/>
    <s v="Gumbär Gummibärchen"/>
    <n v="3"/>
    <x v="4"/>
    <n v="31.23"/>
    <n v="12"/>
    <n v="0"/>
    <n v="374.76"/>
    <n v="74.36"/>
  </r>
  <r>
    <n v="11025"/>
    <s v="WARTH"/>
    <n v="6"/>
    <x v="464"/>
    <s v="Suyama Michael"/>
    <n v="3"/>
    <x v="0"/>
    <s v="85014"/>
    <n v="6"/>
    <n v="2"/>
    <x v="1"/>
    <n v="1"/>
    <s v="Chai"/>
    <n v="1"/>
    <x v="5"/>
    <n v="18"/>
    <n v="10"/>
    <n v="0.10000000149011612"/>
    <n v="161.9999997317791"/>
    <n v="29.17"/>
  </r>
  <r>
    <n v="11026"/>
    <s v="FRANS"/>
    <n v="4"/>
    <x v="464"/>
    <s v="Peacock Margaret"/>
    <n v="1"/>
    <x v="1"/>
    <s v="20852"/>
    <n v="4"/>
    <n v="1"/>
    <x v="0"/>
    <n v="18"/>
    <s v="Carnarvon Tigers"/>
    <n v="8"/>
    <x v="2"/>
    <n v="62.5"/>
    <n v="8"/>
    <n v="0"/>
    <n v="500"/>
    <n v="47.09"/>
  </r>
  <r>
    <n v="11027"/>
    <s v="BOTTM"/>
    <n v="1"/>
    <x v="465"/>
    <s v="Davolio Nancy"/>
    <n v="1"/>
    <x v="1"/>
    <s v="06897"/>
    <n v="1"/>
    <n v="1"/>
    <x v="0"/>
    <n v="24"/>
    <s v="Guaraná Fantástica"/>
    <n v="1"/>
    <x v="5"/>
    <n v="4.5"/>
    <n v="30"/>
    <n v="0.25"/>
    <n v="101.25"/>
    <n v="52.52"/>
  </r>
  <r>
    <n v="11028"/>
    <s v="KOENE"/>
    <n v="2"/>
    <x v="465"/>
    <s v="Fuller Andrew"/>
    <n v="1"/>
    <x v="1"/>
    <s v="01581"/>
    <n v="2"/>
    <n v="1"/>
    <x v="0"/>
    <n v="55"/>
    <s v="Pâté chinois"/>
    <n v="6"/>
    <x v="6"/>
    <n v="24"/>
    <n v="35"/>
    <n v="0"/>
    <n v="840"/>
    <n v="29.59"/>
  </r>
  <r>
    <n v="11029"/>
    <s v="CHOPS"/>
    <n v="4"/>
    <x v="465"/>
    <s v="Peacock Margaret"/>
    <n v="1"/>
    <x v="1"/>
    <s v="20852"/>
    <n v="4"/>
    <n v="1"/>
    <x v="0"/>
    <n v="56"/>
    <s v="Gnocchi di nonna Alice"/>
    <n v="5"/>
    <x v="3"/>
    <n v="38"/>
    <n v="20"/>
    <n v="0"/>
    <n v="760"/>
    <n v="47.84"/>
  </r>
  <r>
    <n v="11030"/>
    <s v="SAVEA"/>
    <n v="7"/>
    <x v="466"/>
    <s v="King Robert"/>
    <n v="2"/>
    <x v="2"/>
    <s v="60179"/>
    <n v="7"/>
    <n v="2"/>
    <x v="1"/>
    <n v="2"/>
    <s v="Chang"/>
    <n v="1"/>
    <x v="5"/>
    <n v="19"/>
    <n v="100"/>
    <n v="0.25"/>
    <n v="1425"/>
    <n v="830.75"/>
  </r>
  <r>
    <n v="11031"/>
    <s v="SAVEA"/>
    <n v="6"/>
    <x v="466"/>
    <s v="Suyama Michael"/>
    <n v="2"/>
    <x v="2"/>
    <s v="85014"/>
    <n v="6"/>
    <n v="2"/>
    <x v="1"/>
    <n v="1"/>
    <s v="Chai"/>
    <n v="1"/>
    <x v="5"/>
    <n v="18"/>
    <n v="45"/>
    <n v="0"/>
    <n v="810"/>
    <n v="227.22"/>
  </r>
  <r>
    <n v="11032"/>
    <s v="WHITC"/>
    <n v="2"/>
    <x v="466"/>
    <s v="Fuller Andrew"/>
    <n v="3"/>
    <x v="0"/>
    <s v="01581"/>
    <n v="2"/>
    <n v="1"/>
    <x v="0"/>
    <n v="36"/>
    <s v="Inlagd Sill"/>
    <n v="8"/>
    <x v="2"/>
    <n v="19"/>
    <n v="35"/>
    <n v="0"/>
    <n v="665"/>
    <n v="606.19000000000005"/>
  </r>
  <r>
    <n v="11033"/>
    <s v="RICSU"/>
    <n v="7"/>
    <x v="466"/>
    <s v="King Robert"/>
    <n v="3"/>
    <x v="0"/>
    <s v="60179"/>
    <n v="7"/>
    <n v="2"/>
    <x v="1"/>
    <n v="53"/>
    <s v="Perth Pasties"/>
    <n v="6"/>
    <x v="6"/>
    <n v="32.799999999999997"/>
    <n v="70"/>
    <n v="0.10000000149011612"/>
    <n v="2066.3999965786934"/>
    <n v="84.74"/>
  </r>
  <r>
    <n v="11034"/>
    <s v="OLDWO"/>
    <n v="8"/>
    <x v="467"/>
    <s v="Callahan Laura"/>
    <n v="1"/>
    <x v="1"/>
    <s v="19428"/>
    <n v="8"/>
    <n v="3"/>
    <x v="3"/>
    <n v="21"/>
    <s v="Sir Rodney's Scones"/>
    <n v="3"/>
    <x v="4"/>
    <n v="10"/>
    <n v="15"/>
    <n v="0.10000000149011612"/>
    <n v="134.99999977648258"/>
    <n v="40.32"/>
  </r>
  <r>
    <n v="11035"/>
    <s v="SUPRD"/>
    <n v="2"/>
    <x v="467"/>
    <s v="Fuller Andrew"/>
    <n v="2"/>
    <x v="2"/>
    <s v="01581"/>
    <n v="2"/>
    <n v="1"/>
    <x v="0"/>
    <n v="1"/>
    <s v="Chai"/>
    <n v="1"/>
    <x v="5"/>
    <n v="18"/>
    <n v="10"/>
    <n v="0"/>
    <n v="180"/>
    <n v="0.17"/>
  </r>
  <r>
    <n v="11036"/>
    <s v="DRACD"/>
    <n v="8"/>
    <x v="467"/>
    <s v="Callahan Laura"/>
    <n v="3"/>
    <x v="0"/>
    <s v="19428"/>
    <n v="8"/>
    <n v="3"/>
    <x v="3"/>
    <n v="13"/>
    <s v="Konbu"/>
    <n v="8"/>
    <x v="2"/>
    <n v="6"/>
    <n v="7"/>
    <n v="0"/>
    <n v="42"/>
    <n v="149.47"/>
  </r>
  <r>
    <n v="11037"/>
    <s v="GODOS"/>
    <n v="7"/>
    <x v="468"/>
    <s v="King Robert"/>
    <n v="1"/>
    <x v="1"/>
    <s v="60179"/>
    <n v="7"/>
    <n v="2"/>
    <x v="1"/>
    <n v="70"/>
    <s v="Outback Lager"/>
    <n v="1"/>
    <x v="5"/>
    <n v="15"/>
    <n v="4"/>
    <n v="0"/>
    <n v="60"/>
    <n v="3.2"/>
  </r>
  <r>
    <n v="11038"/>
    <s v="SUPRD"/>
    <n v="1"/>
    <x v="468"/>
    <s v="Davolio Nancy"/>
    <n v="2"/>
    <x v="2"/>
    <s v="06897"/>
    <n v="1"/>
    <n v="1"/>
    <x v="0"/>
    <n v="40"/>
    <s v="Boston Crab Meat"/>
    <n v="8"/>
    <x v="2"/>
    <n v="18.399999999999999"/>
    <n v="5"/>
    <n v="0.20000000298023224"/>
    <n v="73.599999725818634"/>
    <n v="29.59"/>
  </r>
  <r>
    <n v="11039"/>
    <s v="LINOD"/>
    <n v="1"/>
    <x v="468"/>
    <s v="Davolio Nancy"/>
    <n v="2"/>
    <x v="2"/>
    <s v="06897"/>
    <n v="1"/>
    <n v="1"/>
    <x v="0"/>
    <n v="28"/>
    <s v="Rössle Sauerkraut"/>
    <n v="7"/>
    <x v="1"/>
    <n v="45.6"/>
    <n v="20"/>
    <n v="0"/>
    <n v="912"/>
    <n v="65"/>
  </r>
  <r>
    <n v="11040"/>
    <s v="GREAL"/>
    <n v="4"/>
    <x v="469"/>
    <s v="Peacock Margaret"/>
    <n v="3"/>
    <x v="0"/>
    <s v="20852"/>
    <n v="4"/>
    <n v="1"/>
    <x v="0"/>
    <n v="21"/>
    <s v="Sir Rodney's Scones"/>
    <n v="3"/>
    <x v="4"/>
    <n v="10"/>
    <n v="20"/>
    <n v="0"/>
    <n v="200"/>
    <n v="18.84"/>
  </r>
  <r>
    <n v="11041"/>
    <s v="CHOPS"/>
    <n v="3"/>
    <x v="469"/>
    <s v="Leverling Janet"/>
    <n v="2"/>
    <x v="2"/>
    <s v="30346"/>
    <n v="3"/>
    <n v="4"/>
    <x v="2"/>
    <n v="2"/>
    <s v="Chang"/>
    <n v="1"/>
    <x v="5"/>
    <n v="19"/>
    <n v="30"/>
    <n v="0.20000000298023224"/>
    <n v="455.99999830126762"/>
    <n v="48.22"/>
  </r>
  <r>
    <n v="11042"/>
    <s v="COMMI"/>
    <n v="2"/>
    <x v="469"/>
    <s v="Fuller Andrew"/>
    <n v="1"/>
    <x v="1"/>
    <s v="01581"/>
    <n v="2"/>
    <n v="1"/>
    <x v="0"/>
    <n v="44"/>
    <s v="Gula Malacca"/>
    <n v="2"/>
    <x v="7"/>
    <n v="19.45"/>
    <n v="15"/>
    <n v="0"/>
    <n v="291.75"/>
    <n v="29.99"/>
  </r>
  <r>
    <n v="11043"/>
    <s v="SPECD"/>
    <n v="5"/>
    <x v="469"/>
    <s v="Buchanan Steven"/>
    <n v="2"/>
    <x v="2"/>
    <s v="02903"/>
    <n v="5"/>
    <n v="1"/>
    <x v="0"/>
    <n v="11"/>
    <s v="Queso Cabrales"/>
    <n v="4"/>
    <x v="0"/>
    <n v="21"/>
    <n v="10"/>
    <n v="0"/>
    <n v="210"/>
    <n v="8.8000000000000007"/>
  </r>
  <r>
    <n v="11044"/>
    <s v="WOLZA"/>
    <n v="4"/>
    <x v="470"/>
    <s v="Peacock Margaret"/>
    <n v="1"/>
    <x v="1"/>
    <s v="20852"/>
    <n v="4"/>
    <n v="1"/>
    <x v="0"/>
    <n v="62"/>
    <s v="Tarte au sucre"/>
    <n v="3"/>
    <x v="4"/>
    <n v="49.3"/>
    <n v="12"/>
    <n v="0"/>
    <n v="591.59999999999991"/>
    <n v="8.7200000000000006"/>
  </r>
  <r>
    <n v="11045"/>
    <s v="BOTTM"/>
    <n v="6"/>
    <x v="470"/>
    <s v="Suyama Michael"/>
    <n v="2"/>
    <x v="2"/>
    <s v="85014"/>
    <n v="6"/>
    <n v="2"/>
    <x v="1"/>
    <n v="33"/>
    <s v="Geitost"/>
    <n v="4"/>
    <x v="0"/>
    <n v="2.5"/>
    <n v="15"/>
    <n v="0"/>
    <n v="37.5"/>
    <n v="70.58"/>
  </r>
  <r>
    <n v="11046"/>
    <s v="WANDK"/>
    <n v="8"/>
    <x v="470"/>
    <s v="Callahan Laura"/>
    <n v="2"/>
    <x v="2"/>
    <s v="19428"/>
    <n v="8"/>
    <n v="3"/>
    <x v="3"/>
    <n v="12"/>
    <s v="Queso Manchego La Pastora"/>
    <n v="4"/>
    <x v="0"/>
    <n v="38"/>
    <n v="20"/>
    <n v="5.000000074505806E-2"/>
    <n v="721.99999943375587"/>
    <n v="71.64"/>
  </r>
  <r>
    <n v="11047"/>
    <s v="EASTC"/>
    <n v="7"/>
    <x v="471"/>
    <s v="King Robert"/>
    <n v="3"/>
    <x v="0"/>
    <s v="60179"/>
    <n v="7"/>
    <n v="2"/>
    <x v="1"/>
    <n v="1"/>
    <s v="Chai"/>
    <n v="1"/>
    <x v="5"/>
    <n v="18"/>
    <n v="25"/>
    <n v="0.25"/>
    <n v="337.5"/>
    <n v="46.62"/>
  </r>
  <r>
    <n v="11048"/>
    <s v="BOTTM"/>
    <n v="7"/>
    <x v="471"/>
    <s v="King Robert"/>
    <n v="3"/>
    <x v="0"/>
    <s v="60179"/>
    <n v="7"/>
    <n v="2"/>
    <x v="1"/>
    <n v="68"/>
    <s v="Scottish Longbreads"/>
    <n v="3"/>
    <x v="4"/>
    <n v="12.5"/>
    <n v="42"/>
    <n v="0"/>
    <n v="525"/>
    <n v="24.12"/>
  </r>
  <r>
    <n v="11049"/>
    <s v="GOURL"/>
    <n v="3"/>
    <x v="471"/>
    <s v="Leverling Janet"/>
    <n v="1"/>
    <x v="1"/>
    <s v="30346"/>
    <n v="3"/>
    <n v="4"/>
    <x v="2"/>
    <n v="2"/>
    <s v="Chang"/>
    <n v="1"/>
    <x v="5"/>
    <n v="19"/>
    <n v="10"/>
    <n v="0.20000000298023224"/>
    <n v="151.99999943375587"/>
    <n v="8.34"/>
  </r>
  <r>
    <n v="11050"/>
    <s v="FOLKO"/>
    <n v="8"/>
    <x v="472"/>
    <s v="Callahan Laura"/>
    <n v="2"/>
    <x v="2"/>
    <s v="19428"/>
    <n v="8"/>
    <n v="3"/>
    <x v="3"/>
    <n v="76"/>
    <s v="Lakkalikööri"/>
    <n v="1"/>
    <x v="5"/>
    <n v="18"/>
    <n v="50"/>
    <n v="0.10000000149011612"/>
    <n v="809.99999865889549"/>
    <n v="59.41"/>
  </r>
  <r>
    <n v="11051"/>
    <s v="LAMAI"/>
    <n v="7"/>
    <x v="472"/>
    <s v="King Robert"/>
    <n v="3"/>
    <x v="0"/>
    <s v="60179"/>
    <n v="7"/>
    <n v="2"/>
    <x v="1"/>
    <n v="24"/>
    <s v="Guaraná Fantástica"/>
    <n v="1"/>
    <x v="5"/>
    <n v="4.5"/>
    <n v="10"/>
    <n v="0.20000000298023224"/>
    <n v="35.999999865889549"/>
    <n v="2.79"/>
  </r>
  <r>
    <n v="11052"/>
    <s v="HANAR"/>
    <n v="3"/>
    <x v="472"/>
    <s v="Leverling Janet"/>
    <n v="1"/>
    <x v="1"/>
    <s v="30346"/>
    <n v="3"/>
    <n v="4"/>
    <x v="2"/>
    <n v="43"/>
    <s v="Ipoh Coffee"/>
    <n v="1"/>
    <x v="5"/>
    <n v="46"/>
    <n v="30"/>
    <n v="0.20000000298023224"/>
    <n v="1103.9999958872795"/>
    <n v="67.260000000000005"/>
  </r>
  <r>
    <n v="11053"/>
    <s v="PICCO"/>
    <n v="2"/>
    <x v="472"/>
    <s v="Fuller Andrew"/>
    <n v="2"/>
    <x v="2"/>
    <s v="01581"/>
    <n v="2"/>
    <n v="1"/>
    <x v="0"/>
    <n v="18"/>
    <s v="Carnarvon Tigers"/>
    <n v="8"/>
    <x v="2"/>
    <n v="62.5"/>
    <n v="35"/>
    <n v="0.20000000298023224"/>
    <n v="1749.999993480742"/>
    <n v="53.05"/>
  </r>
  <r>
    <n v="11054"/>
    <s v="CACTU"/>
    <n v="8"/>
    <x v="473"/>
    <s v="Callahan Laura"/>
    <n v="1"/>
    <x v="1"/>
    <s v="19428"/>
    <n v="8"/>
    <n v="3"/>
    <x v="3"/>
    <n v="33"/>
    <s v="Geitost"/>
    <n v="4"/>
    <x v="0"/>
    <n v="2.5"/>
    <n v="10"/>
    <n v="0"/>
    <n v="25"/>
    <n v="0.33"/>
  </r>
  <r>
    <n v="11055"/>
    <s v="HILAA"/>
    <n v="7"/>
    <x v="473"/>
    <s v="King Robert"/>
    <n v="2"/>
    <x v="2"/>
    <s v="60179"/>
    <n v="7"/>
    <n v="2"/>
    <x v="1"/>
    <n v="24"/>
    <s v="Guaraná Fantástica"/>
    <n v="1"/>
    <x v="5"/>
    <n v="4.5"/>
    <n v="15"/>
    <n v="0"/>
    <n v="67.5"/>
    <n v="120.92"/>
  </r>
  <r>
    <n v="11056"/>
    <s v="EASTC"/>
    <n v="8"/>
    <x v="473"/>
    <s v="Callahan Laura"/>
    <n v="2"/>
    <x v="2"/>
    <s v="19428"/>
    <n v="8"/>
    <n v="3"/>
    <x v="3"/>
    <n v="7"/>
    <s v="Uncle Bob's Organic Dried Pears"/>
    <n v="7"/>
    <x v="1"/>
    <n v="30"/>
    <n v="40"/>
    <n v="0"/>
    <n v="1200"/>
    <n v="278.95999999999998"/>
  </r>
  <r>
    <n v="11057"/>
    <s v="NORTS"/>
    <n v="3"/>
    <x v="474"/>
    <s v="Leverling Janet"/>
    <n v="3"/>
    <x v="0"/>
    <s v="30346"/>
    <n v="3"/>
    <n v="4"/>
    <x v="2"/>
    <n v="70"/>
    <s v="Outback Lager"/>
    <n v="1"/>
    <x v="5"/>
    <n v="15"/>
    <n v="3"/>
    <n v="0"/>
    <n v="45"/>
    <n v="4.13"/>
  </r>
  <r>
    <n v="11058"/>
    <s v="BLAUS"/>
    <n v="9"/>
    <x v="474"/>
    <s v="Dodsworth Anne"/>
    <n v="3"/>
    <x v="0"/>
    <s v="03049"/>
    <n v="9"/>
    <n v="3"/>
    <x v="3"/>
    <n v="21"/>
    <s v="Sir Rodney's Scones"/>
    <n v="3"/>
    <x v="4"/>
    <n v="10"/>
    <n v="3"/>
    <n v="0"/>
    <n v="30"/>
    <n v="31.14"/>
  </r>
  <r>
    <n v="11059"/>
    <s v="RICAR"/>
    <n v="2"/>
    <x v="474"/>
    <s v="Fuller Andrew"/>
    <n v="2"/>
    <x v="2"/>
    <s v="01581"/>
    <n v="2"/>
    <n v="1"/>
    <x v="0"/>
    <n v="13"/>
    <s v="Konbu"/>
    <n v="8"/>
    <x v="2"/>
    <n v="6"/>
    <n v="30"/>
    <n v="0"/>
    <n v="180"/>
    <n v="85.8"/>
  </r>
  <r>
    <n v="11060"/>
    <s v="FRANS"/>
    <n v="2"/>
    <x v="475"/>
    <s v="Fuller Andrew"/>
    <n v="2"/>
    <x v="2"/>
    <s v="01581"/>
    <n v="2"/>
    <n v="1"/>
    <x v="0"/>
    <n v="60"/>
    <s v="Camembert Pierrot"/>
    <n v="4"/>
    <x v="0"/>
    <n v="34"/>
    <n v="4"/>
    <n v="0"/>
    <n v="136"/>
    <n v="10.98"/>
  </r>
  <r>
    <n v="11061"/>
    <s v="GREAL"/>
    <n v="4"/>
    <x v="475"/>
    <s v="Peacock Margaret"/>
    <n v="3"/>
    <x v="0"/>
    <s v="20852"/>
    <n v="4"/>
    <n v="1"/>
    <x v="0"/>
    <n v="60"/>
    <s v="Camembert Pierrot"/>
    <n v="4"/>
    <x v="0"/>
    <n v="34"/>
    <n v="15"/>
    <n v="0"/>
    <n v="510"/>
    <n v="14.01"/>
  </r>
  <r>
    <n v="11062"/>
    <s v="REGGC"/>
    <n v="4"/>
    <x v="475"/>
    <s v="Peacock Margaret"/>
    <n v="2"/>
    <x v="2"/>
    <s v="20852"/>
    <n v="4"/>
    <n v="1"/>
    <x v="0"/>
    <n v="53"/>
    <s v="Perth Pasties"/>
    <n v="6"/>
    <x v="6"/>
    <n v="32.799999999999997"/>
    <n v="10"/>
    <n v="0.20000000298023224"/>
    <n v="262.39999902248383"/>
    <n v="29.93"/>
  </r>
  <r>
    <n v="11063"/>
    <s v="HUNGO"/>
    <n v="3"/>
    <x v="475"/>
    <s v="Leverling Janet"/>
    <n v="2"/>
    <x v="2"/>
    <s v="30346"/>
    <n v="3"/>
    <n v="4"/>
    <x v="2"/>
    <n v="34"/>
    <s v="Sasquatch Ale"/>
    <n v="1"/>
    <x v="5"/>
    <n v="14"/>
    <n v="30"/>
    <n v="0"/>
    <n v="420"/>
    <n v="81.73"/>
  </r>
  <r>
    <n v="11064"/>
    <s v="SAVEA"/>
    <n v="1"/>
    <x v="476"/>
    <s v="Davolio Nancy"/>
    <n v="1"/>
    <x v="1"/>
    <s v="06897"/>
    <n v="1"/>
    <n v="1"/>
    <x v="0"/>
    <n v="17"/>
    <s v="Alice Mutton"/>
    <n v="6"/>
    <x v="6"/>
    <n v="39"/>
    <n v="77"/>
    <n v="0.10000000149011612"/>
    <n v="2702.6999955251813"/>
    <n v="30.09"/>
  </r>
  <r>
    <n v="11065"/>
    <s v="LILAS"/>
    <n v="8"/>
    <x v="476"/>
    <s v="Callahan Laura"/>
    <n v="1"/>
    <x v="1"/>
    <s v="19428"/>
    <n v="8"/>
    <n v="3"/>
    <x v="3"/>
    <n v="30"/>
    <s v="Nord-Ost Matjeshering"/>
    <n v="8"/>
    <x v="2"/>
    <n v="25.89"/>
    <n v="4"/>
    <n v="0.25"/>
    <n v="77.67"/>
    <n v="12.91"/>
  </r>
  <r>
    <n v="11066"/>
    <s v="WHITC"/>
    <n v="7"/>
    <x v="476"/>
    <s v="King Robert"/>
    <n v="2"/>
    <x v="2"/>
    <s v="60179"/>
    <n v="7"/>
    <n v="2"/>
    <x v="1"/>
    <n v="16"/>
    <s v="Pavlova"/>
    <n v="3"/>
    <x v="4"/>
    <n v="17.45"/>
    <n v="3"/>
    <n v="0"/>
    <n v="52.349999999999994"/>
    <n v="44.72"/>
  </r>
  <r>
    <n v="11067"/>
    <s v="DRACD"/>
    <n v="1"/>
    <x v="477"/>
    <s v="Davolio Nancy"/>
    <n v="2"/>
    <x v="2"/>
    <s v="06897"/>
    <n v="1"/>
    <n v="1"/>
    <x v="0"/>
    <n v="41"/>
    <s v="Jack's New England Clam Chowder"/>
    <n v="8"/>
    <x v="2"/>
    <n v="9.65"/>
    <n v="9"/>
    <n v="0"/>
    <n v="86.850000000000009"/>
    <n v="7.98"/>
  </r>
  <r>
    <n v="11068"/>
    <s v="QUEEN"/>
    <n v="8"/>
    <x v="477"/>
    <s v="Callahan Laura"/>
    <n v="2"/>
    <x v="2"/>
    <s v="19428"/>
    <n v="8"/>
    <n v="3"/>
    <x v="3"/>
    <n v="28"/>
    <s v="Rössle Sauerkraut"/>
    <n v="7"/>
    <x v="1"/>
    <n v="45.6"/>
    <n v="8"/>
    <n v="0.15000000596046448"/>
    <n v="310.07999782562257"/>
    <n v="81.75"/>
  </r>
  <r>
    <n v="11069"/>
    <s v="TORTU"/>
    <n v="1"/>
    <x v="477"/>
    <s v="Davolio Nancy"/>
    <n v="2"/>
    <x v="2"/>
    <s v="06897"/>
    <n v="1"/>
    <n v="1"/>
    <x v="0"/>
    <n v="39"/>
    <s v="Chartreuse verte"/>
    <n v="1"/>
    <x v="5"/>
    <n v="18"/>
    <n v="20"/>
    <n v="0"/>
    <n v="360"/>
    <n v="15.67"/>
  </r>
  <r>
    <n v="11070"/>
    <s v="LEHMS"/>
    <n v="2"/>
    <x v="478"/>
    <s v="Fuller Andrew"/>
    <n v="1"/>
    <x v="1"/>
    <s v="01581"/>
    <n v="2"/>
    <n v="1"/>
    <x v="0"/>
    <n v="1"/>
    <s v="Chai"/>
    <n v="1"/>
    <x v="5"/>
    <n v="18"/>
    <n v="40"/>
    <n v="0.15000000596046448"/>
    <n v="611.99999570846558"/>
    <n v="136"/>
  </r>
  <r>
    <n v="11071"/>
    <s v="LILAS"/>
    <n v="1"/>
    <x v="478"/>
    <s v="Davolio Nancy"/>
    <n v="1"/>
    <x v="1"/>
    <s v="06897"/>
    <n v="1"/>
    <n v="1"/>
    <x v="0"/>
    <n v="7"/>
    <s v="Uncle Bob's Organic Dried Pears"/>
    <n v="7"/>
    <x v="1"/>
    <n v="30"/>
    <n v="15"/>
    <n v="5.000000074505806E-2"/>
    <n v="427.49999966472387"/>
    <n v="0.93"/>
  </r>
  <r>
    <n v="11072"/>
    <s v="ERNSH"/>
    <n v="4"/>
    <x v="478"/>
    <s v="Peacock Margaret"/>
    <n v="2"/>
    <x v="2"/>
    <s v="20852"/>
    <n v="4"/>
    <n v="1"/>
    <x v="0"/>
    <n v="2"/>
    <s v="Chang"/>
    <n v="1"/>
    <x v="5"/>
    <n v="19"/>
    <n v="8"/>
    <n v="0"/>
    <n v="152"/>
    <n v="258.64"/>
  </r>
  <r>
    <n v="11073"/>
    <s v="PERIC"/>
    <n v="2"/>
    <x v="478"/>
    <s v="Fuller Andrew"/>
    <n v="2"/>
    <x v="2"/>
    <s v="01581"/>
    <n v="2"/>
    <n v="1"/>
    <x v="0"/>
    <n v="11"/>
    <s v="Queso Cabrales"/>
    <n v="4"/>
    <x v="0"/>
    <n v="21"/>
    <n v="10"/>
    <n v="0"/>
    <n v="210"/>
    <n v="24.95"/>
  </r>
  <r>
    <n v="11074"/>
    <s v="SIMOB"/>
    <n v="7"/>
    <x v="479"/>
    <s v="King Robert"/>
    <n v="2"/>
    <x v="2"/>
    <s v="60179"/>
    <n v="7"/>
    <n v="2"/>
    <x v="1"/>
    <n v="16"/>
    <s v="Pavlova"/>
    <n v="3"/>
    <x v="4"/>
    <n v="17.45"/>
    <n v="14"/>
    <n v="5.000000074505806E-2"/>
    <n v="232.08499981798229"/>
    <n v="18.440000000000001"/>
  </r>
  <r>
    <n v="11075"/>
    <s v="RICSU"/>
    <n v="8"/>
    <x v="479"/>
    <s v="Callahan Laura"/>
    <n v="2"/>
    <x v="2"/>
    <s v="19428"/>
    <n v="8"/>
    <n v="3"/>
    <x v="3"/>
    <n v="2"/>
    <s v="Chang"/>
    <n v="1"/>
    <x v="5"/>
    <n v="19"/>
    <n v="10"/>
    <n v="0.15000000596046448"/>
    <n v="161.49999886751175"/>
    <n v="6.19"/>
  </r>
  <r>
    <n v="11076"/>
    <s v="BONAP"/>
    <n v="4"/>
    <x v="479"/>
    <s v="Peacock Margaret"/>
    <n v="2"/>
    <x v="2"/>
    <s v="20852"/>
    <n v="4"/>
    <n v="1"/>
    <x v="0"/>
    <n v="6"/>
    <s v="Grandma's Boysenberry Spread"/>
    <n v="2"/>
    <x v="7"/>
    <n v="25"/>
    <n v="20"/>
    <n v="0.25"/>
    <n v="375"/>
    <n v="38.28"/>
  </r>
  <r>
    <n v="11077"/>
    <s v="RATTC"/>
    <n v="1"/>
    <x v="479"/>
    <s v="Davolio Nancy"/>
    <n v="2"/>
    <x v="2"/>
    <s v="06897"/>
    <n v="1"/>
    <n v="1"/>
    <x v="0"/>
    <n v="2"/>
    <s v="Chang"/>
    <n v="1"/>
    <x v="5"/>
    <n v="19"/>
    <n v="24"/>
    <n v="0.20000000298023224"/>
    <n v="364.7999986410141"/>
    <n v="8.52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E6B1C1-CEEC-44EE-9CFA-14A62FC1B75E}" name="PivotTable1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 rowHeaderCaption="Month">
  <location ref="L1:M13" firstHeaderRow="1" firstDataRow="1" firstDataCol="1"/>
  <pivotFields count="23">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dataField="1" numFmtId="164"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0"/>
  </rowFields>
  <rowItems count="12">
    <i>
      <x v="1"/>
    </i>
    <i>
      <x v="2"/>
    </i>
    <i>
      <x v="3"/>
    </i>
    <i>
      <x v="4"/>
    </i>
    <i>
      <x v="5"/>
    </i>
    <i>
      <x v="6"/>
    </i>
    <i>
      <x v="7"/>
    </i>
    <i>
      <x v="8"/>
    </i>
    <i>
      <x v="9"/>
    </i>
    <i>
      <x v="10"/>
    </i>
    <i>
      <x v="11"/>
    </i>
    <i>
      <x v="12"/>
    </i>
  </rowItems>
  <colItems count="1">
    <i/>
  </colItems>
  <dataFields count="1">
    <dataField name="Sum of Sale" fld="18"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62F9D4-7D4D-4A80-81AC-4813CE22AD83}" name="PivotTable1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G14:H18" firstHeaderRow="1" firstDataRow="1" firstDataCol="1"/>
  <pivotFields count="23">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pivotField showAll="0"/>
    <pivotField showAll="0"/>
    <pivotField showAll="0"/>
    <pivotField showAll="0"/>
    <pivotField axis="axisRow" showAll="0"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showAll="0"/>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v="1"/>
    </i>
    <i>
      <x v="3"/>
    </i>
    <i>
      <x v="2"/>
    </i>
    <i>
      <x/>
    </i>
  </rowItems>
  <colItems count="1">
    <i/>
  </colItems>
  <dataFields count="1">
    <dataField name="Average of Sale" fld="18" subtotal="average" baseField="1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F06F9-C7A8-40C3-890F-CBF8D7B8E202}" name="PivotTable1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
  <location ref="G1:H4" firstHeaderRow="1" firstDataRow="1" firstDataCol="1"/>
  <pivotFields count="23">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showAll="0"/>
    <pivotField showAll="0"/>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v="1"/>
    </i>
    <i>
      <x/>
    </i>
    <i>
      <x v="2"/>
    </i>
  </rowItems>
  <colItems count="1">
    <i/>
  </colItems>
  <dataFields count="1">
    <dataField name="Sum of Sale" fld="18" baseField="0" baseItem="0" numFmtId="164"/>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8C2245-11CB-4CB4-AD16-63CF7290C8CC}" name="PivotTable1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D9:E17" firstHeaderRow="1" firstDataRow="1" firstDataCol="1"/>
  <pivotFields count="23">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pivotField showAll="0"/>
    <pivotField showAll="0"/>
    <pivotField showAll="0"/>
    <pivotField showAll="0"/>
    <pivotField showAll="0"/>
    <pivotField showAll="0"/>
    <pivotField showAll="0"/>
    <pivotField showAll="0"/>
    <pivotField axis="axisRow" showAll="0" sortType="ascending">
      <items count="9">
        <item x="5"/>
        <item x="7"/>
        <item x="4"/>
        <item x="0"/>
        <item x="3"/>
        <item x="6"/>
        <item x="1"/>
        <item x="2"/>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8">
    <i>
      <x v="4"/>
    </i>
    <i>
      <x v="1"/>
    </i>
    <i>
      <x v="6"/>
    </i>
    <i>
      <x v="3"/>
    </i>
    <i>
      <x v="7"/>
    </i>
    <i>
      <x v="2"/>
    </i>
    <i>
      <x v="5"/>
    </i>
    <i>
      <x/>
    </i>
  </rowItems>
  <colItems count="1">
    <i/>
  </colItems>
  <dataFields count="1">
    <dataField name="Sum of Sale" fld="18" baseField="0" baseItem="0" numFmtId="164"/>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7DCEE0-B0BA-4903-8689-B887F3BFF3F7}"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18" firstHeaderRow="1" firstDataRow="1" firstDataCol="0"/>
  <pivotFields count="23">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97459266-15EF-4DDA-978A-0517B77EAF46}" sourceName="OrderDate">
  <pivotTables>
    <pivotTable tabId="7" name="PivotTable11"/>
    <pivotTable tabId="7" name="PivotTable12"/>
    <pivotTable tabId="7" name="PivotTable13"/>
    <pivotTable tabId="7" name="PivotTable14"/>
    <pivotTable tabId="7" name="PivotTable15"/>
  </pivotTables>
  <state minimalRefreshVersion="6" lastRefreshVersion="6" pivotCacheId="110269740" filterType="unknown">
    <bounds startDate="1996-01-01T00:00:00" endDate="200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B58586F8-EDE9-49B4-895C-36A16049381F}" cache="NativeTimeline_OrderDate" caption="OrderYear" showSelectionLabel="0" showTimeLevel="0" showHorizontalScrollbar="0" level="0" selectionLevel="0" scrollPosition="1996-01-01T00:00:00" style="TimeSlicerStyleDark4"/>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AAB4D-871D-4FE6-998C-163BEAD1BDD5}">
  <dimension ref="A1:T831"/>
  <sheetViews>
    <sheetView workbookViewId="0">
      <pane ySplit="1" topLeftCell="A2" activePane="bottomLeft" state="frozen"/>
      <selection activeCell="D1" sqref="D1"/>
      <selection pane="bottomLeft"/>
    </sheetView>
  </sheetViews>
  <sheetFormatPr defaultRowHeight="14.4" x14ac:dyDescent="0.3"/>
  <cols>
    <col min="1" max="1" width="7.5546875" bestFit="1" customWidth="1"/>
    <col min="2" max="2" width="10.88671875" bestFit="1" customWidth="1"/>
    <col min="3" max="3" width="11.109375" bestFit="1" customWidth="1"/>
    <col min="4" max="4" width="10.33203125" bestFit="1" customWidth="1"/>
    <col min="5" max="5" width="15.88671875" bestFit="1" customWidth="1"/>
    <col min="6" max="6" width="7.6640625" bestFit="1" customWidth="1"/>
    <col min="7" max="7" width="14.21875" bestFit="1" customWidth="1"/>
    <col min="8" max="8" width="19.77734375" bestFit="1" customWidth="1"/>
    <col min="9" max="9" width="11.109375" bestFit="1" customWidth="1"/>
    <col min="10" max="10" width="8.5546875" bestFit="1" customWidth="1"/>
    <col min="11" max="11" width="16.77734375" bestFit="1" customWidth="1"/>
    <col min="12" max="12" width="9.44140625" bestFit="1" customWidth="1"/>
    <col min="13" max="13" width="29.5546875" bestFit="1" customWidth="1"/>
    <col min="14" max="14" width="10.33203125" bestFit="1" customWidth="1"/>
    <col min="15" max="15" width="13.6640625" bestFit="1" customWidth="1"/>
    <col min="16" max="16" width="8.88671875" style="6"/>
    <col min="18" max="18" width="10.44140625" bestFit="1" customWidth="1"/>
    <col min="19" max="20" width="9.44140625" bestFit="1" customWidth="1"/>
  </cols>
  <sheetData>
    <row r="1" spans="1:20" x14ac:dyDescent="0.3">
      <c r="A1" s="1" t="s">
        <v>0</v>
      </c>
      <c r="B1" s="1" t="s">
        <v>1</v>
      </c>
      <c r="C1" s="1" t="s">
        <v>2</v>
      </c>
      <c r="D1" s="1" t="s">
        <v>3</v>
      </c>
      <c r="E1" s="1" t="s">
        <v>119</v>
      </c>
      <c r="F1" s="1" t="s">
        <v>120</v>
      </c>
      <c r="G1" s="4" t="s">
        <v>93</v>
      </c>
      <c r="H1" s="19" t="s">
        <v>121</v>
      </c>
      <c r="I1" s="5" t="s">
        <v>2</v>
      </c>
      <c r="J1" s="5" t="s">
        <v>94</v>
      </c>
      <c r="K1" s="5" t="s">
        <v>95</v>
      </c>
      <c r="L1" s="5" t="s">
        <v>122</v>
      </c>
      <c r="M1" s="5" t="s">
        <v>96</v>
      </c>
      <c r="N1" s="5" t="s">
        <v>97</v>
      </c>
      <c r="O1" s="5" t="s">
        <v>98</v>
      </c>
      <c r="P1" s="20" t="s">
        <v>123</v>
      </c>
      <c r="Q1" s="5" t="s">
        <v>99</v>
      </c>
      <c r="R1" s="7" t="s">
        <v>100</v>
      </c>
      <c r="S1" s="5" t="s">
        <v>101</v>
      </c>
      <c r="T1" s="5" t="s">
        <v>102</v>
      </c>
    </row>
    <row r="2" spans="1:20" x14ac:dyDescent="0.3">
      <c r="A2" s="2">
        <v>10248</v>
      </c>
      <c r="B2" s="2" t="s">
        <v>4</v>
      </c>
      <c r="C2" s="2">
        <v>5</v>
      </c>
      <c r="D2" s="3">
        <v>35250</v>
      </c>
      <c r="E2" t="str">
        <f>VLOOKUP(C2,[1]Employees!$A$1:$O$10,4,FALSE)</f>
        <v>Buchanan Steven</v>
      </c>
      <c r="F2">
        <f>VLOOKUP(A2,[1]!Orders,7,FALSE)</f>
        <v>3</v>
      </c>
      <c r="G2" t="str">
        <f>VLOOKUP(F2,[1]!Shippers,2,FALSE)</f>
        <v>Federal Shipping</v>
      </c>
      <c r="H2" t="str">
        <f>VLOOKUP(C2,[1]EmployeeTerritories!$A$1:$B$50,2,FALSE)</f>
        <v>02903</v>
      </c>
      <c r="I2">
        <f>VLOOKUP(C2,[1]EmployeeTerritories!$A$1:$B$50,1,FALSE)</f>
        <v>5</v>
      </c>
      <c r="J2">
        <f>VLOOKUP(H2,[1]!Territories,3,FALSE)</f>
        <v>1</v>
      </c>
      <c r="K2" t="str">
        <f>VLOOKUP(J2,[1]!Region,2,FALSE)</f>
        <v>Eastern</v>
      </c>
      <c r="L2">
        <f>VLOOKUP(A2,[1]Order_Details!$A$1:$F$2156,2,FALSE)</f>
        <v>11</v>
      </c>
      <c r="M2" t="str">
        <f>VLOOKUP(L2,[1]!Products,2,FALSE)</f>
        <v>Queso Cabrales</v>
      </c>
      <c r="N2">
        <f>VLOOKUP(L2,[1]!Products,4,FALSE)</f>
        <v>4</v>
      </c>
      <c r="O2" s="6" t="str">
        <f>VLOOKUP(N2,[1]!Categories,2,FALSE)</f>
        <v>Dairy Products</v>
      </c>
      <c r="P2" s="6">
        <f>VLOOKUP(A2,[1]Order_Details!$A$1:$F$2156,3,FALSE)</f>
        <v>14</v>
      </c>
      <c r="Q2">
        <f>VLOOKUP(A2,[1]Order_Details!$A$1:$F$2156,4,FALSE)</f>
        <v>12</v>
      </c>
      <c r="R2">
        <f>VLOOKUP(A2,[1]Order_Details!$A$1:$F$2156,5,FALSE)</f>
        <v>0</v>
      </c>
      <c r="S2" s="6">
        <f>VLOOKUP(A2,[1]Order_Details!$A$1:$F$2156,6,FALSE)</f>
        <v>168</v>
      </c>
      <c r="T2" s="6">
        <f>VLOOKUP(A2,[1]!Orders,8,FALSE)</f>
        <v>32.380000000000003</v>
      </c>
    </row>
    <row r="3" spans="1:20" x14ac:dyDescent="0.3">
      <c r="A3" s="2">
        <v>10249</v>
      </c>
      <c r="B3" s="2" t="s">
        <v>5</v>
      </c>
      <c r="C3" s="2">
        <v>6</v>
      </c>
      <c r="D3" s="3">
        <v>35251</v>
      </c>
      <c r="E3" t="str">
        <f>VLOOKUP(C3,[1]Employees!$A$1:$O$10,4,FALSE)</f>
        <v>Suyama Michael</v>
      </c>
      <c r="F3">
        <f>VLOOKUP(A3,[1]!Orders,7,FALSE)</f>
        <v>1</v>
      </c>
      <c r="G3" t="str">
        <f>VLOOKUP(F3,[1]!Shippers,2,FALSE)</f>
        <v>Speedy Express</v>
      </c>
      <c r="H3" t="str">
        <f>VLOOKUP(C3,[1]EmployeeTerritories!$A$1:$B$50,2,FALSE)</f>
        <v>85014</v>
      </c>
      <c r="I3">
        <f>VLOOKUP(C3,[1]EmployeeTerritories!$A$1:$B$50,1,FALSE)</f>
        <v>6</v>
      </c>
      <c r="J3">
        <f>VLOOKUP(H3,[1]!Territories,3,FALSE)</f>
        <v>2</v>
      </c>
      <c r="K3" t="str">
        <f>VLOOKUP(J3,[1]!Region,2,FALSE)</f>
        <v>Western</v>
      </c>
      <c r="L3">
        <f>VLOOKUP(A3,[1]Order_Details!$A$1:$F$2156,2,FALSE)</f>
        <v>14</v>
      </c>
      <c r="M3" t="str">
        <f>VLOOKUP(L3,[1]!Products,2,FALSE)</f>
        <v>Tofu</v>
      </c>
      <c r="N3">
        <f>VLOOKUP(L3,[1]!Products,4,FALSE)</f>
        <v>7</v>
      </c>
      <c r="O3" s="6" t="str">
        <f>VLOOKUP(N3,[1]!Categories,2,FALSE)</f>
        <v>Produce</v>
      </c>
      <c r="P3" s="6">
        <f>VLOOKUP(A3,[1]Order_Details!$A$1:$F$2156,3,FALSE)</f>
        <v>18.600000000000001</v>
      </c>
      <c r="Q3">
        <f>VLOOKUP(A3,[1]Order_Details!$A$1:$F$2156,4,FALSE)</f>
        <v>9</v>
      </c>
      <c r="R3">
        <f>VLOOKUP(A3,[1]Order_Details!$A$1:$F$2156,5,FALSE)</f>
        <v>0</v>
      </c>
      <c r="S3" s="6">
        <f>VLOOKUP(A3,[1]Order_Details!$A$1:$F$2156,6,FALSE)</f>
        <v>167.4</v>
      </c>
      <c r="T3" s="6">
        <f>VLOOKUP(A3,[1]!Orders,8,FALSE)</f>
        <v>11.61</v>
      </c>
    </row>
    <row r="4" spans="1:20" x14ac:dyDescent="0.3">
      <c r="A4" s="2">
        <v>10250</v>
      </c>
      <c r="B4" s="2" t="s">
        <v>6</v>
      </c>
      <c r="C4" s="2">
        <v>4</v>
      </c>
      <c r="D4" s="3">
        <v>35254</v>
      </c>
      <c r="E4" t="str">
        <f>VLOOKUP(C4,[1]Employees!$A$1:$O$10,4,FALSE)</f>
        <v>Peacock Margaret</v>
      </c>
      <c r="F4">
        <f>VLOOKUP(A4,[1]!Orders,7,FALSE)</f>
        <v>2</v>
      </c>
      <c r="G4" t="str">
        <f>VLOOKUP(F4,[1]!Shippers,2,FALSE)</f>
        <v>United Package</v>
      </c>
      <c r="H4" t="str">
        <f>VLOOKUP(C4,[1]EmployeeTerritories!$A$1:$B$50,2,FALSE)</f>
        <v>20852</v>
      </c>
      <c r="I4">
        <f>VLOOKUP(C4,[1]EmployeeTerritories!$A$1:$B$50,1,FALSE)</f>
        <v>4</v>
      </c>
      <c r="J4">
        <f>VLOOKUP(H4,[1]!Territories,3,FALSE)</f>
        <v>1</v>
      </c>
      <c r="K4" t="str">
        <f>VLOOKUP(J4,[1]!Region,2,FALSE)</f>
        <v>Eastern</v>
      </c>
      <c r="L4">
        <f>VLOOKUP(A4,[1]Order_Details!$A$1:$F$2156,2,FALSE)</f>
        <v>41</v>
      </c>
      <c r="M4" t="str">
        <f>VLOOKUP(L4,[1]!Products,2,FALSE)</f>
        <v>Jack's New England Clam Chowder</v>
      </c>
      <c r="N4">
        <f>VLOOKUP(L4,[1]!Products,4,FALSE)</f>
        <v>8</v>
      </c>
      <c r="O4" s="6" t="str">
        <f>VLOOKUP(N4,[1]!Categories,2,FALSE)</f>
        <v>Seafood</v>
      </c>
      <c r="P4" s="6">
        <f>VLOOKUP(A4,[1]Order_Details!$A$1:$F$2156,3,FALSE)</f>
        <v>7.7</v>
      </c>
      <c r="Q4">
        <f>VLOOKUP(A4,[1]Order_Details!$A$1:$F$2156,4,FALSE)</f>
        <v>10</v>
      </c>
      <c r="R4">
        <f>VLOOKUP(A4,[1]Order_Details!$A$1:$F$2156,5,FALSE)</f>
        <v>0</v>
      </c>
      <c r="S4" s="6">
        <f>VLOOKUP(A4,[1]Order_Details!$A$1:$F$2156,6,FALSE)</f>
        <v>77</v>
      </c>
      <c r="T4" s="6">
        <f>VLOOKUP(A4,[1]!Orders,8,FALSE)</f>
        <v>65.83</v>
      </c>
    </row>
    <row r="5" spans="1:20" x14ac:dyDescent="0.3">
      <c r="A5" s="2">
        <v>10251</v>
      </c>
      <c r="B5" s="2" t="s">
        <v>7</v>
      </c>
      <c r="C5" s="2">
        <v>3</v>
      </c>
      <c r="D5" s="3">
        <v>35254</v>
      </c>
      <c r="E5" t="str">
        <f>VLOOKUP(C5,[1]Employees!$A$1:$O$10,4,FALSE)</f>
        <v>Leverling Janet</v>
      </c>
      <c r="F5">
        <f>VLOOKUP(A5,[1]!Orders,7,FALSE)</f>
        <v>1</v>
      </c>
      <c r="G5" t="str">
        <f>VLOOKUP(F5,[1]!Shippers,2,FALSE)</f>
        <v>Speedy Express</v>
      </c>
      <c r="H5" t="str">
        <f>VLOOKUP(C5,[1]EmployeeTerritories!$A$1:$B$50,2,FALSE)</f>
        <v>30346</v>
      </c>
      <c r="I5">
        <f>VLOOKUP(C5,[1]EmployeeTerritories!$A$1:$B$50,1,FALSE)</f>
        <v>3</v>
      </c>
      <c r="J5">
        <f>VLOOKUP(H5,[1]!Territories,3,FALSE)</f>
        <v>4</v>
      </c>
      <c r="K5" t="str">
        <f>VLOOKUP(J5,[1]!Region,2,FALSE)</f>
        <v>Southern</v>
      </c>
      <c r="L5">
        <f>VLOOKUP(A5,[1]Order_Details!$A$1:$F$2156,2,FALSE)</f>
        <v>22</v>
      </c>
      <c r="M5" t="str">
        <f>VLOOKUP(L5,[1]!Products,2,FALSE)</f>
        <v>Gustaf's Knäckebröd</v>
      </c>
      <c r="N5">
        <f>VLOOKUP(L5,[1]!Products,4,FALSE)</f>
        <v>5</v>
      </c>
      <c r="O5" s="6" t="str">
        <f>VLOOKUP(N5,[1]!Categories,2,FALSE)</f>
        <v>Grains/Cereals</v>
      </c>
      <c r="P5" s="6">
        <f>VLOOKUP(A5,[1]Order_Details!$A$1:$F$2156,3,FALSE)</f>
        <v>16.8</v>
      </c>
      <c r="Q5">
        <f>VLOOKUP(A5,[1]Order_Details!$A$1:$F$2156,4,FALSE)</f>
        <v>6</v>
      </c>
      <c r="R5">
        <f>VLOOKUP(A5,[1]Order_Details!$A$1:$F$2156,5,FALSE)</f>
        <v>5.000000074505806E-2</v>
      </c>
      <c r="S5" s="6">
        <f>VLOOKUP(A5,[1]Order_Details!$A$1:$F$2156,6,FALSE)</f>
        <v>95.759999924898153</v>
      </c>
      <c r="T5" s="6">
        <f>VLOOKUP(A5,[1]!Orders,8,FALSE)</f>
        <v>41.34</v>
      </c>
    </row>
    <row r="6" spans="1:20" x14ac:dyDescent="0.3">
      <c r="A6" s="2">
        <v>10252</v>
      </c>
      <c r="B6" s="2" t="s">
        <v>8</v>
      </c>
      <c r="C6" s="2">
        <v>4</v>
      </c>
      <c r="D6" s="3">
        <v>35255</v>
      </c>
      <c r="E6" t="str">
        <f>VLOOKUP(C6,[1]Employees!$A$1:$O$10,4,FALSE)</f>
        <v>Peacock Margaret</v>
      </c>
      <c r="F6">
        <f>VLOOKUP(A6,[1]!Orders,7,FALSE)</f>
        <v>2</v>
      </c>
      <c r="G6" t="str">
        <f>VLOOKUP(F6,[1]!Shippers,2,FALSE)</f>
        <v>United Package</v>
      </c>
      <c r="H6" t="str">
        <f>VLOOKUP(C6,[1]EmployeeTerritories!$A$1:$B$50,2,FALSE)</f>
        <v>20852</v>
      </c>
      <c r="I6">
        <f>VLOOKUP(C6,[1]EmployeeTerritories!$A$1:$B$50,1,FALSE)</f>
        <v>4</v>
      </c>
      <c r="J6">
        <f>VLOOKUP(H6,[1]!Territories,3,FALSE)</f>
        <v>1</v>
      </c>
      <c r="K6" t="str">
        <f>VLOOKUP(J6,[1]!Region,2,FALSE)</f>
        <v>Eastern</v>
      </c>
      <c r="L6">
        <f>VLOOKUP(A6,[1]Order_Details!$A$1:$F$2156,2,FALSE)</f>
        <v>20</v>
      </c>
      <c r="M6" t="str">
        <f>VLOOKUP(L6,[1]!Products,2,FALSE)</f>
        <v>Sir Rodney's Marmalade</v>
      </c>
      <c r="N6">
        <f>VLOOKUP(L6,[1]!Products,4,FALSE)</f>
        <v>3</v>
      </c>
      <c r="O6" s="6" t="str">
        <f>VLOOKUP(N6,[1]!Categories,2,FALSE)</f>
        <v>Confections</v>
      </c>
      <c r="P6" s="6">
        <f>VLOOKUP(A6,[1]Order_Details!$A$1:$F$2156,3,FALSE)</f>
        <v>64.8</v>
      </c>
      <c r="Q6">
        <f>VLOOKUP(A6,[1]Order_Details!$A$1:$F$2156,4,FALSE)</f>
        <v>40</v>
      </c>
      <c r="R6">
        <f>VLOOKUP(A6,[1]Order_Details!$A$1:$F$2156,5,FALSE)</f>
        <v>5.000000074505806E-2</v>
      </c>
      <c r="S6" s="6">
        <f>VLOOKUP(A6,[1]Order_Details!$A$1:$F$2156,6,FALSE)</f>
        <v>2462.3999980688095</v>
      </c>
      <c r="T6" s="6">
        <f>VLOOKUP(A6,[1]!Orders,8,FALSE)</f>
        <v>51.3</v>
      </c>
    </row>
    <row r="7" spans="1:20" x14ac:dyDescent="0.3">
      <c r="A7" s="2">
        <v>10253</v>
      </c>
      <c r="B7" s="2" t="s">
        <v>6</v>
      </c>
      <c r="C7" s="2">
        <v>3</v>
      </c>
      <c r="D7" s="3">
        <v>35256</v>
      </c>
      <c r="E7" t="str">
        <f>VLOOKUP(C7,[1]Employees!$A$1:$O$10,4,FALSE)</f>
        <v>Leverling Janet</v>
      </c>
      <c r="F7">
        <f>VLOOKUP(A7,[1]!Orders,7,FALSE)</f>
        <v>2</v>
      </c>
      <c r="G7" t="str">
        <f>VLOOKUP(F7,[1]!Shippers,2,FALSE)</f>
        <v>United Package</v>
      </c>
      <c r="H7" t="str">
        <f>VLOOKUP(C7,[1]EmployeeTerritories!$A$1:$B$50,2,FALSE)</f>
        <v>30346</v>
      </c>
      <c r="I7">
        <f>VLOOKUP(C7,[1]EmployeeTerritories!$A$1:$B$50,1,FALSE)</f>
        <v>3</v>
      </c>
      <c r="J7">
        <f>VLOOKUP(H7,[1]!Territories,3,FALSE)</f>
        <v>4</v>
      </c>
      <c r="K7" t="str">
        <f>VLOOKUP(J7,[1]!Region,2,FALSE)</f>
        <v>Southern</v>
      </c>
      <c r="L7">
        <f>VLOOKUP(A7,[1]Order_Details!$A$1:$F$2156,2,FALSE)</f>
        <v>31</v>
      </c>
      <c r="M7" t="str">
        <f>VLOOKUP(L7,[1]!Products,2,FALSE)</f>
        <v>Gorgonzola Telino</v>
      </c>
      <c r="N7">
        <f>VLOOKUP(L7,[1]!Products,4,FALSE)</f>
        <v>4</v>
      </c>
      <c r="O7" s="6" t="str">
        <f>VLOOKUP(N7,[1]!Categories,2,FALSE)</f>
        <v>Dairy Products</v>
      </c>
      <c r="P7" s="6">
        <f>VLOOKUP(A7,[1]Order_Details!$A$1:$F$2156,3,FALSE)</f>
        <v>10</v>
      </c>
      <c r="Q7">
        <f>VLOOKUP(A7,[1]Order_Details!$A$1:$F$2156,4,FALSE)</f>
        <v>20</v>
      </c>
      <c r="R7">
        <f>VLOOKUP(A7,[1]Order_Details!$A$1:$F$2156,5,FALSE)</f>
        <v>0</v>
      </c>
      <c r="S7" s="6">
        <f>VLOOKUP(A7,[1]Order_Details!$A$1:$F$2156,6,FALSE)</f>
        <v>200</v>
      </c>
      <c r="T7" s="6">
        <f>VLOOKUP(A7,[1]!Orders,8,FALSE)</f>
        <v>58.17</v>
      </c>
    </row>
    <row r="8" spans="1:20" x14ac:dyDescent="0.3">
      <c r="A8" s="2">
        <v>10254</v>
      </c>
      <c r="B8" s="2" t="s">
        <v>9</v>
      </c>
      <c r="C8" s="2">
        <v>5</v>
      </c>
      <c r="D8" s="3">
        <v>35257</v>
      </c>
      <c r="E8" t="str">
        <f>VLOOKUP(C8,[1]Employees!$A$1:$O$10,4,FALSE)</f>
        <v>Buchanan Steven</v>
      </c>
      <c r="F8">
        <f>VLOOKUP(A8,[1]!Orders,7,FALSE)</f>
        <v>2</v>
      </c>
      <c r="G8" t="str">
        <f>VLOOKUP(F8,[1]!Shippers,2,FALSE)</f>
        <v>United Package</v>
      </c>
      <c r="H8" t="str">
        <f>VLOOKUP(C8,[1]EmployeeTerritories!$A$1:$B$50,2,FALSE)</f>
        <v>02903</v>
      </c>
      <c r="I8">
        <f>VLOOKUP(C8,[1]EmployeeTerritories!$A$1:$B$50,1,FALSE)</f>
        <v>5</v>
      </c>
      <c r="J8">
        <f>VLOOKUP(H8,[1]!Territories,3,FALSE)</f>
        <v>1</v>
      </c>
      <c r="K8" t="str">
        <f>VLOOKUP(J8,[1]!Region,2,FALSE)</f>
        <v>Eastern</v>
      </c>
      <c r="L8">
        <f>VLOOKUP(A8,[1]Order_Details!$A$1:$F$2156,2,FALSE)</f>
        <v>24</v>
      </c>
      <c r="M8" t="str">
        <f>VLOOKUP(L8,[1]!Products,2,FALSE)</f>
        <v>Guaraná Fantástica</v>
      </c>
      <c r="N8">
        <f>VLOOKUP(L8,[1]!Products,4,FALSE)</f>
        <v>1</v>
      </c>
      <c r="O8" s="6" t="str">
        <f>VLOOKUP(N8,[1]!Categories,2,FALSE)</f>
        <v>Beverages</v>
      </c>
      <c r="P8" s="6">
        <f>VLOOKUP(A8,[1]Order_Details!$A$1:$F$2156,3,FALSE)</f>
        <v>3.6</v>
      </c>
      <c r="Q8">
        <f>VLOOKUP(A8,[1]Order_Details!$A$1:$F$2156,4,FALSE)</f>
        <v>15</v>
      </c>
      <c r="R8">
        <f>VLOOKUP(A8,[1]Order_Details!$A$1:$F$2156,5,FALSE)</f>
        <v>0.15000000596046448</v>
      </c>
      <c r="S8" s="6">
        <f>VLOOKUP(A8,[1]Order_Details!$A$1:$F$2156,6,FALSE)</f>
        <v>45.899999678134918</v>
      </c>
      <c r="T8" s="6">
        <f>VLOOKUP(A8,[1]!Orders,8,FALSE)</f>
        <v>22.98</v>
      </c>
    </row>
    <row r="9" spans="1:20" x14ac:dyDescent="0.3">
      <c r="A9" s="2">
        <v>10255</v>
      </c>
      <c r="B9" s="2" t="s">
        <v>10</v>
      </c>
      <c r="C9" s="2">
        <v>9</v>
      </c>
      <c r="D9" s="3">
        <v>35258</v>
      </c>
      <c r="E9" t="str">
        <f>VLOOKUP(C9,[1]Employees!$A$1:$O$10,4,FALSE)</f>
        <v>Dodsworth Anne</v>
      </c>
      <c r="F9">
        <f>VLOOKUP(A9,[1]!Orders,7,FALSE)</f>
        <v>3</v>
      </c>
      <c r="G9" t="str">
        <f>VLOOKUP(F9,[1]!Shippers,2,FALSE)</f>
        <v>Federal Shipping</v>
      </c>
      <c r="H9" t="str">
        <f>VLOOKUP(C9,[1]EmployeeTerritories!$A$1:$B$50,2,FALSE)</f>
        <v>03049</v>
      </c>
      <c r="I9">
        <f>VLOOKUP(C9,[1]EmployeeTerritories!$A$1:$B$50,1,FALSE)</f>
        <v>9</v>
      </c>
      <c r="J9">
        <f>VLOOKUP(H9,[1]!Territories,3,FALSE)</f>
        <v>3</v>
      </c>
      <c r="K9" t="str">
        <f>VLOOKUP(J9,[1]!Region,2,FALSE)</f>
        <v>Northern</v>
      </c>
      <c r="L9">
        <f>VLOOKUP(A9,[1]Order_Details!$A$1:$F$2156,2,FALSE)</f>
        <v>2</v>
      </c>
      <c r="M9" t="str">
        <f>VLOOKUP(L9,[1]!Products,2,FALSE)</f>
        <v>Chang</v>
      </c>
      <c r="N9">
        <f>VLOOKUP(L9,[1]!Products,4,FALSE)</f>
        <v>1</v>
      </c>
      <c r="O9" s="6" t="str">
        <f>VLOOKUP(N9,[1]!Categories,2,FALSE)</f>
        <v>Beverages</v>
      </c>
      <c r="P9" s="6">
        <f>VLOOKUP(A9,[1]Order_Details!$A$1:$F$2156,3,FALSE)</f>
        <v>15.2</v>
      </c>
      <c r="Q9">
        <f>VLOOKUP(A9,[1]Order_Details!$A$1:$F$2156,4,FALSE)</f>
        <v>20</v>
      </c>
      <c r="R9">
        <f>VLOOKUP(A9,[1]Order_Details!$A$1:$F$2156,5,FALSE)</f>
        <v>0</v>
      </c>
      <c r="S9" s="6">
        <f>VLOOKUP(A9,[1]Order_Details!$A$1:$F$2156,6,FALSE)</f>
        <v>304</v>
      </c>
      <c r="T9" s="6">
        <f>VLOOKUP(A9,[1]!Orders,8,FALSE)</f>
        <v>148.33000000000001</v>
      </c>
    </row>
    <row r="10" spans="1:20" x14ac:dyDescent="0.3">
      <c r="A10" s="2">
        <v>10256</v>
      </c>
      <c r="B10" s="2" t="s">
        <v>11</v>
      </c>
      <c r="C10" s="2">
        <v>3</v>
      </c>
      <c r="D10" s="3">
        <v>35261</v>
      </c>
      <c r="E10" t="str">
        <f>VLOOKUP(C10,[1]Employees!$A$1:$O$10,4,FALSE)</f>
        <v>Leverling Janet</v>
      </c>
      <c r="F10">
        <f>VLOOKUP(A10,[1]!Orders,7,FALSE)</f>
        <v>2</v>
      </c>
      <c r="G10" t="str">
        <f>VLOOKUP(F10,[1]!Shippers,2,FALSE)</f>
        <v>United Package</v>
      </c>
      <c r="H10" t="str">
        <f>VLOOKUP(C10,[1]EmployeeTerritories!$A$1:$B$50,2,FALSE)</f>
        <v>30346</v>
      </c>
      <c r="I10">
        <f>VLOOKUP(C10,[1]EmployeeTerritories!$A$1:$B$50,1,FALSE)</f>
        <v>3</v>
      </c>
      <c r="J10">
        <f>VLOOKUP(H10,[1]!Territories,3,FALSE)</f>
        <v>4</v>
      </c>
      <c r="K10" t="str">
        <f>VLOOKUP(J10,[1]!Region,2,FALSE)</f>
        <v>Southern</v>
      </c>
      <c r="L10">
        <f>VLOOKUP(A10,[1]Order_Details!$A$1:$F$2156,2,FALSE)</f>
        <v>53</v>
      </c>
      <c r="M10" t="str">
        <f>VLOOKUP(L10,[1]!Products,2,FALSE)</f>
        <v>Perth Pasties</v>
      </c>
      <c r="N10">
        <f>VLOOKUP(L10,[1]!Products,4,FALSE)</f>
        <v>6</v>
      </c>
      <c r="O10" s="6" t="str">
        <f>VLOOKUP(N10,[1]!Categories,2,FALSE)</f>
        <v>Meat/Poultry</v>
      </c>
      <c r="P10" s="6">
        <f>VLOOKUP(A10,[1]Order_Details!$A$1:$F$2156,3,FALSE)</f>
        <v>26.2</v>
      </c>
      <c r="Q10">
        <f>VLOOKUP(A10,[1]Order_Details!$A$1:$F$2156,4,FALSE)</f>
        <v>15</v>
      </c>
      <c r="R10">
        <f>VLOOKUP(A10,[1]Order_Details!$A$1:$F$2156,5,FALSE)</f>
        <v>0</v>
      </c>
      <c r="S10" s="6">
        <f>VLOOKUP(A10,[1]Order_Details!$A$1:$F$2156,6,FALSE)</f>
        <v>393</v>
      </c>
      <c r="T10" s="6">
        <f>VLOOKUP(A10,[1]!Orders,8,FALSE)</f>
        <v>13.97</v>
      </c>
    </row>
    <row r="11" spans="1:20" x14ac:dyDescent="0.3">
      <c r="A11" s="2">
        <v>10257</v>
      </c>
      <c r="B11" s="2" t="s">
        <v>12</v>
      </c>
      <c r="C11" s="2">
        <v>4</v>
      </c>
      <c r="D11" s="3">
        <v>35262</v>
      </c>
      <c r="E11" t="str">
        <f>VLOOKUP(C11,[1]Employees!$A$1:$O$10,4,FALSE)</f>
        <v>Peacock Margaret</v>
      </c>
      <c r="F11">
        <f>VLOOKUP(A11,[1]!Orders,7,FALSE)</f>
        <v>3</v>
      </c>
      <c r="G11" t="str">
        <f>VLOOKUP(F11,[1]!Shippers,2,FALSE)</f>
        <v>Federal Shipping</v>
      </c>
      <c r="H11" t="str">
        <f>VLOOKUP(C11,[1]EmployeeTerritories!$A$1:$B$50,2,FALSE)</f>
        <v>20852</v>
      </c>
      <c r="I11">
        <f>VLOOKUP(C11,[1]EmployeeTerritories!$A$1:$B$50,1,FALSE)</f>
        <v>4</v>
      </c>
      <c r="J11">
        <f>VLOOKUP(H11,[1]!Territories,3,FALSE)</f>
        <v>1</v>
      </c>
      <c r="K11" t="str">
        <f>VLOOKUP(J11,[1]!Region,2,FALSE)</f>
        <v>Eastern</v>
      </c>
      <c r="L11">
        <f>VLOOKUP(A11,[1]Order_Details!$A$1:$F$2156,2,FALSE)</f>
        <v>27</v>
      </c>
      <c r="M11" t="str">
        <f>VLOOKUP(L11,[1]!Products,2,FALSE)</f>
        <v>Schoggi Schokolade</v>
      </c>
      <c r="N11">
        <f>VLOOKUP(L11,[1]!Products,4,FALSE)</f>
        <v>3</v>
      </c>
      <c r="O11" s="6" t="str">
        <f>VLOOKUP(N11,[1]!Categories,2,FALSE)</f>
        <v>Confections</v>
      </c>
      <c r="P11" s="6">
        <f>VLOOKUP(A11,[1]Order_Details!$A$1:$F$2156,3,FALSE)</f>
        <v>35.1</v>
      </c>
      <c r="Q11">
        <f>VLOOKUP(A11,[1]Order_Details!$A$1:$F$2156,4,FALSE)</f>
        <v>25</v>
      </c>
      <c r="R11">
        <f>VLOOKUP(A11,[1]Order_Details!$A$1:$F$2156,5,FALSE)</f>
        <v>0</v>
      </c>
      <c r="S11" s="6">
        <f>VLOOKUP(A11,[1]Order_Details!$A$1:$F$2156,6,FALSE)</f>
        <v>877.5</v>
      </c>
      <c r="T11" s="6">
        <f>VLOOKUP(A11,[1]!Orders,8,FALSE)</f>
        <v>81.91</v>
      </c>
    </row>
    <row r="12" spans="1:20" x14ac:dyDescent="0.3">
      <c r="A12" s="2">
        <v>10258</v>
      </c>
      <c r="B12" s="2" t="s">
        <v>13</v>
      </c>
      <c r="C12" s="2">
        <v>1</v>
      </c>
      <c r="D12" s="3">
        <v>35263</v>
      </c>
      <c r="E12" t="str">
        <f>VLOOKUP(C12,[1]Employees!$A$1:$O$10,4,FALSE)</f>
        <v>Davolio Nancy</v>
      </c>
      <c r="F12">
        <f>VLOOKUP(A12,[1]!Orders,7,FALSE)</f>
        <v>1</v>
      </c>
      <c r="G12" t="str">
        <f>VLOOKUP(F12,[1]!Shippers,2,FALSE)</f>
        <v>Speedy Express</v>
      </c>
      <c r="H12" t="str">
        <f>VLOOKUP(C12,[1]EmployeeTerritories!$A$1:$B$50,2,FALSE)</f>
        <v>06897</v>
      </c>
      <c r="I12">
        <f>VLOOKUP(C12,[1]EmployeeTerritories!$A$1:$B$50,1,FALSE)</f>
        <v>1</v>
      </c>
      <c r="J12">
        <f>VLOOKUP(H12,[1]!Territories,3,FALSE)</f>
        <v>1</v>
      </c>
      <c r="K12" t="str">
        <f>VLOOKUP(J12,[1]!Region,2,FALSE)</f>
        <v>Eastern</v>
      </c>
      <c r="L12">
        <f>VLOOKUP(A12,[1]Order_Details!$A$1:$F$2156,2,FALSE)</f>
        <v>2</v>
      </c>
      <c r="M12" t="str">
        <f>VLOOKUP(L12,[1]!Products,2,FALSE)</f>
        <v>Chang</v>
      </c>
      <c r="N12">
        <f>VLOOKUP(L12,[1]!Products,4,FALSE)</f>
        <v>1</v>
      </c>
      <c r="O12" s="6" t="str">
        <f>VLOOKUP(N12,[1]!Categories,2,FALSE)</f>
        <v>Beverages</v>
      </c>
      <c r="P12" s="6">
        <f>VLOOKUP(A12,[1]Order_Details!$A$1:$F$2156,3,FALSE)</f>
        <v>15.2</v>
      </c>
      <c r="Q12">
        <f>VLOOKUP(A12,[1]Order_Details!$A$1:$F$2156,4,FALSE)</f>
        <v>50</v>
      </c>
      <c r="R12">
        <f>VLOOKUP(A12,[1]Order_Details!$A$1:$F$2156,5,FALSE)</f>
        <v>0.20000000298023224</v>
      </c>
      <c r="S12" s="6">
        <f>VLOOKUP(A12,[1]Order_Details!$A$1:$F$2156,6,FALSE)</f>
        <v>607.9999977350235</v>
      </c>
      <c r="T12" s="6">
        <f>VLOOKUP(A12,[1]!Orders,8,FALSE)</f>
        <v>140.51</v>
      </c>
    </row>
    <row r="13" spans="1:20" x14ac:dyDescent="0.3">
      <c r="A13" s="2">
        <v>10259</v>
      </c>
      <c r="B13" s="2" t="s">
        <v>14</v>
      </c>
      <c r="C13" s="2">
        <v>4</v>
      </c>
      <c r="D13" s="3">
        <v>35264</v>
      </c>
      <c r="E13" t="str">
        <f>VLOOKUP(C13,[1]Employees!$A$1:$O$10,4,FALSE)</f>
        <v>Peacock Margaret</v>
      </c>
      <c r="F13">
        <f>VLOOKUP(A13,[1]!Orders,7,FALSE)</f>
        <v>3</v>
      </c>
      <c r="G13" t="str">
        <f>VLOOKUP(F13,[1]!Shippers,2,FALSE)</f>
        <v>Federal Shipping</v>
      </c>
      <c r="H13" t="str">
        <f>VLOOKUP(C13,[1]EmployeeTerritories!$A$1:$B$50,2,FALSE)</f>
        <v>20852</v>
      </c>
      <c r="I13">
        <f>VLOOKUP(C13,[1]EmployeeTerritories!$A$1:$B$50,1,FALSE)</f>
        <v>4</v>
      </c>
      <c r="J13">
        <f>VLOOKUP(H13,[1]!Territories,3,FALSE)</f>
        <v>1</v>
      </c>
      <c r="K13" t="str">
        <f>VLOOKUP(J13,[1]!Region,2,FALSE)</f>
        <v>Eastern</v>
      </c>
      <c r="L13">
        <f>VLOOKUP(A13,[1]Order_Details!$A$1:$F$2156,2,FALSE)</f>
        <v>21</v>
      </c>
      <c r="M13" t="str">
        <f>VLOOKUP(L13,[1]!Products,2,FALSE)</f>
        <v>Sir Rodney's Scones</v>
      </c>
      <c r="N13">
        <f>VLOOKUP(L13,[1]!Products,4,FALSE)</f>
        <v>3</v>
      </c>
      <c r="O13" s="6" t="str">
        <f>VLOOKUP(N13,[1]!Categories,2,FALSE)</f>
        <v>Confections</v>
      </c>
      <c r="P13" s="6">
        <f>VLOOKUP(A13,[1]Order_Details!$A$1:$F$2156,3,FALSE)</f>
        <v>8</v>
      </c>
      <c r="Q13">
        <f>VLOOKUP(A13,[1]Order_Details!$A$1:$F$2156,4,FALSE)</f>
        <v>10</v>
      </c>
      <c r="R13">
        <f>VLOOKUP(A13,[1]Order_Details!$A$1:$F$2156,5,FALSE)</f>
        <v>0</v>
      </c>
      <c r="S13" s="6">
        <f>VLOOKUP(A13,[1]Order_Details!$A$1:$F$2156,6,FALSE)</f>
        <v>80</v>
      </c>
      <c r="T13" s="6">
        <f>VLOOKUP(A13,[1]!Orders,8,FALSE)</f>
        <v>3.25</v>
      </c>
    </row>
    <row r="14" spans="1:20" x14ac:dyDescent="0.3">
      <c r="A14" s="2">
        <v>10260</v>
      </c>
      <c r="B14" s="2" t="s">
        <v>15</v>
      </c>
      <c r="C14" s="2">
        <v>4</v>
      </c>
      <c r="D14" s="3">
        <v>35265</v>
      </c>
      <c r="E14" t="str">
        <f>VLOOKUP(C14,[1]Employees!$A$1:$O$10,4,FALSE)</f>
        <v>Peacock Margaret</v>
      </c>
      <c r="F14">
        <f>VLOOKUP(A14,[1]!Orders,7,FALSE)</f>
        <v>1</v>
      </c>
      <c r="G14" t="str">
        <f>VLOOKUP(F14,[1]!Shippers,2,FALSE)</f>
        <v>Speedy Express</v>
      </c>
      <c r="H14" t="str">
        <f>VLOOKUP(C14,[1]EmployeeTerritories!$A$1:$B$50,2,FALSE)</f>
        <v>20852</v>
      </c>
      <c r="I14">
        <f>VLOOKUP(C14,[1]EmployeeTerritories!$A$1:$B$50,1,FALSE)</f>
        <v>4</v>
      </c>
      <c r="J14">
        <f>VLOOKUP(H14,[1]!Territories,3,FALSE)</f>
        <v>1</v>
      </c>
      <c r="K14" t="str">
        <f>VLOOKUP(J14,[1]!Region,2,FALSE)</f>
        <v>Eastern</v>
      </c>
      <c r="L14">
        <f>VLOOKUP(A14,[1]Order_Details!$A$1:$F$2156,2,FALSE)</f>
        <v>41</v>
      </c>
      <c r="M14" t="str">
        <f>VLOOKUP(L14,[1]!Products,2,FALSE)</f>
        <v>Jack's New England Clam Chowder</v>
      </c>
      <c r="N14">
        <f>VLOOKUP(L14,[1]!Products,4,FALSE)</f>
        <v>8</v>
      </c>
      <c r="O14" s="6" t="str">
        <f>VLOOKUP(N14,[1]!Categories,2,FALSE)</f>
        <v>Seafood</v>
      </c>
      <c r="P14" s="6">
        <f>VLOOKUP(A14,[1]Order_Details!$A$1:$F$2156,3,FALSE)</f>
        <v>7.7</v>
      </c>
      <c r="Q14">
        <f>VLOOKUP(A14,[1]Order_Details!$A$1:$F$2156,4,FALSE)</f>
        <v>16</v>
      </c>
      <c r="R14">
        <f>VLOOKUP(A14,[1]Order_Details!$A$1:$F$2156,5,FALSE)</f>
        <v>0.25</v>
      </c>
      <c r="S14" s="6">
        <f>VLOOKUP(A14,[1]Order_Details!$A$1:$F$2156,6,FALSE)</f>
        <v>92.4</v>
      </c>
      <c r="T14" s="6">
        <f>VLOOKUP(A14,[1]!Orders,8,FALSE)</f>
        <v>55.09</v>
      </c>
    </row>
    <row r="15" spans="1:20" x14ac:dyDescent="0.3">
      <c r="A15" s="2">
        <v>10261</v>
      </c>
      <c r="B15" s="2" t="s">
        <v>16</v>
      </c>
      <c r="C15" s="2">
        <v>4</v>
      </c>
      <c r="D15" s="3">
        <v>35265</v>
      </c>
      <c r="E15" t="str">
        <f>VLOOKUP(C15,[1]Employees!$A$1:$O$10,4,FALSE)</f>
        <v>Peacock Margaret</v>
      </c>
      <c r="F15">
        <f>VLOOKUP(A15,[1]!Orders,7,FALSE)</f>
        <v>2</v>
      </c>
      <c r="G15" t="str">
        <f>VLOOKUP(F15,[1]!Shippers,2,FALSE)</f>
        <v>United Package</v>
      </c>
      <c r="H15" t="str">
        <f>VLOOKUP(C15,[1]EmployeeTerritories!$A$1:$B$50,2,FALSE)</f>
        <v>20852</v>
      </c>
      <c r="I15">
        <f>VLOOKUP(C15,[1]EmployeeTerritories!$A$1:$B$50,1,FALSE)</f>
        <v>4</v>
      </c>
      <c r="J15">
        <f>VLOOKUP(H15,[1]!Territories,3,FALSE)</f>
        <v>1</v>
      </c>
      <c r="K15" t="str">
        <f>VLOOKUP(J15,[1]!Region,2,FALSE)</f>
        <v>Eastern</v>
      </c>
      <c r="L15">
        <f>VLOOKUP(A15,[1]Order_Details!$A$1:$F$2156,2,FALSE)</f>
        <v>21</v>
      </c>
      <c r="M15" t="str">
        <f>VLOOKUP(L15,[1]!Products,2,FALSE)</f>
        <v>Sir Rodney's Scones</v>
      </c>
      <c r="N15">
        <f>VLOOKUP(L15,[1]!Products,4,FALSE)</f>
        <v>3</v>
      </c>
      <c r="O15" s="6" t="str">
        <f>VLOOKUP(N15,[1]!Categories,2,FALSE)</f>
        <v>Confections</v>
      </c>
      <c r="P15" s="6">
        <f>VLOOKUP(A15,[1]Order_Details!$A$1:$F$2156,3,FALSE)</f>
        <v>8</v>
      </c>
      <c r="Q15">
        <f>VLOOKUP(A15,[1]Order_Details!$A$1:$F$2156,4,FALSE)</f>
        <v>20</v>
      </c>
      <c r="R15">
        <f>VLOOKUP(A15,[1]Order_Details!$A$1:$F$2156,5,FALSE)</f>
        <v>0</v>
      </c>
      <c r="S15" s="6">
        <f>VLOOKUP(A15,[1]Order_Details!$A$1:$F$2156,6,FALSE)</f>
        <v>160</v>
      </c>
      <c r="T15" s="6">
        <f>VLOOKUP(A15,[1]!Orders,8,FALSE)</f>
        <v>3.05</v>
      </c>
    </row>
    <row r="16" spans="1:20" x14ac:dyDescent="0.3">
      <c r="A16" s="2">
        <v>10262</v>
      </c>
      <c r="B16" s="2" t="s">
        <v>17</v>
      </c>
      <c r="C16" s="2">
        <v>8</v>
      </c>
      <c r="D16" s="3">
        <v>35268</v>
      </c>
      <c r="E16" t="str">
        <f>VLOOKUP(C16,[1]Employees!$A$1:$O$10,4,FALSE)</f>
        <v>Callahan Laura</v>
      </c>
      <c r="F16">
        <f>VLOOKUP(A16,[1]!Orders,7,FALSE)</f>
        <v>3</v>
      </c>
      <c r="G16" t="str">
        <f>VLOOKUP(F16,[1]!Shippers,2,FALSE)</f>
        <v>Federal Shipping</v>
      </c>
      <c r="H16" t="str">
        <f>VLOOKUP(C16,[1]EmployeeTerritories!$A$1:$B$50,2,FALSE)</f>
        <v>19428</v>
      </c>
      <c r="I16">
        <f>VLOOKUP(C16,[1]EmployeeTerritories!$A$1:$B$50,1,FALSE)</f>
        <v>8</v>
      </c>
      <c r="J16">
        <f>VLOOKUP(H16,[1]!Territories,3,FALSE)</f>
        <v>3</v>
      </c>
      <c r="K16" t="str">
        <f>VLOOKUP(J16,[1]!Region,2,FALSE)</f>
        <v>Northern</v>
      </c>
      <c r="L16">
        <f>VLOOKUP(A16,[1]Order_Details!$A$1:$F$2156,2,FALSE)</f>
        <v>5</v>
      </c>
      <c r="M16" t="str">
        <f>VLOOKUP(L16,[1]!Products,2,FALSE)</f>
        <v>Chef Anton's Gumbo Mix</v>
      </c>
      <c r="N16">
        <f>VLOOKUP(L16,[1]!Products,4,FALSE)</f>
        <v>2</v>
      </c>
      <c r="O16" s="6" t="str">
        <f>VLOOKUP(N16,[1]!Categories,2,FALSE)</f>
        <v>Condiments</v>
      </c>
      <c r="P16" s="6">
        <f>VLOOKUP(A16,[1]Order_Details!$A$1:$F$2156,3,FALSE)</f>
        <v>17</v>
      </c>
      <c r="Q16">
        <f>VLOOKUP(A16,[1]Order_Details!$A$1:$F$2156,4,FALSE)</f>
        <v>12</v>
      </c>
      <c r="R16">
        <f>VLOOKUP(A16,[1]Order_Details!$A$1:$F$2156,5,FALSE)</f>
        <v>0.20000000298023224</v>
      </c>
      <c r="S16" s="6">
        <f>VLOOKUP(A16,[1]Order_Details!$A$1:$F$2156,6,FALSE)</f>
        <v>163.19999939203262</v>
      </c>
      <c r="T16" s="6">
        <f>VLOOKUP(A16,[1]!Orders,8,FALSE)</f>
        <v>48.29</v>
      </c>
    </row>
    <row r="17" spans="1:20" x14ac:dyDescent="0.3">
      <c r="A17" s="2">
        <v>10263</v>
      </c>
      <c r="B17" s="2" t="s">
        <v>13</v>
      </c>
      <c r="C17" s="2">
        <v>9</v>
      </c>
      <c r="D17" s="3">
        <v>35269</v>
      </c>
      <c r="E17" t="str">
        <f>VLOOKUP(C17,[1]Employees!$A$1:$O$10,4,FALSE)</f>
        <v>Dodsworth Anne</v>
      </c>
      <c r="F17">
        <f>VLOOKUP(A17,[1]!Orders,7,FALSE)</f>
        <v>3</v>
      </c>
      <c r="G17" t="str">
        <f>VLOOKUP(F17,[1]!Shippers,2,FALSE)</f>
        <v>Federal Shipping</v>
      </c>
      <c r="H17" t="str">
        <f>VLOOKUP(C17,[1]EmployeeTerritories!$A$1:$B$50,2,FALSE)</f>
        <v>03049</v>
      </c>
      <c r="I17">
        <f>VLOOKUP(C17,[1]EmployeeTerritories!$A$1:$B$50,1,FALSE)</f>
        <v>9</v>
      </c>
      <c r="J17">
        <f>VLOOKUP(H17,[1]!Territories,3,FALSE)</f>
        <v>3</v>
      </c>
      <c r="K17" t="str">
        <f>VLOOKUP(J17,[1]!Region,2,FALSE)</f>
        <v>Northern</v>
      </c>
      <c r="L17">
        <f>VLOOKUP(A17,[1]Order_Details!$A$1:$F$2156,2,FALSE)</f>
        <v>16</v>
      </c>
      <c r="M17" t="str">
        <f>VLOOKUP(L17,[1]!Products,2,FALSE)</f>
        <v>Pavlova</v>
      </c>
      <c r="N17">
        <f>VLOOKUP(L17,[1]!Products,4,FALSE)</f>
        <v>3</v>
      </c>
      <c r="O17" s="6" t="str">
        <f>VLOOKUP(N17,[1]!Categories,2,FALSE)</f>
        <v>Confections</v>
      </c>
      <c r="P17" s="6">
        <f>VLOOKUP(A17,[1]Order_Details!$A$1:$F$2156,3,FALSE)</f>
        <v>13.9</v>
      </c>
      <c r="Q17">
        <f>VLOOKUP(A17,[1]Order_Details!$A$1:$F$2156,4,FALSE)</f>
        <v>60</v>
      </c>
      <c r="R17">
        <f>VLOOKUP(A17,[1]Order_Details!$A$1:$F$2156,5,FALSE)</f>
        <v>0.25</v>
      </c>
      <c r="S17" s="6">
        <f>VLOOKUP(A17,[1]Order_Details!$A$1:$F$2156,6,FALSE)</f>
        <v>625.5</v>
      </c>
      <c r="T17" s="6">
        <f>VLOOKUP(A17,[1]!Orders,8,FALSE)</f>
        <v>146.06</v>
      </c>
    </row>
    <row r="18" spans="1:20" x14ac:dyDescent="0.3">
      <c r="A18" s="2">
        <v>10264</v>
      </c>
      <c r="B18" s="2" t="s">
        <v>18</v>
      </c>
      <c r="C18" s="2">
        <v>6</v>
      </c>
      <c r="D18" s="3">
        <v>35270</v>
      </c>
      <c r="E18" t="str">
        <f>VLOOKUP(C18,[1]Employees!$A$1:$O$10,4,FALSE)</f>
        <v>Suyama Michael</v>
      </c>
      <c r="F18">
        <f>VLOOKUP(A18,[1]!Orders,7,FALSE)</f>
        <v>3</v>
      </c>
      <c r="G18" t="str">
        <f>VLOOKUP(F18,[1]!Shippers,2,FALSE)</f>
        <v>Federal Shipping</v>
      </c>
      <c r="H18" t="str">
        <f>VLOOKUP(C18,[1]EmployeeTerritories!$A$1:$B$50,2,FALSE)</f>
        <v>85014</v>
      </c>
      <c r="I18">
        <f>VLOOKUP(C18,[1]EmployeeTerritories!$A$1:$B$50,1,FALSE)</f>
        <v>6</v>
      </c>
      <c r="J18">
        <f>VLOOKUP(H18,[1]!Territories,3,FALSE)</f>
        <v>2</v>
      </c>
      <c r="K18" t="str">
        <f>VLOOKUP(J18,[1]!Region,2,FALSE)</f>
        <v>Western</v>
      </c>
      <c r="L18">
        <f>VLOOKUP(A18,[1]Order_Details!$A$1:$F$2156,2,FALSE)</f>
        <v>2</v>
      </c>
      <c r="M18" t="str">
        <f>VLOOKUP(L18,[1]!Products,2,FALSE)</f>
        <v>Chang</v>
      </c>
      <c r="N18">
        <f>VLOOKUP(L18,[1]!Products,4,FALSE)</f>
        <v>1</v>
      </c>
      <c r="O18" s="6" t="str">
        <f>VLOOKUP(N18,[1]!Categories,2,FALSE)</f>
        <v>Beverages</v>
      </c>
      <c r="P18" s="6">
        <f>VLOOKUP(A18,[1]Order_Details!$A$1:$F$2156,3,FALSE)</f>
        <v>15.2</v>
      </c>
      <c r="Q18">
        <f>VLOOKUP(A18,[1]Order_Details!$A$1:$F$2156,4,FALSE)</f>
        <v>35</v>
      </c>
      <c r="R18">
        <f>VLOOKUP(A18,[1]Order_Details!$A$1:$F$2156,5,FALSE)</f>
        <v>0</v>
      </c>
      <c r="S18" s="6">
        <f>VLOOKUP(A18,[1]Order_Details!$A$1:$F$2156,6,FALSE)</f>
        <v>532</v>
      </c>
      <c r="T18" s="6">
        <f>VLOOKUP(A18,[1]!Orders,8,FALSE)</f>
        <v>3.67</v>
      </c>
    </row>
    <row r="19" spans="1:20" x14ac:dyDescent="0.3">
      <c r="A19" s="2">
        <v>10265</v>
      </c>
      <c r="B19" s="2" t="s">
        <v>19</v>
      </c>
      <c r="C19" s="2">
        <v>2</v>
      </c>
      <c r="D19" s="3">
        <v>35271</v>
      </c>
      <c r="E19" t="str">
        <f>VLOOKUP(C19,[1]Employees!$A$1:$O$10,4,FALSE)</f>
        <v>Fuller Andrew</v>
      </c>
      <c r="F19">
        <f>VLOOKUP(A19,[1]!Orders,7,FALSE)</f>
        <v>1</v>
      </c>
      <c r="G19" t="str">
        <f>VLOOKUP(F19,[1]!Shippers,2,FALSE)</f>
        <v>Speedy Express</v>
      </c>
      <c r="H19" t="str">
        <f>VLOOKUP(C19,[1]EmployeeTerritories!$A$1:$B$50,2,FALSE)</f>
        <v>01581</v>
      </c>
      <c r="I19">
        <f>VLOOKUP(C19,[1]EmployeeTerritories!$A$1:$B$50,1,FALSE)</f>
        <v>2</v>
      </c>
      <c r="J19">
        <f>VLOOKUP(H19,[1]!Territories,3,FALSE)</f>
        <v>1</v>
      </c>
      <c r="K19" t="str">
        <f>VLOOKUP(J19,[1]!Region,2,FALSE)</f>
        <v>Eastern</v>
      </c>
      <c r="L19">
        <f>VLOOKUP(A19,[1]Order_Details!$A$1:$F$2156,2,FALSE)</f>
        <v>17</v>
      </c>
      <c r="M19" t="str">
        <f>VLOOKUP(L19,[1]!Products,2,FALSE)</f>
        <v>Alice Mutton</v>
      </c>
      <c r="N19">
        <f>VLOOKUP(L19,[1]!Products,4,FALSE)</f>
        <v>6</v>
      </c>
      <c r="O19" s="6" t="str">
        <f>VLOOKUP(N19,[1]!Categories,2,FALSE)</f>
        <v>Meat/Poultry</v>
      </c>
      <c r="P19" s="6">
        <f>VLOOKUP(A19,[1]Order_Details!$A$1:$F$2156,3,FALSE)</f>
        <v>31.2</v>
      </c>
      <c r="Q19">
        <f>VLOOKUP(A19,[1]Order_Details!$A$1:$F$2156,4,FALSE)</f>
        <v>30</v>
      </c>
      <c r="R19">
        <f>VLOOKUP(A19,[1]Order_Details!$A$1:$F$2156,5,FALSE)</f>
        <v>0</v>
      </c>
      <c r="S19" s="6">
        <f>VLOOKUP(A19,[1]Order_Details!$A$1:$F$2156,6,FALSE)</f>
        <v>936</v>
      </c>
      <c r="T19" s="6">
        <f>VLOOKUP(A19,[1]!Orders,8,FALSE)</f>
        <v>55.28</v>
      </c>
    </row>
    <row r="20" spans="1:20" x14ac:dyDescent="0.3">
      <c r="A20" s="2">
        <v>10266</v>
      </c>
      <c r="B20" s="2" t="s">
        <v>20</v>
      </c>
      <c r="C20" s="2">
        <v>3</v>
      </c>
      <c r="D20" s="3">
        <v>35272</v>
      </c>
      <c r="E20" t="str">
        <f>VLOOKUP(C20,[1]Employees!$A$1:$O$10,4,FALSE)</f>
        <v>Leverling Janet</v>
      </c>
      <c r="F20">
        <f>VLOOKUP(A20,[1]!Orders,7,FALSE)</f>
        <v>3</v>
      </c>
      <c r="G20" t="str">
        <f>VLOOKUP(F20,[1]!Shippers,2,FALSE)</f>
        <v>Federal Shipping</v>
      </c>
      <c r="H20" t="str">
        <f>VLOOKUP(C20,[1]EmployeeTerritories!$A$1:$B$50,2,FALSE)</f>
        <v>30346</v>
      </c>
      <c r="I20">
        <f>VLOOKUP(C20,[1]EmployeeTerritories!$A$1:$B$50,1,FALSE)</f>
        <v>3</v>
      </c>
      <c r="J20">
        <f>VLOOKUP(H20,[1]!Territories,3,FALSE)</f>
        <v>4</v>
      </c>
      <c r="K20" t="str">
        <f>VLOOKUP(J20,[1]!Region,2,FALSE)</f>
        <v>Southern</v>
      </c>
      <c r="L20">
        <f>VLOOKUP(A20,[1]Order_Details!$A$1:$F$2156,2,FALSE)</f>
        <v>12</v>
      </c>
      <c r="M20" t="str">
        <f>VLOOKUP(L20,[1]!Products,2,FALSE)</f>
        <v>Queso Manchego La Pastora</v>
      </c>
      <c r="N20">
        <f>VLOOKUP(L20,[1]!Products,4,FALSE)</f>
        <v>4</v>
      </c>
      <c r="O20" s="6" t="str">
        <f>VLOOKUP(N20,[1]!Categories,2,FALSE)</f>
        <v>Dairy Products</v>
      </c>
      <c r="P20" s="6">
        <f>VLOOKUP(A20,[1]Order_Details!$A$1:$F$2156,3,FALSE)</f>
        <v>30.4</v>
      </c>
      <c r="Q20">
        <f>VLOOKUP(A20,[1]Order_Details!$A$1:$F$2156,4,FALSE)</f>
        <v>12</v>
      </c>
      <c r="R20">
        <f>VLOOKUP(A20,[1]Order_Details!$A$1:$F$2156,5,FALSE)</f>
        <v>5.000000074505806E-2</v>
      </c>
      <c r="S20" s="6">
        <f>VLOOKUP(A20,[1]Order_Details!$A$1:$F$2156,6,FALSE)</f>
        <v>346.5599997282028</v>
      </c>
      <c r="T20" s="6">
        <f>VLOOKUP(A20,[1]!Orders,8,FALSE)</f>
        <v>25.73</v>
      </c>
    </row>
    <row r="21" spans="1:20" x14ac:dyDescent="0.3">
      <c r="A21" s="2">
        <v>10267</v>
      </c>
      <c r="B21" s="2" t="s">
        <v>21</v>
      </c>
      <c r="C21" s="2">
        <v>4</v>
      </c>
      <c r="D21" s="3">
        <v>35275</v>
      </c>
      <c r="E21" t="str">
        <f>VLOOKUP(C21,[1]Employees!$A$1:$O$10,4,FALSE)</f>
        <v>Peacock Margaret</v>
      </c>
      <c r="F21">
        <f>VLOOKUP(A21,[1]!Orders,7,FALSE)</f>
        <v>1</v>
      </c>
      <c r="G21" t="str">
        <f>VLOOKUP(F21,[1]!Shippers,2,FALSE)</f>
        <v>Speedy Express</v>
      </c>
      <c r="H21" t="str">
        <f>VLOOKUP(C21,[1]EmployeeTerritories!$A$1:$B$50,2,FALSE)</f>
        <v>20852</v>
      </c>
      <c r="I21">
        <f>VLOOKUP(C21,[1]EmployeeTerritories!$A$1:$B$50,1,FALSE)</f>
        <v>4</v>
      </c>
      <c r="J21">
        <f>VLOOKUP(H21,[1]!Territories,3,FALSE)</f>
        <v>1</v>
      </c>
      <c r="K21" t="str">
        <f>VLOOKUP(J21,[1]!Region,2,FALSE)</f>
        <v>Eastern</v>
      </c>
      <c r="L21">
        <f>VLOOKUP(A21,[1]Order_Details!$A$1:$F$2156,2,FALSE)</f>
        <v>40</v>
      </c>
      <c r="M21" t="str">
        <f>VLOOKUP(L21,[1]!Products,2,FALSE)</f>
        <v>Boston Crab Meat</v>
      </c>
      <c r="N21">
        <f>VLOOKUP(L21,[1]!Products,4,FALSE)</f>
        <v>8</v>
      </c>
      <c r="O21" s="6" t="str">
        <f>VLOOKUP(N21,[1]!Categories,2,FALSE)</f>
        <v>Seafood</v>
      </c>
      <c r="P21" s="6">
        <f>VLOOKUP(A21,[1]Order_Details!$A$1:$F$2156,3,FALSE)</f>
        <v>14.7</v>
      </c>
      <c r="Q21">
        <f>VLOOKUP(A21,[1]Order_Details!$A$1:$F$2156,4,FALSE)</f>
        <v>50</v>
      </c>
      <c r="R21">
        <f>VLOOKUP(A21,[1]Order_Details!$A$1:$F$2156,5,FALSE)</f>
        <v>0</v>
      </c>
      <c r="S21" s="6">
        <f>VLOOKUP(A21,[1]Order_Details!$A$1:$F$2156,6,FALSE)</f>
        <v>735</v>
      </c>
      <c r="T21" s="6">
        <f>VLOOKUP(A21,[1]!Orders,8,FALSE)</f>
        <v>208.58</v>
      </c>
    </row>
    <row r="22" spans="1:20" x14ac:dyDescent="0.3">
      <c r="A22" s="2">
        <v>10268</v>
      </c>
      <c r="B22" s="2" t="s">
        <v>22</v>
      </c>
      <c r="C22" s="2">
        <v>8</v>
      </c>
      <c r="D22" s="3">
        <v>35276</v>
      </c>
      <c r="E22" t="str">
        <f>VLOOKUP(C22,[1]Employees!$A$1:$O$10,4,FALSE)</f>
        <v>Callahan Laura</v>
      </c>
      <c r="F22">
        <f>VLOOKUP(A22,[1]!Orders,7,FALSE)</f>
        <v>3</v>
      </c>
      <c r="G22" t="str">
        <f>VLOOKUP(F22,[1]!Shippers,2,FALSE)</f>
        <v>Federal Shipping</v>
      </c>
      <c r="H22" t="str">
        <f>VLOOKUP(C22,[1]EmployeeTerritories!$A$1:$B$50,2,FALSE)</f>
        <v>19428</v>
      </c>
      <c r="I22">
        <f>VLOOKUP(C22,[1]EmployeeTerritories!$A$1:$B$50,1,FALSE)</f>
        <v>8</v>
      </c>
      <c r="J22">
        <f>VLOOKUP(H22,[1]!Territories,3,FALSE)</f>
        <v>3</v>
      </c>
      <c r="K22" t="str">
        <f>VLOOKUP(J22,[1]!Region,2,FALSE)</f>
        <v>Northern</v>
      </c>
      <c r="L22">
        <f>VLOOKUP(A22,[1]Order_Details!$A$1:$F$2156,2,FALSE)</f>
        <v>29</v>
      </c>
      <c r="M22" t="str">
        <f>VLOOKUP(L22,[1]!Products,2,FALSE)</f>
        <v>Thüringer Rostbratwurst</v>
      </c>
      <c r="N22">
        <f>VLOOKUP(L22,[1]!Products,4,FALSE)</f>
        <v>6</v>
      </c>
      <c r="O22" s="6" t="str">
        <f>VLOOKUP(N22,[1]!Categories,2,FALSE)</f>
        <v>Meat/Poultry</v>
      </c>
      <c r="P22" s="6">
        <f>VLOOKUP(A22,[1]Order_Details!$A$1:$F$2156,3,FALSE)</f>
        <v>99</v>
      </c>
      <c r="Q22">
        <f>VLOOKUP(A22,[1]Order_Details!$A$1:$F$2156,4,FALSE)</f>
        <v>10</v>
      </c>
      <c r="R22">
        <f>VLOOKUP(A22,[1]Order_Details!$A$1:$F$2156,5,FALSE)</f>
        <v>0</v>
      </c>
      <c r="S22" s="6">
        <f>VLOOKUP(A22,[1]Order_Details!$A$1:$F$2156,6,FALSE)</f>
        <v>990</v>
      </c>
      <c r="T22" s="6">
        <f>VLOOKUP(A22,[1]!Orders,8,FALSE)</f>
        <v>66.290000000000006</v>
      </c>
    </row>
    <row r="23" spans="1:20" x14ac:dyDescent="0.3">
      <c r="A23" s="2">
        <v>10269</v>
      </c>
      <c r="B23" s="2" t="s">
        <v>23</v>
      </c>
      <c r="C23" s="2">
        <v>5</v>
      </c>
      <c r="D23" s="3">
        <v>35277</v>
      </c>
      <c r="E23" t="str">
        <f>VLOOKUP(C23,[1]Employees!$A$1:$O$10,4,FALSE)</f>
        <v>Buchanan Steven</v>
      </c>
      <c r="F23">
        <f>VLOOKUP(A23,[1]!Orders,7,FALSE)</f>
        <v>1</v>
      </c>
      <c r="G23" t="str">
        <f>VLOOKUP(F23,[1]!Shippers,2,FALSE)</f>
        <v>Speedy Express</v>
      </c>
      <c r="H23" t="str">
        <f>VLOOKUP(C23,[1]EmployeeTerritories!$A$1:$B$50,2,FALSE)</f>
        <v>02903</v>
      </c>
      <c r="I23">
        <f>VLOOKUP(C23,[1]EmployeeTerritories!$A$1:$B$50,1,FALSE)</f>
        <v>5</v>
      </c>
      <c r="J23">
        <f>VLOOKUP(H23,[1]!Territories,3,FALSE)</f>
        <v>1</v>
      </c>
      <c r="K23" t="str">
        <f>VLOOKUP(J23,[1]!Region,2,FALSE)</f>
        <v>Eastern</v>
      </c>
      <c r="L23">
        <f>VLOOKUP(A23,[1]Order_Details!$A$1:$F$2156,2,FALSE)</f>
        <v>33</v>
      </c>
      <c r="M23" t="str">
        <f>VLOOKUP(L23,[1]!Products,2,FALSE)</f>
        <v>Geitost</v>
      </c>
      <c r="N23">
        <f>VLOOKUP(L23,[1]!Products,4,FALSE)</f>
        <v>4</v>
      </c>
      <c r="O23" s="6" t="str">
        <f>VLOOKUP(N23,[1]!Categories,2,FALSE)</f>
        <v>Dairy Products</v>
      </c>
      <c r="P23" s="6">
        <f>VLOOKUP(A23,[1]Order_Details!$A$1:$F$2156,3,FALSE)</f>
        <v>2</v>
      </c>
      <c r="Q23">
        <f>VLOOKUP(A23,[1]Order_Details!$A$1:$F$2156,4,FALSE)</f>
        <v>60</v>
      </c>
      <c r="R23">
        <f>VLOOKUP(A23,[1]Order_Details!$A$1:$F$2156,5,FALSE)</f>
        <v>5.000000074505806E-2</v>
      </c>
      <c r="S23" s="6">
        <f>VLOOKUP(A23,[1]Order_Details!$A$1:$F$2156,6,FALSE)</f>
        <v>113.99999991059303</v>
      </c>
      <c r="T23" s="6">
        <f>VLOOKUP(A23,[1]!Orders,8,FALSE)</f>
        <v>4.5599999999999996</v>
      </c>
    </row>
    <row r="24" spans="1:20" x14ac:dyDescent="0.3">
      <c r="A24" s="2">
        <v>10270</v>
      </c>
      <c r="B24" s="2" t="s">
        <v>20</v>
      </c>
      <c r="C24" s="2">
        <v>1</v>
      </c>
      <c r="D24" s="3">
        <v>35278</v>
      </c>
      <c r="E24" t="str">
        <f>VLOOKUP(C24,[1]Employees!$A$1:$O$10,4,FALSE)</f>
        <v>Davolio Nancy</v>
      </c>
      <c r="F24">
        <f>VLOOKUP(A24,[1]!Orders,7,FALSE)</f>
        <v>1</v>
      </c>
      <c r="G24" t="str">
        <f>VLOOKUP(F24,[1]!Shippers,2,FALSE)</f>
        <v>Speedy Express</v>
      </c>
      <c r="H24" t="str">
        <f>VLOOKUP(C24,[1]EmployeeTerritories!$A$1:$B$50,2,FALSE)</f>
        <v>06897</v>
      </c>
      <c r="I24">
        <f>VLOOKUP(C24,[1]EmployeeTerritories!$A$1:$B$50,1,FALSE)</f>
        <v>1</v>
      </c>
      <c r="J24">
        <f>VLOOKUP(H24,[1]!Territories,3,FALSE)</f>
        <v>1</v>
      </c>
      <c r="K24" t="str">
        <f>VLOOKUP(J24,[1]!Region,2,FALSE)</f>
        <v>Eastern</v>
      </c>
      <c r="L24">
        <f>VLOOKUP(A24,[1]Order_Details!$A$1:$F$2156,2,FALSE)</f>
        <v>36</v>
      </c>
      <c r="M24" t="str">
        <f>VLOOKUP(L24,[1]!Products,2,FALSE)</f>
        <v>Inlagd Sill</v>
      </c>
      <c r="N24">
        <f>VLOOKUP(L24,[1]!Products,4,FALSE)</f>
        <v>8</v>
      </c>
      <c r="O24" s="6" t="str">
        <f>VLOOKUP(N24,[1]!Categories,2,FALSE)</f>
        <v>Seafood</v>
      </c>
      <c r="P24" s="6">
        <f>VLOOKUP(A24,[1]Order_Details!$A$1:$F$2156,3,FALSE)</f>
        <v>15.2</v>
      </c>
      <c r="Q24">
        <f>VLOOKUP(A24,[1]Order_Details!$A$1:$F$2156,4,FALSE)</f>
        <v>30</v>
      </c>
      <c r="R24">
        <f>VLOOKUP(A24,[1]Order_Details!$A$1:$F$2156,5,FALSE)</f>
        <v>0</v>
      </c>
      <c r="S24" s="6">
        <f>VLOOKUP(A24,[1]Order_Details!$A$1:$F$2156,6,FALSE)</f>
        <v>456</v>
      </c>
      <c r="T24" s="6">
        <f>VLOOKUP(A24,[1]!Orders,8,FALSE)</f>
        <v>136.54</v>
      </c>
    </row>
    <row r="25" spans="1:20" x14ac:dyDescent="0.3">
      <c r="A25" s="2">
        <v>10271</v>
      </c>
      <c r="B25" s="2" t="s">
        <v>24</v>
      </c>
      <c r="C25" s="2">
        <v>6</v>
      </c>
      <c r="D25" s="3">
        <v>35278</v>
      </c>
      <c r="E25" t="str">
        <f>VLOOKUP(C25,[1]Employees!$A$1:$O$10,4,FALSE)</f>
        <v>Suyama Michael</v>
      </c>
      <c r="F25">
        <f>VLOOKUP(A25,[1]!Orders,7,FALSE)</f>
        <v>2</v>
      </c>
      <c r="G25" t="str">
        <f>VLOOKUP(F25,[1]!Shippers,2,FALSE)</f>
        <v>United Package</v>
      </c>
      <c r="H25" t="str">
        <f>VLOOKUP(C25,[1]EmployeeTerritories!$A$1:$B$50,2,FALSE)</f>
        <v>85014</v>
      </c>
      <c r="I25">
        <f>VLOOKUP(C25,[1]EmployeeTerritories!$A$1:$B$50,1,FALSE)</f>
        <v>6</v>
      </c>
      <c r="J25">
        <f>VLOOKUP(H25,[1]!Territories,3,FALSE)</f>
        <v>2</v>
      </c>
      <c r="K25" t="str">
        <f>VLOOKUP(J25,[1]!Region,2,FALSE)</f>
        <v>Western</v>
      </c>
      <c r="L25">
        <f>VLOOKUP(A25,[1]Order_Details!$A$1:$F$2156,2,FALSE)</f>
        <v>33</v>
      </c>
      <c r="M25" t="str">
        <f>VLOOKUP(L25,[1]!Products,2,FALSE)</f>
        <v>Geitost</v>
      </c>
      <c r="N25">
        <f>VLOOKUP(L25,[1]!Products,4,FALSE)</f>
        <v>4</v>
      </c>
      <c r="O25" s="6" t="str">
        <f>VLOOKUP(N25,[1]!Categories,2,FALSE)</f>
        <v>Dairy Products</v>
      </c>
      <c r="P25" s="6">
        <f>VLOOKUP(A25,[1]Order_Details!$A$1:$F$2156,3,FALSE)</f>
        <v>2</v>
      </c>
      <c r="Q25">
        <f>VLOOKUP(A25,[1]Order_Details!$A$1:$F$2156,4,FALSE)</f>
        <v>24</v>
      </c>
      <c r="R25">
        <f>VLOOKUP(A25,[1]Order_Details!$A$1:$F$2156,5,FALSE)</f>
        <v>0</v>
      </c>
      <c r="S25" s="6">
        <f>VLOOKUP(A25,[1]Order_Details!$A$1:$F$2156,6,FALSE)</f>
        <v>48</v>
      </c>
      <c r="T25" s="6">
        <f>VLOOKUP(A25,[1]!Orders,8,FALSE)</f>
        <v>4.54</v>
      </c>
    </row>
    <row r="26" spans="1:20" x14ac:dyDescent="0.3">
      <c r="A26" s="2">
        <v>10272</v>
      </c>
      <c r="B26" s="2" t="s">
        <v>17</v>
      </c>
      <c r="C26" s="2">
        <v>6</v>
      </c>
      <c r="D26" s="3">
        <v>35279</v>
      </c>
      <c r="E26" t="str">
        <f>VLOOKUP(C26,[1]Employees!$A$1:$O$10,4,FALSE)</f>
        <v>Suyama Michael</v>
      </c>
      <c r="F26">
        <f>VLOOKUP(A26,[1]!Orders,7,FALSE)</f>
        <v>2</v>
      </c>
      <c r="G26" t="str">
        <f>VLOOKUP(F26,[1]!Shippers,2,FALSE)</f>
        <v>United Package</v>
      </c>
      <c r="H26" t="str">
        <f>VLOOKUP(C26,[1]EmployeeTerritories!$A$1:$B$50,2,FALSE)</f>
        <v>85014</v>
      </c>
      <c r="I26">
        <f>VLOOKUP(C26,[1]EmployeeTerritories!$A$1:$B$50,1,FALSE)</f>
        <v>6</v>
      </c>
      <c r="J26">
        <f>VLOOKUP(H26,[1]!Territories,3,FALSE)</f>
        <v>2</v>
      </c>
      <c r="K26" t="str">
        <f>VLOOKUP(J26,[1]!Region,2,FALSE)</f>
        <v>Western</v>
      </c>
      <c r="L26">
        <f>VLOOKUP(A26,[1]Order_Details!$A$1:$F$2156,2,FALSE)</f>
        <v>20</v>
      </c>
      <c r="M26" t="str">
        <f>VLOOKUP(L26,[1]!Products,2,FALSE)</f>
        <v>Sir Rodney's Marmalade</v>
      </c>
      <c r="N26">
        <f>VLOOKUP(L26,[1]!Products,4,FALSE)</f>
        <v>3</v>
      </c>
      <c r="O26" s="6" t="str">
        <f>VLOOKUP(N26,[1]!Categories,2,FALSE)</f>
        <v>Confections</v>
      </c>
      <c r="P26" s="6">
        <f>VLOOKUP(A26,[1]Order_Details!$A$1:$F$2156,3,FALSE)</f>
        <v>64.8</v>
      </c>
      <c r="Q26">
        <f>VLOOKUP(A26,[1]Order_Details!$A$1:$F$2156,4,FALSE)</f>
        <v>6</v>
      </c>
      <c r="R26">
        <f>VLOOKUP(A26,[1]Order_Details!$A$1:$F$2156,5,FALSE)</f>
        <v>0</v>
      </c>
      <c r="S26" s="6">
        <f>VLOOKUP(A26,[1]Order_Details!$A$1:$F$2156,6,FALSE)</f>
        <v>388.79999999999995</v>
      </c>
      <c r="T26" s="6">
        <f>VLOOKUP(A26,[1]!Orders,8,FALSE)</f>
        <v>98.03</v>
      </c>
    </row>
    <row r="27" spans="1:20" x14ac:dyDescent="0.3">
      <c r="A27" s="2">
        <v>10273</v>
      </c>
      <c r="B27" s="2" t="s">
        <v>25</v>
      </c>
      <c r="C27" s="2">
        <v>3</v>
      </c>
      <c r="D27" s="3">
        <v>35282</v>
      </c>
      <c r="E27" t="str">
        <f>VLOOKUP(C27,[1]Employees!$A$1:$O$10,4,FALSE)</f>
        <v>Leverling Janet</v>
      </c>
      <c r="F27">
        <f>VLOOKUP(A27,[1]!Orders,7,FALSE)</f>
        <v>3</v>
      </c>
      <c r="G27" t="str">
        <f>VLOOKUP(F27,[1]!Shippers,2,FALSE)</f>
        <v>Federal Shipping</v>
      </c>
      <c r="H27" t="str">
        <f>VLOOKUP(C27,[1]EmployeeTerritories!$A$1:$B$50,2,FALSE)</f>
        <v>30346</v>
      </c>
      <c r="I27">
        <f>VLOOKUP(C27,[1]EmployeeTerritories!$A$1:$B$50,1,FALSE)</f>
        <v>3</v>
      </c>
      <c r="J27">
        <f>VLOOKUP(H27,[1]!Territories,3,FALSE)</f>
        <v>4</v>
      </c>
      <c r="K27" t="str">
        <f>VLOOKUP(J27,[1]!Region,2,FALSE)</f>
        <v>Southern</v>
      </c>
      <c r="L27">
        <f>VLOOKUP(A27,[1]Order_Details!$A$1:$F$2156,2,FALSE)</f>
        <v>10</v>
      </c>
      <c r="M27" t="str">
        <f>VLOOKUP(L27,[1]!Products,2,FALSE)</f>
        <v>Ikura</v>
      </c>
      <c r="N27">
        <f>VLOOKUP(L27,[1]!Products,4,FALSE)</f>
        <v>8</v>
      </c>
      <c r="O27" s="6" t="str">
        <f>VLOOKUP(N27,[1]!Categories,2,FALSE)</f>
        <v>Seafood</v>
      </c>
      <c r="P27" s="6">
        <f>VLOOKUP(A27,[1]Order_Details!$A$1:$F$2156,3,FALSE)</f>
        <v>24.8</v>
      </c>
      <c r="Q27">
        <f>VLOOKUP(A27,[1]Order_Details!$A$1:$F$2156,4,FALSE)</f>
        <v>24</v>
      </c>
      <c r="R27">
        <f>VLOOKUP(A27,[1]Order_Details!$A$1:$F$2156,5,FALSE)</f>
        <v>5.000000074505806E-2</v>
      </c>
      <c r="S27" s="6">
        <f>VLOOKUP(A27,[1]Order_Details!$A$1:$F$2156,6,FALSE)</f>
        <v>565.43999955654147</v>
      </c>
      <c r="T27" s="6">
        <f>VLOOKUP(A27,[1]!Orders,8,FALSE)</f>
        <v>76.069999999999993</v>
      </c>
    </row>
    <row r="28" spans="1:20" x14ac:dyDescent="0.3">
      <c r="A28" s="2">
        <v>10274</v>
      </c>
      <c r="B28" s="2" t="s">
        <v>4</v>
      </c>
      <c r="C28" s="2">
        <v>6</v>
      </c>
      <c r="D28" s="3">
        <v>35283</v>
      </c>
      <c r="E28" t="str">
        <f>VLOOKUP(C28,[1]Employees!$A$1:$O$10,4,FALSE)</f>
        <v>Suyama Michael</v>
      </c>
      <c r="F28">
        <f>VLOOKUP(A28,[1]!Orders,7,FALSE)</f>
        <v>1</v>
      </c>
      <c r="G28" t="str">
        <f>VLOOKUP(F28,[1]!Shippers,2,FALSE)</f>
        <v>Speedy Express</v>
      </c>
      <c r="H28" t="str">
        <f>VLOOKUP(C28,[1]EmployeeTerritories!$A$1:$B$50,2,FALSE)</f>
        <v>85014</v>
      </c>
      <c r="I28">
        <f>VLOOKUP(C28,[1]EmployeeTerritories!$A$1:$B$50,1,FALSE)</f>
        <v>6</v>
      </c>
      <c r="J28">
        <f>VLOOKUP(H28,[1]!Territories,3,FALSE)</f>
        <v>2</v>
      </c>
      <c r="K28" t="str">
        <f>VLOOKUP(J28,[1]!Region,2,FALSE)</f>
        <v>Western</v>
      </c>
      <c r="L28">
        <f>VLOOKUP(A28,[1]Order_Details!$A$1:$F$2156,2,FALSE)</f>
        <v>71</v>
      </c>
      <c r="M28" t="str">
        <f>VLOOKUP(L28,[1]!Products,2,FALSE)</f>
        <v>Flotemysost</v>
      </c>
      <c r="N28">
        <f>VLOOKUP(L28,[1]!Products,4,FALSE)</f>
        <v>4</v>
      </c>
      <c r="O28" s="6" t="str">
        <f>VLOOKUP(N28,[1]!Categories,2,FALSE)</f>
        <v>Dairy Products</v>
      </c>
      <c r="P28" s="6">
        <f>VLOOKUP(A28,[1]Order_Details!$A$1:$F$2156,3,FALSE)</f>
        <v>17.2</v>
      </c>
      <c r="Q28">
        <f>VLOOKUP(A28,[1]Order_Details!$A$1:$F$2156,4,FALSE)</f>
        <v>20</v>
      </c>
      <c r="R28">
        <f>VLOOKUP(A28,[1]Order_Details!$A$1:$F$2156,5,FALSE)</f>
        <v>0</v>
      </c>
      <c r="S28" s="6">
        <f>VLOOKUP(A28,[1]Order_Details!$A$1:$F$2156,6,FALSE)</f>
        <v>344</v>
      </c>
      <c r="T28" s="6">
        <f>VLOOKUP(A28,[1]!Orders,8,FALSE)</f>
        <v>6.01</v>
      </c>
    </row>
    <row r="29" spans="1:20" x14ac:dyDescent="0.3">
      <c r="A29" s="2">
        <v>10275</v>
      </c>
      <c r="B29" s="2" t="s">
        <v>26</v>
      </c>
      <c r="C29" s="2">
        <v>1</v>
      </c>
      <c r="D29" s="3">
        <v>35284</v>
      </c>
      <c r="E29" t="str">
        <f>VLOOKUP(C29,[1]Employees!$A$1:$O$10,4,FALSE)</f>
        <v>Davolio Nancy</v>
      </c>
      <c r="F29">
        <f>VLOOKUP(A29,[1]!Orders,7,FALSE)</f>
        <v>1</v>
      </c>
      <c r="G29" t="str">
        <f>VLOOKUP(F29,[1]!Shippers,2,FALSE)</f>
        <v>Speedy Express</v>
      </c>
      <c r="H29" t="str">
        <f>VLOOKUP(C29,[1]EmployeeTerritories!$A$1:$B$50,2,FALSE)</f>
        <v>06897</v>
      </c>
      <c r="I29">
        <f>VLOOKUP(C29,[1]EmployeeTerritories!$A$1:$B$50,1,FALSE)</f>
        <v>1</v>
      </c>
      <c r="J29">
        <f>VLOOKUP(H29,[1]!Territories,3,FALSE)</f>
        <v>1</v>
      </c>
      <c r="K29" t="str">
        <f>VLOOKUP(J29,[1]!Region,2,FALSE)</f>
        <v>Eastern</v>
      </c>
      <c r="L29">
        <f>VLOOKUP(A29,[1]Order_Details!$A$1:$F$2156,2,FALSE)</f>
        <v>24</v>
      </c>
      <c r="M29" t="str">
        <f>VLOOKUP(L29,[1]!Products,2,FALSE)</f>
        <v>Guaraná Fantástica</v>
      </c>
      <c r="N29">
        <f>VLOOKUP(L29,[1]!Products,4,FALSE)</f>
        <v>1</v>
      </c>
      <c r="O29" s="6" t="str">
        <f>VLOOKUP(N29,[1]!Categories,2,FALSE)</f>
        <v>Beverages</v>
      </c>
      <c r="P29" s="6">
        <f>VLOOKUP(A29,[1]Order_Details!$A$1:$F$2156,3,FALSE)</f>
        <v>3.6</v>
      </c>
      <c r="Q29">
        <f>VLOOKUP(A29,[1]Order_Details!$A$1:$F$2156,4,FALSE)</f>
        <v>12</v>
      </c>
      <c r="R29">
        <f>VLOOKUP(A29,[1]Order_Details!$A$1:$F$2156,5,FALSE)</f>
        <v>5.000000074505806E-2</v>
      </c>
      <c r="S29" s="6">
        <f>VLOOKUP(A29,[1]Order_Details!$A$1:$F$2156,6,FALSE)</f>
        <v>41.039999967813493</v>
      </c>
      <c r="T29" s="6">
        <f>VLOOKUP(A29,[1]!Orders,8,FALSE)</f>
        <v>26.93</v>
      </c>
    </row>
    <row r="30" spans="1:20" x14ac:dyDescent="0.3">
      <c r="A30" s="2">
        <v>10276</v>
      </c>
      <c r="B30" s="2" t="s">
        <v>27</v>
      </c>
      <c r="C30" s="2">
        <v>8</v>
      </c>
      <c r="D30" s="3">
        <v>35285</v>
      </c>
      <c r="E30" t="str">
        <f>VLOOKUP(C30,[1]Employees!$A$1:$O$10,4,FALSE)</f>
        <v>Callahan Laura</v>
      </c>
      <c r="F30">
        <f>VLOOKUP(A30,[1]!Orders,7,FALSE)</f>
        <v>3</v>
      </c>
      <c r="G30" t="str">
        <f>VLOOKUP(F30,[1]!Shippers,2,FALSE)</f>
        <v>Federal Shipping</v>
      </c>
      <c r="H30" t="str">
        <f>VLOOKUP(C30,[1]EmployeeTerritories!$A$1:$B$50,2,FALSE)</f>
        <v>19428</v>
      </c>
      <c r="I30">
        <f>VLOOKUP(C30,[1]EmployeeTerritories!$A$1:$B$50,1,FALSE)</f>
        <v>8</v>
      </c>
      <c r="J30">
        <f>VLOOKUP(H30,[1]!Territories,3,FALSE)</f>
        <v>3</v>
      </c>
      <c r="K30" t="str">
        <f>VLOOKUP(J30,[1]!Region,2,FALSE)</f>
        <v>Northern</v>
      </c>
      <c r="L30">
        <f>VLOOKUP(A30,[1]Order_Details!$A$1:$F$2156,2,FALSE)</f>
        <v>10</v>
      </c>
      <c r="M30" t="str">
        <f>VLOOKUP(L30,[1]!Products,2,FALSE)</f>
        <v>Ikura</v>
      </c>
      <c r="N30">
        <f>VLOOKUP(L30,[1]!Products,4,FALSE)</f>
        <v>8</v>
      </c>
      <c r="O30" s="6" t="str">
        <f>VLOOKUP(N30,[1]!Categories,2,FALSE)</f>
        <v>Seafood</v>
      </c>
      <c r="P30" s="6">
        <f>VLOOKUP(A30,[1]Order_Details!$A$1:$F$2156,3,FALSE)</f>
        <v>24.8</v>
      </c>
      <c r="Q30">
        <f>VLOOKUP(A30,[1]Order_Details!$A$1:$F$2156,4,FALSE)</f>
        <v>15</v>
      </c>
      <c r="R30">
        <f>VLOOKUP(A30,[1]Order_Details!$A$1:$F$2156,5,FALSE)</f>
        <v>0</v>
      </c>
      <c r="S30" s="6">
        <f>VLOOKUP(A30,[1]Order_Details!$A$1:$F$2156,6,FALSE)</f>
        <v>372</v>
      </c>
      <c r="T30" s="6">
        <f>VLOOKUP(A30,[1]!Orders,8,FALSE)</f>
        <v>13.84</v>
      </c>
    </row>
    <row r="31" spans="1:20" x14ac:dyDescent="0.3">
      <c r="A31" s="2">
        <v>10277</v>
      </c>
      <c r="B31" s="2" t="s">
        <v>28</v>
      </c>
      <c r="C31" s="2">
        <v>2</v>
      </c>
      <c r="D31" s="3">
        <v>35286</v>
      </c>
      <c r="E31" t="str">
        <f>VLOOKUP(C31,[1]Employees!$A$1:$O$10,4,FALSE)</f>
        <v>Fuller Andrew</v>
      </c>
      <c r="F31">
        <f>VLOOKUP(A31,[1]!Orders,7,FALSE)</f>
        <v>3</v>
      </c>
      <c r="G31" t="str">
        <f>VLOOKUP(F31,[1]!Shippers,2,FALSE)</f>
        <v>Federal Shipping</v>
      </c>
      <c r="H31" t="str">
        <f>VLOOKUP(C31,[1]EmployeeTerritories!$A$1:$B$50,2,FALSE)</f>
        <v>01581</v>
      </c>
      <c r="I31">
        <f>VLOOKUP(C31,[1]EmployeeTerritories!$A$1:$B$50,1,FALSE)</f>
        <v>2</v>
      </c>
      <c r="J31">
        <f>VLOOKUP(H31,[1]!Territories,3,FALSE)</f>
        <v>1</v>
      </c>
      <c r="K31" t="str">
        <f>VLOOKUP(J31,[1]!Region,2,FALSE)</f>
        <v>Eastern</v>
      </c>
      <c r="L31">
        <f>VLOOKUP(A31,[1]Order_Details!$A$1:$F$2156,2,FALSE)</f>
        <v>28</v>
      </c>
      <c r="M31" t="str">
        <f>VLOOKUP(L31,[1]!Products,2,FALSE)</f>
        <v>Rössle Sauerkraut</v>
      </c>
      <c r="N31">
        <f>VLOOKUP(L31,[1]!Products,4,FALSE)</f>
        <v>7</v>
      </c>
      <c r="O31" s="6" t="str">
        <f>VLOOKUP(N31,[1]!Categories,2,FALSE)</f>
        <v>Produce</v>
      </c>
      <c r="P31" s="6">
        <f>VLOOKUP(A31,[1]Order_Details!$A$1:$F$2156,3,FALSE)</f>
        <v>36.4</v>
      </c>
      <c r="Q31">
        <f>VLOOKUP(A31,[1]Order_Details!$A$1:$F$2156,4,FALSE)</f>
        <v>20</v>
      </c>
      <c r="R31">
        <f>VLOOKUP(A31,[1]Order_Details!$A$1:$F$2156,5,FALSE)</f>
        <v>0</v>
      </c>
      <c r="S31" s="6">
        <f>VLOOKUP(A31,[1]Order_Details!$A$1:$F$2156,6,FALSE)</f>
        <v>728</v>
      </c>
      <c r="T31" s="6">
        <f>VLOOKUP(A31,[1]!Orders,8,FALSE)</f>
        <v>125.77</v>
      </c>
    </row>
    <row r="32" spans="1:20" x14ac:dyDescent="0.3">
      <c r="A32" s="2">
        <v>10278</v>
      </c>
      <c r="B32" s="2" t="s">
        <v>29</v>
      </c>
      <c r="C32" s="2">
        <v>8</v>
      </c>
      <c r="D32" s="3">
        <v>35289</v>
      </c>
      <c r="E32" t="str">
        <f>VLOOKUP(C32,[1]Employees!$A$1:$O$10,4,FALSE)</f>
        <v>Callahan Laura</v>
      </c>
      <c r="F32">
        <f>VLOOKUP(A32,[1]!Orders,7,FALSE)</f>
        <v>2</v>
      </c>
      <c r="G32" t="str">
        <f>VLOOKUP(F32,[1]!Shippers,2,FALSE)</f>
        <v>United Package</v>
      </c>
      <c r="H32" t="str">
        <f>VLOOKUP(C32,[1]EmployeeTerritories!$A$1:$B$50,2,FALSE)</f>
        <v>19428</v>
      </c>
      <c r="I32">
        <f>VLOOKUP(C32,[1]EmployeeTerritories!$A$1:$B$50,1,FALSE)</f>
        <v>8</v>
      </c>
      <c r="J32">
        <f>VLOOKUP(H32,[1]!Territories,3,FALSE)</f>
        <v>3</v>
      </c>
      <c r="K32" t="str">
        <f>VLOOKUP(J32,[1]!Region,2,FALSE)</f>
        <v>Northern</v>
      </c>
      <c r="L32">
        <f>VLOOKUP(A32,[1]Order_Details!$A$1:$F$2156,2,FALSE)</f>
        <v>44</v>
      </c>
      <c r="M32" t="str">
        <f>VLOOKUP(L32,[1]!Products,2,FALSE)</f>
        <v>Gula Malacca</v>
      </c>
      <c r="N32">
        <f>VLOOKUP(L32,[1]!Products,4,FALSE)</f>
        <v>2</v>
      </c>
      <c r="O32" s="6" t="str">
        <f>VLOOKUP(N32,[1]!Categories,2,FALSE)</f>
        <v>Condiments</v>
      </c>
      <c r="P32" s="6">
        <f>VLOOKUP(A32,[1]Order_Details!$A$1:$F$2156,3,FALSE)</f>
        <v>15.5</v>
      </c>
      <c r="Q32">
        <f>VLOOKUP(A32,[1]Order_Details!$A$1:$F$2156,4,FALSE)</f>
        <v>16</v>
      </c>
      <c r="R32">
        <f>VLOOKUP(A32,[1]Order_Details!$A$1:$F$2156,5,FALSE)</f>
        <v>0</v>
      </c>
      <c r="S32" s="6">
        <f>VLOOKUP(A32,[1]Order_Details!$A$1:$F$2156,6,FALSE)</f>
        <v>248</v>
      </c>
      <c r="T32" s="6">
        <f>VLOOKUP(A32,[1]!Orders,8,FALSE)</f>
        <v>92.69</v>
      </c>
    </row>
    <row r="33" spans="1:20" x14ac:dyDescent="0.3">
      <c r="A33" s="2">
        <v>10279</v>
      </c>
      <c r="B33" s="2" t="s">
        <v>30</v>
      </c>
      <c r="C33" s="2">
        <v>8</v>
      </c>
      <c r="D33" s="3">
        <v>35290</v>
      </c>
      <c r="E33" t="str">
        <f>VLOOKUP(C33,[1]Employees!$A$1:$O$10,4,FALSE)</f>
        <v>Callahan Laura</v>
      </c>
      <c r="F33">
        <f>VLOOKUP(A33,[1]!Orders,7,FALSE)</f>
        <v>2</v>
      </c>
      <c r="G33" t="str">
        <f>VLOOKUP(F33,[1]!Shippers,2,FALSE)</f>
        <v>United Package</v>
      </c>
      <c r="H33" t="str">
        <f>VLOOKUP(C33,[1]EmployeeTerritories!$A$1:$B$50,2,FALSE)</f>
        <v>19428</v>
      </c>
      <c r="I33">
        <f>VLOOKUP(C33,[1]EmployeeTerritories!$A$1:$B$50,1,FALSE)</f>
        <v>8</v>
      </c>
      <c r="J33">
        <f>VLOOKUP(H33,[1]!Territories,3,FALSE)</f>
        <v>3</v>
      </c>
      <c r="K33" t="str">
        <f>VLOOKUP(J33,[1]!Region,2,FALSE)</f>
        <v>Northern</v>
      </c>
      <c r="L33">
        <f>VLOOKUP(A33,[1]Order_Details!$A$1:$F$2156,2,FALSE)</f>
        <v>17</v>
      </c>
      <c r="M33" t="str">
        <f>VLOOKUP(L33,[1]!Products,2,FALSE)</f>
        <v>Alice Mutton</v>
      </c>
      <c r="N33">
        <f>VLOOKUP(L33,[1]!Products,4,FALSE)</f>
        <v>6</v>
      </c>
      <c r="O33" s="6" t="str">
        <f>VLOOKUP(N33,[1]!Categories,2,FALSE)</f>
        <v>Meat/Poultry</v>
      </c>
      <c r="P33" s="6">
        <f>VLOOKUP(A33,[1]Order_Details!$A$1:$F$2156,3,FALSE)</f>
        <v>31.2</v>
      </c>
      <c r="Q33">
        <f>VLOOKUP(A33,[1]Order_Details!$A$1:$F$2156,4,FALSE)</f>
        <v>15</v>
      </c>
      <c r="R33">
        <f>VLOOKUP(A33,[1]Order_Details!$A$1:$F$2156,5,FALSE)</f>
        <v>0.25</v>
      </c>
      <c r="S33" s="6">
        <f>VLOOKUP(A33,[1]Order_Details!$A$1:$F$2156,6,FALSE)</f>
        <v>351</v>
      </c>
      <c r="T33" s="6">
        <f>VLOOKUP(A33,[1]!Orders,8,FALSE)</f>
        <v>25.83</v>
      </c>
    </row>
    <row r="34" spans="1:20" x14ac:dyDescent="0.3">
      <c r="A34" s="2">
        <v>10280</v>
      </c>
      <c r="B34" s="2" t="s">
        <v>29</v>
      </c>
      <c r="C34" s="2">
        <v>2</v>
      </c>
      <c r="D34" s="3">
        <v>35291</v>
      </c>
      <c r="E34" t="str">
        <f>VLOOKUP(C34,[1]Employees!$A$1:$O$10,4,FALSE)</f>
        <v>Fuller Andrew</v>
      </c>
      <c r="F34">
        <f>VLOOKUP(A34,[1]!Orders,7,FALSE)</f>
        <v>1</v>
      </c>
      <c r="G34" t="str">
        <f>VLOOKUP(F34,[1]!Shippers,2,FALSE)</f>
        <v>Speedy Express</v>
      </c>
      <c r="H34" t="str">
        <f>VLOOKUP(C34,[1]EmployeeTerritories!$A$1:$B$50,2,FALSE)</f>
        <v>01581</v>
      </c>
      <c r="I34">
        <f>VLOOKUP(C34,[1]EmployeeTerritories!$A$1:$B$50,1,FALSE)</f>
        <v>2</v>
      </c>
      <c r="J34">
        <f>VLOOKUP(H34,[1]!Territories,3,FALSE)</f>
        <v>1</v>
      </c>
      <c r="K34" t="str">
        <f>VLOOKUP(J34,[1]!Region,2,FALSE)</f>
        <v>Eastern</v>
      </c>
      <c r="L34">
        <f>VLOOKUP(A34,[1]Order_Details!$A$1:$F$2156,2,FALSE)</f>
        <v>24</v>
      </c>
      <c r="M34" t="str">
        <f>VLOOKUP(L34,[1]!Products,2,FALSE)</f>
        <v>Guaraná Fantástica</v>
      </c>
      <c r="N34">
        <f>VLOOKUP(L34,[1]!Products,4,FALSE)</f>
        <v>1</v>
      </c>
      <c r="O34" s="6" t="str">
        <f>VLOOKUP(N34,[1]!Categories,2,FALSE)</f>
        <v>Beverages</v>
      </c>
      <c r="P34" s="6">
        <f>VLOOKUP(A34,[1]Order_Details!$A$1:$F$2156,3,FALSE)</f>
        <v>3.6</v>
      </c>
      <c r="Q34">
        <f>VLOOKUP(A34,[1]Order_Details!$A$1:$F$2156,4,FALSE)</f>
        <v>12</v>
      </c>
      <c r="R34">
        <f>VLOOKUP(A34,[1]Order_Details!$A$1:$F$2156,5,FALSE)</f>
        <v>0</v>
      </c>
      <c r="S34" s="6">
        <f>VLOOKUP(A34,[1]Order_Details!$A$1:$F$2156,6,FALSE)</f>
        <v>43.2</v>
      </c>
      <c r="T34" s="6">
        <f>VLOOKUP(A34,[1]!Orders,8,FALSE)</f>
        <v>8.98</v>
      </c>
    </row>
    <row r="35" spans="1:20" x14ac:dyDescent="0.3">
      <c r="A35" s="2">
        <v>10281</v>
      </c>
      <c r="B35" s="2" t="s">
        <v>31</v>
      </c>
      <c r="C35" s="2">
        <v>4</v>
      </c>
      <c r="D35" s="3">
        <v>35291</v>
      </c>
      <c r="E35" t="str">
        <f>VLOOKUP(C35,[1]Employees!$A$1:$O$10,4,FALSE)</f>
        <v>Peacock Margaret</v>
      </c>
      <c r="F35">
        <f>VLOOKUP(A35,[1]!Orders,7,FALSE)</f>
        <v>1</v>
      </c>
      <c r="G35" t="str">
        <f>VLOOKUP(F35,[1]!Shippers,2,FALSE)</f>
        <v>Speedy Express</v>
      </c>
      <c r="H35" t="str">
        <f>VLOOKUP(C35,[1]EmployeeTerritories!$A$1:$B$50,2,FALSE)</f>
        <v>20852</v>
      </c>
      <c r="I35">
        <f>VLOOKUP(C35,[1]EmployeeTerritories!$A$1:$B$50,1,FALSE)</f>
        <v>4</v>
      </c>
      <c r="J35">
        <f>VLOOKUP(H35,[1]!Territories,3,FALSE)</f>
        <v>1</v>
      </c>
      <c r="K35" t="str">
        <f>VLOOKUP(J35,[1]!Region,2,FALSE)</f>
        <v>Eastern</v>
      </c>
      <c r="L35">
        <f>VLOOKUP(A35,[1]Order_Details!$A$1:$F$2156,2,FALSE)</f>
        <v>19</v>
      </c>
      <c r="M35" t="str">
        <f>VLOOKUP(L35,[1]!Products,2,FALSE)</f>
        <v>Teatime Chocolate Biscuits</v>
      </c>
      <c r="N35">
        <f>VLOOKUP(L35,[1]!Products,4,FALSE)</f>
        <v>3</v>
      </c>
      <c r="O35" s="6" t="str">
        <f>VLOOKUP(N35,[1]!Categories,2,FALSE)</f>
        <v>Confections</v>
      </c>
      <c r="P35" s="6">
        <f>VLOOKUP(A35,[1]Order_Details!$A$1:$F$2156,3,FALSE)</f>
        <v>7.3</v>
      </c>
      <c r="Q35">
        <f>VLOOKUP(A35,[1]Order_Details!$A$1:$F$2156,4,FALSE)</f>
        <v>1</v>
      </c>
      <c r="R35">
        <f>VLOOKUP(A35,[1]Order_Details!$A$1:$F$2156,5,FALSE)</f>
        <v>0</v>
      </c>
      <c r="S35" s="6">
        <f>VLOOKUP(A35,[1]Order_Details!$A$1:$F$2156,6,FALSE)</f>
        <v>7.3</v>
      </c>
      <c r="T35" s="6">
        <f>VLOOKUP(A35,[1]!Orders,8,FALSE)</f>
        <v>2.94</v>
      </c>
    </row>
    <row r="36" spans="1:20" x14ac:dyDescent="0.3">
      <c r="A36" s="2">
        <v>10282</v>
      </c>
      <c r="B36" s="2" t="s">
        <v>31</v>
      </c>
      <c r="C36" s="2">
        <v>4</v>
      </c>
      <c r="D36" s="3">
        <v>35292</v>
      </c>
      <c r="E36" t="str">
        <f>VLOOKUP(C36,[1]Employees!$A$1:$O$10,4,FALSE)</f>
        <v>Peacock Margaret</v>
      </c>
      <c r="F36">
        <f>VLOOKUP(A36,[1]!Orders,7,FALSE)</f>
        <v>1</v>
      </c>
      <c r="G36" t="str">
        <f>VLOOKUP(F36,[1]!Shippers,2,FALSE)</f>
        <v>Speedy Express</v>
      </c>
      <c r="H36" t="str">
        <f>VLOOKUP(C36,[1]EmployeeTerritories!$A$1:$B$50,2,FALSE)</f>
        <v>20852</v>
      </c>
      <c r="I36">
        <f>VLOOKUP(C36,[1]EmployeeTerritories!$A$1:$B$50,1,FALSE)</f>
        <v>4</v>
      </c>
      <c r="J36">
        <f>VLOOKUP(H36,[1]!Territories,3,FALSE)</f>
        <v>1</v>
      </c>
      <c r="K36" t="str">
        <f>VLOOKUP(J36,[1]!Region,2,FALSE)</f>
        <v>Eastern</v>
      </c>
      <c r="L36">
        <f>VLOOKUP(A36,[1]Order_Details!$A$1:$F$2156,2,FALSE)</f>
        <v>30</v>
      </c>
      <c r="M36" t="str">
        <f>VLOOKUP(L36,[1]!Products,2,FALSE)</f>
        <v>Nord-Ost Matjeshering</v>
      </c>
      <c r="N36">
        <f>VLOOKUP(L36,[1]!Products,4,FALSE)</f>
        <v>8</v>
      </c>
      <c r="O36" s="6" t="str">
        <f>VLOOKUP(N36,[1]!Categories,2,FALSE)</f>
        <v>Seafood</v>
      </c>
      <c r="P36" s="6">
        <f>VLOOKUP(A36,[1]Order_Details!$A$1:$F$2156,3,FALSE)</f>
        <v>20.7</v>
      </c>
      <c r="Q36">
        <f>VLOOKUP(A36,[1]Order_Details!$A$1:$F$2156,4,FALSE)</f>
        <v>6</v>
      </c>
      <c r="R36">
        <f>VLOOKUP(A36,[1]Order_Details!$A$1:$F$2156,5,FALSE)</f>
        <v>0</v>
      </c>
      <c r="S36" s="6">
        <f>VLOOKUP(A36,[1]Order_Details!$A$1:$F$2156,6,FALSE)</f>
        <v>124.19999999999999</v>
      </c>
      <c r="T36" s="6">
        <f>VLOOKUP(A36,[1]!Orders,8,FALSE)</f>
        <v>12.69</v>
      </c>
    </row>
    <row r="37" spans="1:20" x14ac:dyDescent="0.3">
      <c r="A37" s="2">
        <v>10283</v>
      </c>
      <c r="B37" s="2" t="s">
        <v>32</v>
      </c>
      <c r="C37" s="2">
        <v>3</v>
      </c>
      <c r="D37" s="3">
        <v>35293</v>
      </c>
      <c r="E37" t="str">
        <f>VLOOKUP(C37,[1]Employees!$A$1:$O$10,4,FALSE)</f>
        <v>Leverling Janet</v>
      </c>
      <c r="F37">
        <f>VLOOKUP(A37,[1]!Orders,7,FALSE)</f>
        <v>3</v>
      </c>
      <c r="G37" t="str">
        <f>VLOOKUP(F37,[1]!Shippers,2,FALSE)</f>
        <v>Federal Shipping</v>
      </c>
      <c r="H37" t="str">
        <f>VLOOKUP(C37,[1]EmployeeTerritories!$A$1:$B$50,2,FALSE)</f>
        <v>30346</v>
      </c>
      <c r="I37">
        <f>VLOOKUP(C37,[1]EmployeeTerritories!$A$1:$B$50,1,FALSE)</f>
        <v>3</v>
      </c>
      <c r="J37">
        <f>VLOOKUP(H37,[1]!Territories,3,FALSE)</f>
        <v>4</v>
      </c>
      <c r="K37" t="str">
        <f>VLOOKUP(J37,[1]!Region,2,FALSE)</f>
        <v>Southern</v>
      </c>
      <c r="L37">
        <f>VLOOKUP(A37,[1]Order_Details!$A$1:$F$2156,2,FALSE)</f>
        <v>15</v>
      </c>
      <c r="M37" t="str">
        <f>VLOOKUP(L37,[1]!Products,2,FALSE)</f>
        <v>Genen Shouyu</v>
      </c>
      <c r="N37">
        <f>VLOOKUP(L37,[1]!Products,4,FALSE)</f>
        <v>2</v>
      </c>
      <c r="O37" s="6" t="str">
        <f>VLOOKUP(N37,[1]!Categories,2,FALSE)</f>
        <v>Condiments</v>
      </c>
      <c r="P37" s="6">
        <f>VLOOKUP(A37,[1]Order_Details!$A$1:$F$2156,3,FALSE)</f>
        <v>12.4</v>
      </c>
      <c r="Q37">
        <f>VLOOKUP(A37,[1]Order_Details!$A$1:$F$2156,4,FALSE)</f>
        <v>20</v>
      </c>
      <c r="R37">
        <f>VLOOKUP(A37,[1]Order_Details!$A$1:$F$2156,5,FALSE)</f>
        <v>0</v>
      </c>
      <c r="S37" s="6">
        <f>VLOOKUP(A37,[1]Order_Details!$A$1:$F$2156,6,FALSE)</f>
        <v>248</v>
      </c>
      <c r="T37" s="6">
        <f>VLOOKUP(A37,[1]!Orders,8,FALSE)</f>
        <v>84.81</v>
      </c>
    </row>
    <row r="38" spans="1:20" x14ac:dyDescent="0.3">
      <c r="A38" s="2">
        <v>10284</v>
      </c>
      <c r="B38" s="2" t="s">
        <v>30</v>
      </c>
      <c r="C38" s="2">
        <v>4</v>
      </c>
      <c r="D38" s="3">
        <v>35296</v>
      </c>
      <c r="E38" t="str">
        <f>VLOOKUP(C38,[1]Employees!$A$1:$O$10,4,FALSE)</f>
        <v>Peacock Margaret</v>
      </c>
      <c r="F38">
        <f>VLOOKUP(A38,[1]!Orders,7,FALSE)</f>
        <v>1</v>
      </c>
      <c r="G38" t="str">
        <f>VLOOKUP(F38,[1]!Shippers,2,FALSE)</f>
        <v>Speedy Express</v>
      </c>
      <c r="H38" t="str">
        <f>VLOOKUP(C38,[1]EmployeeTerritories!$A$1:$B$50,2,FALSE)</f>
        <v>20852</v>
      </c>
      <c r="I38">
        <f>VLOOKUP(C38,[1]EmployeeTerritories!$A$1:$B$50,1,FALSE)</f>
        <v>4</v>
      </c>
      <c r="J38">
        <f>VLOOKUP(H38,[1]!Territories,3,FALSE)</f>
        <v>1</v>
      </c>
      <c r="K38" t="str">
        <f>VLOOKUP(J38,[1]!Region,2,FALSE)</f>
        <v>Eastern</v>
      </c>
      <c r="L38">
        <f>VLOOKUP(A38,[1]Order_Details!$A$1:$F$2156,2,FALSE)</f>
        <v>27</v>
      </c>
      <c r="M38" t="str">
        <f>VLOOKUP(L38,[1]!Products,2,FALSE)</f>
        <v>Schoggi Schokolade</v>
      </c>
      <c r="N38">
        <f>VLOOKUP(L38,[1]!Products,4,FALSE)</f>
        <v>3</v>
      </c>
      <c r="O38" s="6" t="str">
        <f>VLOOKUP(N38,[1]!Categories,2,FALSE)</f>
        <v>Confections</v>
      </c>
      <c r="P38" s="6">
        <f>VLOOKUP(A38,[1]Order_Details!$A$1:$F$2156,3,FALSE)</f>
        <v>35.1</v>
      </c>
      <c r="Q38">
        <f>VLOOKUP(A38,[1]Order_Details!$A$1:$F$2156,4,FALSE)</f>
        <v>15</v>
      </c>
      <c r="R38">
        <f>VLOOKUP(A38,[1]Order_Details!$A$1:$F$2156,5,FALSE)</f>
        <v>0.25</v>
      </c>
      <c r="S38" s="6">
        <f>VLOOKUP(A38,[1]Order_Details!$A$1:$F$2156,6,FALSE)</f>
        <v>394.875</v>
      </c>
      <c r="T38" s="6">
        <f>VLOOKUP(A38,[1]!Orders,8,FALSE)</f>
        <v>76.56</v>
      </c>
    </row>
    <row r="39" spans="1:20" x14ac:dyDescent="0.3">
      <c r="A39" s="2">
        <v>10285</v>
      </c>
      <c r="B39" s="2" t="s">
        <v>25</v>
      </c>
      <c r="C39" s="2">
        <v>1</v>
      </c>
      <c r="D39" s="3">
        <v>35297</v>
      </c>
      <c r="E39" t="str">
        <f>VLOOKUP(C39,[1]Employees!$A$1:$O$10,4,FALSE)</f>
        <v>Davolio Nancy</v>
      </c>
      <c r="F39">
        <f>VLOOKUP(A39,[1]!Orders,7,FALSE)</f>
        <v>2</v>
      </c>
      <c r="G39" t="str">
        <f>VLOOKUP(F39,[1]!Shippers,2,FALSE)</f>
        <v>United Package</v>
      </c>
      <c r="H39" t="str">
        <f>VLOOKUP(C39,[1]EmployeeTerritories!$A$1:$B$50,2,FALSE)</f>
        <v>06897</v>
      </c>
      <c r="I39">
        <f>VLOOKUP(C39,[1]EmployeeTerritories!$A$1:$B$50,1,FALSE)</f>
        <v>1</v>
      </c>
      <c r="J39">
        <f>VLOOKUP(H39,[1]!Territories,3,FALSE)</f>
        <v>1</v>
      </c>
      <c r="K39" t="str">
        <f>VLOOKUP(J39,[1]!Region,2,FALSE)</f>
        <v>Eastern</v>
      </c>
      <c r="L39">
        <f>VLOOKUP(A39,[1]Order_Details!$A$1:$F$2156,2,FALSE)</f>
        <v>1</v>
      </c>
      <c r="M39" t="str">
        <f>VLOOKUP(L39,[1]!Products,2,FALSE)</f>
        <v>Chai</v>
      </c>
      <c r="N39">
        <f>VLOOKUP(L39,[1]!Products,4,FALSE)</f>
        <v>1</v>
      </c>
      <c r="O39" s="6" t="str">
        <f>VLOOKUP(N39,[1]!Categories,2,FALSE)</f>
        <v>Beverages</v>
      </c>
      <c r="P39" s="6">
        <f>VLOOKUP(A39,[1]Order_Details!$A$1:$F$2156,3,FALSE)</f>
        <v>14.4</v>
      </c>
      <c r="Q39">
        <f>VLOOKUP(A39,[1]Order_Details!$A$1:$F$2156,4,FALSE)</f>
        <v>45</v>
      </c>
      <c r="R39">
        <f>VLOOKUP(A39,[1]Order_Details!$A$1:$F$2156,5,FALSE)</f>
        <v>0.20000000298023224</v>
      </c>
      <c r="S39" s="6">
        <f>VLOOKUP(A39,[1]Order_Details!$A$1:$F$2156,6,FALSE)</f>
        <v>518.39999806880951</v>
      </c>
      <c r="T39" s="6">
        <f>VLOOKUP(A39,[1]!Orders,8,FALSE)</f>
        <v>76.83</v>
      </c>
    </row>
    <row r="40" spans="1:20" x14ac:dyDescent="0.3">
      <c r="A40" s="2">
        <v>10286</v>
      </c>
      <c r="B40" s="2" t="s">
        <v>25</v>
      </c>
      <c r="C40" s="2">
        <v>8</v>
      </c>
      <c r="D40" s="3">
        <v>35298</v>
      </c>
      <c r="E40" t="str">
        <f>VLOOKUP(C40,[1]Employees!$A$1:$O$10,4,FALSE)</f>
        <v>Callahan Laura</v>
      </c>
      <c r="F40">
        <f>VLOOKUP(A40,[1]!Orders,7,FALSE)</f>
        <v>3</v>
      </c>
      <c r="G40" t="str">
        <f>VLOOKUP(F40,[1]!Shippers,2,FALSE)</f>
        <v>Federal Shipping</v>
      </c>
      <c r="H40" t="str">
        <f>VLOOKUP(C40,[1]EmployeeTerritories!$A$1:$B$50,2,FALSE)</f>
        <v>19428</v>
      </c>
      <c r="I40">
        <f>VLOOKUP(C40,[1]EmployeeTerritories!$A$1:$B$50,1,FALSE)</f>
        <v>8</v>
      </c>
      <c r="J40">
        <f>VLOOKUP(H40,[1]!Territories,3,FALSE)</f>
        <v>3</v>
      </c>
      <c r="K40" t="str">
        <f>VLOOKUP(J40,[1]!Region,2,FALSE)</f>
        <v>Northern</v>
      </c>
      <c r="L40">
        <f>VLOOKUP(A40,[1]Order_Details!$A$1:$F$2156,2,FALSE)</f>
        <v>35</v>
      </c>
      <c r="M40" t="str">
        <f>VLOOKUP(L40,[1]!Products,2,FALSE)</f>
        <v>Steeleye Stout</v>
      </c>
      <c r="N40">
        <f>VLOOKUP(L40,[1]!Products,4,FALSE)</f>
        <v>1</v>
      </c>
      <c r="O40" s="6" t="str">
        <f>VLOOKUP(N40,[1]!Categories,2,FALSE)</f>
        <v>Beverages</v>
      </c>
      <c r="P40" s="6">
        <f>VLOOKUP(A40,[1]Order_Details!$A$1:$F$2156,3,FALSE)</f>
        <v>14.4</v>
      </c>
      <c r="Q40">
        <f>VLOOKUP(A40,[1]Order_Details!$A$1:$F$2156,4,FALSE)</f>
        <v>100</v>
      </c>
      <c r="R40">
        <f>VLOOKUP(A40,[1]Order_Details!$A$1:$F$2156,5,FALSE)</f>
        <v>0</v>
      </c>
      <c r="S40" s="6">
        <f>VLOOKUP(A40,[1]Order_Details!$A$1:$F$2156,6,FALSE)</f>
        <v>1440</v>
      </c>
      <c r="T40" s="6">
        <f>VLOOKUP(A40,[1]!Orders,8,FALSE)</f>
        <v>229.24</v>
      </c>
    </row>
    <row r="41" spans="1:20" x14ac:dyDescent="0.3">
      <c r="A41" s="2">
        <v>10287</v>
      </c>
      <c r="B41" s="2" t="s">
        <v>33</v>
      </c>
      <c r="C41" s="2">
        <v>8</v>
      </c>
      <c r="D41" s="3">
        <v>35299</v>
      </c>
      <c r="E41" t="str">
        <f>VLOOKUP(C41,[1]Employees!$A$1:$O$10,4,FALSE)</f>
        <v>Callahan Laura</v>
      </c>
      <c r="F41">
        <f>VLOOKUP(A41,[1]!Orders,7,FALSE)</f>
        <v>3</v>
      </c>
      <c r="G41" t="str">
        <f>VLOOKUP(F41,[1]!Shippers,2,FALSE)</f>
        <v>Federal Shipping</v>
      </c>
      <c r="H41" t="str">
        <f>VLOOKUP(C41,[1]EmployeeTerritories!$A$1:$B$50,2,FALSE)</f>
        <v>19428</v>
      </c>
      <c r="I41">
        <f>VLOOKUP(C41,[1]EmployeeTerritories!$A$1:$B$50,1,FALSE)</f>
        <v>8</v>
      </c>
      <c r="J41">
        <f>VLOOKUP(H41,[1]!Territories,3,FALSE)</f>
        <v>3</v>
      </c>
      <c r="K41" t="str">
        <f>VLOOKUP(J41,[1]!Region,2,FALSE)</f>
        <v>Northern</v>
      </c>
      <c r="L41">
        <f>VLOOKUP(A41,[1]Order_Details!$A$1:$F$2156,2,FALSE)</f>
        <v>16</v>
      </c>
      <c r="M41" t="str">
        <f>VLOOKUP(L41,[1]!Products,2,FALSE)</f>
        <v>Pavlova</v>
      </c>
      <c r="N41">
        <f>VLOOKUP(L41,[1]!Products,4,FALSE)</f>
        <v>3</v>
      </c>
      <c r="O41" s="6" t="str">
        <f>VLOOKUP(N41,[1]!Categories,2,FALSE)</f>
        <v>Confections</v>
      </c>
      <c r="P41" s="6">
        <f>VLOOKUP(A41,[1]Order_Details!$A$1:$F$2156,3,FALSE)</f>
        <v>13.9</v>
      </c>
      <c r="Q41">
        <f>VLOOKUP(A41,[1]Order_Details!$A$1:$F$2156,4,FALSE)</f>
        <v>40</v>
      </c>
      <c r="R41">
        <f>VLOOKUP(A41,[1]Order_Details!$A$1:$F$2156,5,FALSE)</f>
        <v>0.15000000596046448</v>
      </c>
      <c r="S41" s="6">
        <f>VLOOKUP(A41,[1]Order_Details!$A$1:$F$2156,6,FALSE)</f>
        <v>472.59999668598175</v>
      </c>
      <c r="T41" s="6">
        <f>VLOOKUP(A41,[1]!Orders,8,FALSE)</f>
        <v>12.76</v>
      </c>
    </row>
    <row r="42" spans="1:20" x14ac:dyDescent="0.3">
      <c r="A42" s="2">
        <v>10288</v>
      </c>
      <c r="B42" s="2" t="s">
        <v>34</v>
      </c>
      <c r="C42" s="2">
        <v>4</v>
      </c>
      <c r="D42" s="3">
        <v>35300</v>
      </c>
      <c r="E42" t="str">
        <f>VLOOKUP(C42,[1]Employees!$A$1:$O$10,4,FALSE)</f>
        <v>Peacock Margaret</v>
      </c>
      <c r="F42">
        <f>VLOOKUP(A42,[1]!Orders,7,FALSE)</f>
        <v>1</v>
      </c>
      <c r="G42" t="str">
        <f>VLOOKUP(F42,[1]!Shippers,2,FALSE)</f>
        <v>Speedy Express</v>
      </c>
      <c r="H42" t="str">
        <f>VLOOKUP(C42,[1]EmployeeTerritories!$A$1:$B$50,2,FALSE)</f>
        <v>20852</v>
      </c>
      <c r="I42">
        <f>VLOOKUP(C42,[1]EmployeeTerritories!$A$1:$B$50,1,FALSE)</f>
        <v>4</v>
      </c>
      <c r="J42">
        <f>VLOOKUP(H42,[1]!Territories,3,FALSE)</f>
        <v>1</v>
      </c>
      <c r="K42" t="str">
        <f>VLOOKUP(J42,[1]!Region,2,FALSE)</f>
        <v>Eastern</v>
      </c>
      <c r="L42">
        <f>VLOOKUP(A42,[1]Order_Details!$A$1:$F$2156,2,FALSE)</f>
        <v>54</v>
      </c>
      <c r="M42" t="str">
        <f>VLOOKUP(L42,[1]!Products,2,FALSE)</f>
        <v>Tourtière</v>
      </c>
      <c r="N42">
        <f>VLOOKUP(L42,[1]!Products,4,FALSE)</f>
        <v>6</v>
      </c>
      <c r="O42" s="6" t="str">
        <f>VLOOKUP(N42,[1]!Categories,2,FALSE)</f>
        <v>Meat/Poultry</v>
      </c>
      <c r="P42" s="6">
        <f>VLOOKUP(A42,[1]Order_Details!$A$1:$F$2156,3,FALSE)</f>
        <v>5.9</v>
      </c>
      <c r="Q42">
        <f>VLOOKUP(A42,[1]Order_Details!$A$1:$F$2156,4,FALSE)</f>
        <v>10</v>
      </c>
      <c r="R42">
        <f>VLOOKUP(A42,[1]Order_Details!$A$1:$F$2156,5,FALSE)</f>
        <v>0.10000000149011612</v>
      </c>
      <c r="S42" s="6">
        <f>VLOOKUP(A42,[1]Order_Details!$A$1:$F$2156,6,FALSE)</f>
        <v>53.099999912083149</v>
      </c>
      <c r="T42" s="6">
        <f>VLOOKUP(A42,[1]!Orders,8,FALSE)</f>
        <v>7.45</v>
      </c>
    </row>
    <row r="43" spans="1:20" x14ac:dyDescent="0.3">
      <c r="A43" s="2">
        <v>10289</v>
      </c>
      <c r="B43" s="2" t="s">
        <v>35</v>
      </c>
      <c r="C43" s="2">
        <v>7</v>
      </c>
      <c r="D43" s="3">
        <v>35303</v>
      </c>
      <c r="E43" t="str">
        <f>VLOOKUP(C43,[1]Employees!$A$1:$O$10,4,FALSE)</f>
        <v>King Robert</v>
      </c>
      <c r="F43">
        <f>VLOOKUP(A43,[1]!Orders,7,FALSE)</f>
        <v>3</v>
      </c>
      <c r="G43" t="str">
        <f>VLOOKUP(F43,[1]!Shippers,2,FALSE)</f>
        <v>Federal Shipping</v>
      </c>
      <c r="H43" t="str">
        <f>VLOOKUP(C43,[1]EmployeeTerritories!$A$1:$B$50,2,FALSE)</f>
        <v>60179</v>
      </c>
      <c r="I43">
        <f>VLOOKUP(C43,[1]EmployeeTerritories!$A$1:$B$50,1,FALSE)</f>
        <v>7</v>
      </c>
      <c r="J43">
        <f>VLOOKUP(H43,[1]!Territories,3,FALSE)</f>
        <v>2</v>
      </c>
      <c r="K43" t="str">
        <f>VLOOKUP(J43,[1]!Region,2,FALSE)</f>
        <v>Western</v>
      </c>
      <c r="L43">
        <f>VLOOKUP(A43,[1]Order_Details!$A$1:$F$2156,2,FALSE)</f>
        <v>3</v>
      </c>
      <c r="M43" t="str">
        <f>VLOOKUP(L43,[1]!Products,2,FALSE)</f>
        <v>Aniseed Syrup</v>
      </c>
      <c r="N43">
        <f>VLOOKUP(L43,[1]!Products,4,FALSE)</f>
        <v>2</v>
      </c>
      <c r="O43" s="6" t="str">
        <f>VLOOKUP(N43,[1]!Categories,2,FALSE)</f>
        <v>Condiments</v>
      </c>
      <c r="P43" s="6">
        <f>VLOOKUP(A43,[1]Order_Details!$A$1:$F$2156,3,FALSE)</f>
        <v>8</v>
      </c>
      <c r="Q43">
        <f>VLOOKUP(A43,[1]Order_Details!$A$1:$F$2156,4,FALSE)</f>
        <v>30</v>
      </c>
      <c r="R43">
        <f>VLOOKUP(A43,[1]Order_Details!$A$1:$F$2156,5,FALSE)</f>
        <v>0</v>
      </c>
      <c r="S43" s="6">
        <f>VLOOKUP(A43,[1]Order_Details!$A$1:$F$2156,6,FALSE)</f>
        <v>240</v>
      </c>
      <c r="T43" s="6">
        <f>VLOOKUP(A43,[1]!Orders,8,FALSE)</f>
        <v>22.77</v>
      </c>
    </row>
    <row r="44" spans="1:20" x14ac:dyDescent="0.3">
      <c r="A44" s="2">
        <v>10290</v>
      </c>
      <c r="B44" s="2" t="s">
        <v>36</v>
      </c>
      <c r="C44" s="2">
        <v>8</v>
      </c>
      <c r="D44" s="3">
        <v>35304</v>
      </c>
      <c r="E44" t="str">
        <f>VLOOKUP(C44,[1]Employees!$A$1:$O$10,4,FALSE)</f>
        <v>Callahan Laura</v>
      </c>
      <c r="F44">
        <f>VLOOKUP(A44,[1]!Orders,7,FALSE)</f>
        <v>1</v>
      </c>
      <c r="G44" t="str">
        <f>VLOOKUP(F44,[1]!Shippers,2,FALSE)</f>
        <v>Speedy Express</v>
      </c>
      <c r="H44" t="str">
        <f>VLOOKUP(C44,[1]EmployeeTerritories!$A$1:$B$50,2,FALSE)</f>
        <v>19428</v>
      </c>
      <c r="I44">
        <f>VLOOKUP(C44,[1]EmployeeTerritories!$A$1:$B$50,1,FALSE)</f>
        <v>8</v>
      </c>
      <c r="J44">
        <f>VLOOKUP(H44,[1]!Territories,3,FALSE)</f>
        <v>3</v>
      </c>
      <c r="K44" t="str">
        <f>VLOOKUP(J44,[1]!Region,2,FALSE)</f>
        <v>Northern</v>
      </c>
      <c r="L44">
        <f>VLOOKUP(A44,[1]Order_Details!$A$1:$F$2156,2,FALSE)</f>
        <v>5</v>
      </c>
      <c r="M44" t="str">
        <f>VLOOKUP(L44,[1]!Products,2,FALSE)</f>
        <v>Chef Anton's Gumbo Mix</v>
      </c>
      <c r="N44">
        <f>VLOOKUP(L44,[1]!Products,4,FALSE)</f>
        <v>2</v>
      </c>
      <c r="O44" s="6" t="str">
        <f>VLOOKUP(N44,[1]!Categories,2,FALSE)</f>
        <v>Condiments</v>
      </c>
      <c r="P44" s="6">
        <f>VLOOKUP(A44,[1]Order_Details!$A$1:$F$2156,3,FALSE)</f>
        <v>17</v>
      </c>
      <c r="Q44">
        <f>VLOOKUP(A44,[1]Order_Details!$A$1:$F$2156,4,FALSE)</f>
        <v>20</v>
      </c>
      <c r="R44">
        <f>VLOOKUP(A44,[1]Order_Details!$A$1:$F$2156,5,FALSE)</f>
        <v>0</v>
      </c>
      <c r="S44" s="6">
        <f>VLOOKUP(A44,[1]Order_Details!$A$1:$F$2156,6,FALSE)</f>
        <v>340</v>
      </c>
      <c r="T44" s="6">
        <f>VLOOKUP(A44,[1]!Orders,8,FALSE)</f>
        <v>79.7</v>
      </c>
    </row>
    <row r="45" spans="1:20" x14ac:dyDescent="0.3">
      <c r="A45" s="2">
        <v>10291</v>
      </c>
      <c r="B45" s="2" t="s">
        <v>16</v>
      </c>
      <c r="C45" s="2">
        <v>6</v>
      </c>
      <c r="D45" s="3">
        <v>35304</v>
      </c>
      <c r="E45" t="str">
        <f>VLOOKUP(C45,[1]Employees!$A$1:$O$10,4,FALSE)</f>
        <v>Suyama Michael</v>
      </c>
      <c r="F45">
        <f>VLOOKUP(A45,[1]!Orders,7,FALSE)</f>
        <v>2</v>
      </c>
      <c r="G45" t="str">
        <f>VLOOKUP(F45,[1]!Shippers,2,FALSE)</f>
        <v>United Package</v>
      </c>
      <c r="H45" t="str">
        <f>VLOOKUP(C45,[1]EmployeeTerritories!$A$1:$B$50,2,FALSE)</f>
        <v>85014</v>
      </c>
      <c r="I45">
        <f>VLOOKUP(C45,[1]EmployeeTerritories!$A$1:$B$50,1,FALSE)</f>
        <v>6</v>
      </c>
      <c r="J45">
        <f>VLOOKUP(H45,[1]!Territories,3,FALSE)</f>
        <v>2</v>
      </c>
      <c r="K45" t="str">
        <f>VLOOKUP(J45,[1]!Region,2,FALSE)</f>
        <v>Western</v>
      </c>
      <c r="L45">
        <f>VLOOKUP(A45,[1]Order_Details!$A$1:$F$2156,2,FALSE)</f>
        <v>13</v>
      </c>
      <c r="M45" t="str">
        <f>VLOOKUP(L45,[1]!Products,2,FALSE)</f>
        <v>Konbu</v>
      </c>
      <c r="N45">
        <f>VLOOKUP(L45,[1]!Products,4,FALSE)</f>
        <v>8</v>
      </c>
      <c r="O45" s="6" t="str">
        <f>VLOOKUP(N45,[1]!Categories,2,FALSE)</f>
        <v>Seafood</v>
      </c>
      <c r="P45" s="6">
        <f>VLOOKUP(A45,[1]Order_Details!$A$1:$F$2156,3,FALSE)</f>
        <v>4.8</v>
      </c>
      <c r="Q45">
        <f>VLOOKUP(A45,[1]Order_Details!$A$1:$F$2156,4,FALSE)</f>
        <v>20</v>
      </c>
      <c r="R45">
        <f>VLOOKUP(A45,[1]Order_Details!$A$1:$F$2156,5,FALSE)</f>
        <v>0.10000000149011612</v>
      </c>
      <c r="S45" s="6">
        <f>VLOOKUP(A45,[1]Order_Details!$A$1:$F$2156,6,FALSE)</f>
        <v>86.399999856948853</v>
      </c>
      <c r="T45" s="6">
        <f>VLOOKUP(A45,[1]!Orders,8,FALSE)</f>
        <v>6.4</v>
      </c>
    </row>
    <row r="46" spans="1:20" x14ac:dyDescent="0.3">
      <c r="A46" s="2">
        <v>10292</v>
      </c>
      <c r="B46" s="2" t="s">
        <v>37</v>
      </c>
      <c r="C46" s="2">
        <v>1</v>
      </c>
      <c r="D46" s="3">
        <v>35305</v>
      </c>
      <c r="E46" t="str">
        <f>VLOOKUP(C46,[1]Employees!$A$1:$O$10,4,FALSE)</f>
        <v>Davolio Nancy</v>
      </c>
      <c r="F46">
        <f>VLOOKUP(A46,[1]!Orders,7,FALSE)</f>
        <v>2</v>
      </c>
      <c r="G46" t="str">
        <f>VLOOKUP(F46,[1]!Shippers,2,FALSE)</f>
        <v>United Package</v>
      </c>
      <c r="H46" t="str">
        <f>VLOOKUP(C46,[1]EmployeeTerritories!$A$1:$B$50,2,FALSE)</f>
        <v>06897</v>
      </c>
      <c r="I46">
        <f>VLOOKUP(C46,[1]EmployeeTerritories!$A$1:$B$50,1,FALSE)</f>
        <v>1</v>
      </c>
      <c r="J46">
        <f>VLOOKUP(H46,[1]!Territories,3,FALSE)</f>
        <v>1</v>
      </c>
      <c r="K46" t="str">
        <f>VLOOKUP(J46,[1]!Region,2,FALSE)</f>
        <v>Eastern</v>
      </c>
      <c r="L46">
        <f>VLOOKUP(A46,[1]Order_Details!$A$1:$F$2156,2,FALSE)</f>
        <v>20</v>
      </c>
      <c r="M46" t="str">
        <f>VLOOKUP(L46,[1]!Products,2,FALSE)</f>
        <v>Sir Rodney's Marmalade</v>
      </c>
      <c r="N46">
        <f>VLOOKUP(L46,[1]!Products,4,FALSE)</f>
        <v>3</v>
      </c>
      <c r="O46" s="6" t="str">
        <f>VLOOKUP(N46,[1]!Categories,2,FALSE)</f>
        <v>Confections</v>
      </c>
      <c r="P46" s="6">
        <f>VLOOKUP(A46,[1]Order_Details!$A$1:$F$2156,3,FALSE)</f>
        <v>64.8</v>
      </c>
      <c r="Q46">
        <f>VLOOKUP(A46,[1]Order_Details!$A$1:$F$2156,4,FALSE)</f>
        <v>20</v>
      </c>
      <c r="R46">
        <f>VLOOKUP(A46,[1]Order_Details!$A$1:$F$2156,5,FALSE)</f>
        <v>0</v>
      </c>
      <c r="S46" s="6">
        <f>VLOOKUP(A46,[1]Order_Details!$A$1:$F$2156,6,FALSE)</f>
        <v>1296</v>
      </c>
      <c r="T46" s="6">
        <f>VLOOKUP(A46,[1]!Orders,8,FALSE)</f>
        <v>1.35</v>
      </c>
    </row>
    <row r="47" spans="1:20" x14ac:dyDescent="0.3">
      <c r="A47" s="2">
        <v>10293</v>
      </c>
      <c r="B47" s="2" t="s">
        <v>27</v>
      </c>
      <c r="C47" s="2">
        <v>1</v>
      </c>
      <c r="D47" s="3">
        <v>35306</v>
      </c>
      <c r="E47" t="str">
        <f>VLOOKUP(C47,[1]Employees!$A$1:$O$10,4,FALSE)</f>
        <v>Davolio Nancy</v>
      </c>
      <c r="F47">
        <f>VLOOKUP(A47,[1]!Orders,7,FALSE)</f>
        <v>3</v>
      </c>
      <c r="G47" t="str">
        <f>VLOOKUP(F47,[1]!Shippers,2,FALSE)</f>
        <v>Federal Shipping</v>
      </c>
      <c r="H47" t="str">
        <f>VLOOKUP(C47,[1]EmployeeTerritories!$A$1:$B$50,2,FALSE)</f>
        <v>06897</v>
      </c>
      <c r="I47">
        <f>VLOOKUP(C47,[1]EmployeeTerritories!$A$1:$B$50,1,FALSE)</f>
        <v>1</v>
      </c>
      <c r="J47">
        <f>VLOOKUP(H47,[1]!Territories,3,FALSE)</f>
        <v>1</v>
      </c>
      <c r="K47" t="str">
        <f>VLOOKUP(J47,[1]!Region,2,FALSE)</f>
        <v>Eastern</v>
      </c>
      <c r="L47">
        <f>VLOOKUP(A47,[1]Order_Details!$A$1:$F$2156,2,FALSE)</f>
        <v>18</v>
      </c>
      <c r="M47" t="str">
        <f>VLOOKUP(L47,[1]!Products,2,FALSE)</f>
        <v>Carnarvon Tigers</v>
      </c>
      <c r="N47">
        <f>VLOOKUP(L47,[1]!Products,4,FALSE)</f>
        <v>8</v>
      </c>
      <c r="O47" s="6" t="str">
        <f>VLOOKUP(N47,[1]!Categories,2,FALSE)</f>
        <v>Seafood</v>
      </c>
      <c r="P47" s="6">
        <f>VLOOKUP(A47,[1]Order_Details!$A$1:$F$2156,3,FALSE)</f>
        <v>50</v>
      </c>
      <c r="Q47">
        <f>VLOOKUP(A47,[1]Order_Details!$A$1:$F$2156,4,FALSE)</f>
        <v>12</v>
      </c>
      <c r="R47">
        <f>VLOOKUP(A47,[1]Order_Details!$A$1:$F$2156,5,FALSE)</f>
        <v>0</v>
      </c>
      <c r="S47" s="6">
        <f>VLOOKUP(A47,[1]Order_Details!$A$1:$F$2156,6,FALSE)</f>
        <v>600</v>
      </c>
      <c r="T47" s="6">
        <f>VLOOKUP(A47,[1]!Orders,8,FALSE)</f>
        <v>21.18</v>
      </c>
    </row>
    <row r="48" spans="1:20" x14ac:dyDescent="0.3">
      <c r="A48" s="2">
        <v>10294</v>
      </c>
      <c r="B48" s="2" t="s">
        <v>17</v>
      </c>
      <c r="C48" s="2">
        <v>4</v>
      </c>
      <c r="D48" s="3">
        <v>35307</v>
      </c>
      <c r="E48" t="str">
        <f>VLOOKUP(C48,[1]Employees!$A$1:$O$10,4,FALSE)</f>
        <v>Peacock Margaret</v>
      </c>
      <c r="F48">
        <f>VLOOKUP(A48,[1]!Orders,7,FALSE)</f>
        <v>2</v>
      </c>
      <c r="G48" t="str">
        <f>VLOOKUP(F48,[1]!Shippers,2,FALSE)</f>
        <v>United Package</v>
      </c>
      <c r="H48" t="str">
        <f>VLOOKUP(C48,[1]EmployeeTerritories!$A$1:$B$50,2,FALSE)</f>
        <v>20852</v>
      </c>
      <c r="I48">
        <f>VLOOKUP(C48,[1]EmployeeTerritories!$A$1:$B$50,1,FALSE)</f>
        <v>4</v>
      </c>
      <c r="J48">
        <f>VLOOKUP(H48,[1]!Territories,3,FALSE)</f>
        <v>1</v>
      </c>
      <c r="K48" t="str">
        <f>VLOOKUP(J48,[1]!Region,2,FALSE)</f>
        <v>Eastern</v>
      </c>
      <c r="L48">
        <f>VLOOKUP(A48,[1]Order_Details!$A$1:$F$2156,2,FALSE)</f>
        <v>1</v>
      </c>
      <c r="M48" t="str">
        <f>VLOOKUP(L48,[1]!Products,2,FALSE)</f>
        <v>Chai</v>
      </c>
      <c r="N48">
        <f>VLOOKUP(L48,[1]!Products,4,FALSE)</f>
        <v>1</v>
      </c>
      <c r="O48" s="6" t="str">
        <f>VLOOKUP(N48,[1]!Categories,2,FALSE)</f>
        <v>Beverages</v>
      </c>
      <c r="P48" s="6">
        <f>VLOOKUP(A48,[1]Order_Details!$A$1:$F$2156,3,FALSE)</f>
        <v>14.4</v>
      </c>
      <c r="Q48">
        <f>VLOOKUP(A48,[1]Order_Details!$A$1:$F$2156,4,FALSE)</f>
        <v>18</v>
      </c>
      <c r="R48">
        <f>VLOOKUP(A48,[1]Order_Details!$A$1:$F$2156,5,FALSE)</f>
        <v>0</v>
      </c>
      <c r="S48" s="6">
        <f>VLOOKUP(A48,[1]Order_Details!$A$1:$F$2156,6,FALSE)</f>
        <v>259.2</v>
      </c>
      <c r="T48" s="6">
        <f>VLOOKUP(A48,[1]!Orders,8,FALSE)</f>
        <v>147.26</v>
      </c>
    </row>
    <row r="49" spans="1:20" x14ac:dyDescent="0.3">
      <c r="A49" s="2">
        <v>10295</v>
      </c>
      <c r="B49" s="2" t="s">
        <v>4</v>
      </c>
      <c r="C49" s="2">
        <v>2</v>
      </c>
      <c r="D49" s="3">
        <v>35310</v>
      </c>
      <c r="E49" t="str">
        <f>VLOOKUP(C49,[1]Employees!$A$1:$O$10,4,FALSE)</f>
        <v>Fuller Andrew</v>
      </c>
      <c r="F49">
        <f>VLOOKUP(A49,[1]!Orders,7,FALSE)</f>
        <v>2</v>
      </c>
      <c r="G49" t="str">
        <f>VLOOKUP(F49,[1]!Shippers,2,FALSE)</f>
        <v>United Package</v>
      </c>
      <c r="H49" t="str">
        <f>VLOOKUP(C49,[1]EmployeeTerritories!$A$1:$B$50,2,FALSE)</f>
        <v>01581</v>
      </c>
      <c r="I49">
        <f>VLOOKUP(C49,[1]EmployeeTerritories!$A$1:$B$50,1,FALSE)</f>
        <v>2</v>
      </c>
      <c r="J49">
        <f>VLOOKUP(H49,[1]!Territories,3,FALSE)</f>
        <v>1</v>
      </c>
      <c r="K49" t="str">
        <f>VLOOKUP(J49,[1]!Region,2,FALSE)</f>
        <v>Eastern</v>
      </c>
      <c r="L49">
        <f>VLOOKUP(A49,[1]Order_Details!$A$1:$F$2156,2,FALSE)</f>
        <v>56</v>
      </c>
      <c r="M49" t="str">
        <f>VLOOKUP(L49,[1]!Products,2,FALSE)</f>
        <v>Gnocchi di nonna Alice</v>
      </c>
      <c r="N49">
        <f>VLOOKUP(L49,[1]!Products,4,FALSE)</f>
        <v>5</v>
      </c>
      <c r="O49" s="6" t="str">
        <f>VLOOKUP(N49,[1]!Categories,2,FALSE)</f>
        <v>Grains/Cereals</v>
      </c>
      <c r="P49" s="6">
        <f>VLOOKUP(A49,[1]Order_Details!$A$1:$F$2156,3,FALSE)</f>
        <v>30.4</v>
      </c>
      <c r="Q49">
        <f>VLOOKUP(A49,[1]Order_Details!$A$1:$F$2156,4,FALSE)</f>
        <v>4</v>
      </c>
      <c r="R49">
        <f>VLOOKUP(A49,[1]Order_Details!$A$1:$F$2156,5,FALSE)</f>
        <v>0</v>
      </c>
      <c r="S49" s="6">
        <f>VLOOKUP(A49,[1]Order_Details!$A$1:$F$2156,6,FALSE)</f>
        <v>121.6</v>
      </c>
      <c r="T49" s="6">
        <f>VLOOKUP(A49,[1]!Orders,8,FALSE)</f>
        <v>1.1499999999999999</v>
      </c>
    </row>
    <row r="50" spans="1:20" x14ac:dyDescent="0.3">
      <c r="A50" s="2">
        <v>10296</v>
      </c>
      <c r="B50" s="2" t="s">
        <v>32</v>
      </c>
      <c r="C50" s="2">
        <v>6</v>
      </c>
      <c r="D50" s="3">
        <v>35311</v>
      </c>
      <c r="E50" t="str">
        <f>VLOOKUP(C50,[1]Employees!$A$1:$O$10,4,FALSE)</f>
        <v>Suyama Michael</v>
      </c>
      <c r="F50">
        <f>VLOOKUP(A50,[1]!Orders,7,FALSE)</f>
        <v>1</v>
      </c>
      <c r="G50" t="str">
        <f>VLOOKUP(F50,[1]!Shippers,2,FALSE)</f>
        <v>Speedy Express</v>
      </c>
      <c r="H50" t="str">
        <f>VLOOKUP(C50,[1]EmployeeTerritories!$A$1:$B$50,2,FALSE)</f>
        <v>85014</v>
      </c>
      <c r="I50">
        <f>VLOOKUP(C50,[1]EmployeeTerritories!$A$1:$B$50,1,FALSE)</f>
        <v>6</v>
      </c>
      <c r="J50">
        <f>VLOOKUP(H50,[1]!Territories,3,FALSE)</f>
        <v>2</v>
      </c>
      <c r="K50" t="str">
        <f>VLOOKUP(J50,[1]!Region,2,FALSE)</f>
        <v>Western</v>
      </c>
      <c r="L50">
        <f>VLOOKUP(A50,[1]Order_Details!$A$1:$F$2156,2,FALSE)</f>
        <v>11</v>
      </c>
      <c r="M50" t="str">
        <f>VLOOKUP(L50,[1]!Products,2,FALSE)</f>
        <v>Queso Cabrales</v>
      </c>
      <c r="N50">
        <f>VLOOKUP(L50,[1]!Products,4,FALSE)</f>
        <v>4</v>
      </c>
      <c r="O50" s="6" t="str">
        <f>VLOOKUP(N50,[1]!Categories,2,FALSE)</f>
        <v>Dairy Products</v>
      </c>
      <c r="P50" s="6">
        <f>VLOOKUP(A50,[1]Order_Details!$A$1:$F$2156,3,FALSE)</f>
        <v>16.8</v>
      </c>
      <c r="Q50">
        <f>VLOOKUP(A50,[1]Order_Details!$A$1:$F$2156,4,FALSE)</f>
        <v>12</v>
      </c>
      <c r="R50">
        <f>VLOOKUP(A50,[1]Order_Details!$A$1:$F$2156,5,FALSE)</f>
        <v>0</v>
      </c>
      <c r="S50" s="6">
        <f>VLOOKUP(A50,[1]Order_Details!$A$1:$F$2156,6,FALSE)</f>
        <v>201.60000000000002</v>
      </c>
      <c r="T50" s="6">
        <f>VLOOKUP(A50,[1]!Orders,8,FALSE)</f>
        <v>0.12</v>
      </c>
    </row>
    <row r="51" spans="1:20" x14ac:dyDescent="0.3">
      <c r="A51" s="2">
        <v>10297</v>
      </c>
      <c r="B51" s="2" t="s">
        <v>19</v>
      </c>
      <c r="C51" s="2">
        <v>5</v>
      </c>
      <c r="D51" s="3">
        <v>35312</v>
      </c>
      <c r="E51" t="str">
        <f>VLOOKUP(C51,[1]Employees!$A$1:$O$10,4,FALSE)</f>
        <v>Buchanan Steven</v>
      </c>
      <c r="F51">
        <f>VLOOKUP(A51,[1]!Orders,7,FALSE)</f>
        <v>2</v>
      </c>
      <c r="G51" t="str">
        <f>VLOOKUP(F51,[1]!Shippers,2,FALSE)</f>
        <v>United Package</v>
      </c>
      <c r="H51" t="str">
        <f>VLOOKUP(C51,[1]EmployeeTerritories!$A$1:$B$50,2,FALSE)</f>
        <v>02903</v>
      </c>
      <c r="I51">
        <f>VLOOKUP(C51,[1]EmployeeTerritories!$A$1:$B$50,1,FALSE)</f>
        <v>5</v>
      </c>
      <c r="J51">
        <f>VLOOKUP(H51,[1]!Territories,3,FALSE)</f>
        <v>1</v>
      </c>
      <c r="K51" t="str">
        <f>VLOOKUP(J51,[1]!Region,2,FALSE)</f>
        <v>Eastern</v>
      </c>
      <c r="L51">
        <f>VLOOKUP(A51,[1]Order_Details!$A$1:$F$2156,2,FALSE)</f>
        <v>39</v>
      </c>
      <c r="M51" t="str">
        <f>VLOOKUP(L51,[1]!Products,2,FALSE)</f>
        <v>Chartreuse verte</v>
      </c>
      <c r="N51">
        <f>VLOOKUP(L51,[1]!Products,4,FALSE)</f>
        <v>1</v>
      </c>
      <c r="O51" s="6" t="str">
        <f>VLOOKUP(N51,[1]!Categories,2,FALSE)</f>
        <v>Beverages</v>
      </c>
      <c r="P51" s="6">
        <f>VLOOKUP(A51,[1]Order_Details!$A$1:$F$2156,3,FALSE)</f>
        <v>14.4</v>
      </c>
      <c r="Q51">
        <f>VLOOKUP(A51,[1]Order_Details!$A$1:$F$2156,4,FALSE)</f>
        <v>60</v>
      </c>
      <c r="R51">
        <f>VLOOKUP(A51,[1]Order_Details!$A$1:$F$2156,5,FALSE)</f>
        <v>0</v>
      </c>
      <c r="S51" s="6">
        <f>VLOOKUP(A51,[1]Order_Details!$A$1:$F$2156,6,FALSE)</f>
        <v>864</v>
      </c>
      <c r="T51" s="6">
        <f>VLOOKUP(A51,[1]!Orders,8,FALSE)</f>
        <v>5.74</v>
      </c>
    </row>
    <row r="52" spans="1:20" x14ac:dyDescent="0.3">
      <c r="A52" s="2">
        <v>10298</v>
      </c>
      <c r="B52" s="2" t="s">
        <v>38</v>
      </c>
      <c r="C52" s="2">
        <v>6</v>
      </c>
      <c r="D52" s="3">
        <v>35313</v>
      </c>
      <c r="E52" t="str">
        <f>VLOOKUP(C52,[1]Employees!$A$1:$O$10,4,FALSE)</f>
        <v>Suyama Michael</v>
      </c>
      <c r="F52">
        <f>VLOOKUP(A52,[1]!Orders,7,FALSE)</f>
        <v>2</v>
      </c>
      <c r="G52" t="str">
        <f>VLOOKUP(F52,[1]!Shippers,2,FALSE)</f>
        <v>United Package</v>
      </c>
      <c r="H52" t="str">
        <f>VLOOKUP(C52,[1]EmployeeTerritories!$A$1:$B$50,2,FALSE)</f>
        <v>85014</v>
      </c>
      <c r="I52">
        <f>VLOOKUP(C52,[1]EmployeeTerritories!$A$1:$B$50,1,FALSE)</f>
        <v>6</v>
      </c>
      <c r="J52">
        <f>VLOOKUP(H52,[1]!Territories,3,FALSE)</f>
        <v>2</v>
      </c>
      <c r="K52" t="str">
        <f>VLOOKUP(J52,[1]!Region,2,FALSE)</f>
        <v>Western</v>
      </c>
      <c r="L52">
        <f>VLOOKUP(A52,[1]Order_Details!$A$1:$F$2156,2,FALSE)</f>
        <v>2</v>
      </c>
      <c r="M52" t="str">
        <f>VLOOKUP(L52,[1]!Products,2,FALSE)</f>
        <v>Chang</v>
      </c>
      <c r="N52">
        <f>VLOOKUP(L52,[1]!Products,4,FALSE)</f>
        <v>1</v>
      </c>
      <c r="O52" s="6" t="str">
        <f>VLOOKUP(N52,[1]!Categories,2,FALSE)</f>
        <v>Beverages</v>
      </c>
      <c r="P52" s="6">
        <f>VLOOKUP(A52,[1]Order_Details!$A$1:$F$2156,3,FALSE)</f>
        <v>15.2</v>
      </c>
      <c r="Q52">
        <f>VLOOKUP(A52,[1]Order_Details!$A$1:$F$2156,4,FALSE)</f>
        <v>40</v>
      </c>
      <c r="R52">
        <f>VLOOKUP(A52,[1]Order_Details!$A$1:$F$2156,5,FALSE)</f>
        <v>0</v>
      </c>
      <c r="S52" s="6">
        <f>VLOOKUP(A52,[1]Order_Details!$A$1:$F$2156,6,FALSE)</f>
        <v>608</v>
      </c>
      <c r="T52" s="6">
        <f>VLOOKUP(A52,[1]!Orders,8,FALSE)</f>
        <v>168.22</v>
      </c>
    </row>
    <row r="53" spans="1:20" x14ac:dyDescent="0.3">
      <c r="A53" s="2">
        <v>10299</v>
      </c>
      <c r="B53" s="2" t="s">
        <v>33</v>
      </c>
      <c r="C53" s="2">
        <v>4</v>
      </c>
      <c r="D53" s="3">
        <v>35314</v>
      </c>
      <c r="E53" t="str">
        <f>VLOOKUP(C53,[1]Employees!$A$1:$O$10,4,FALSE)</f>
        <v>Peacock Margaret</v>
      </c>
      <c r="F53">
        <f>VLOOKUP(A53,[1]!Orders,7,FALSE)</f>
        <v>2</v>
      </c>
      <c r="G53" t="str">
        <f>VLOOKUP(F53,[1]!Shippers,2,FALSE)</f>
        <v>United Package</v>
      </c>
      <c r="H53" t="str">
        <f>VLOOKUP(C53,[1]EmployeeTerritories!$A$1:$B$50,2,FALSE)</f>
        <v>20852</v>
      </c>
      <c r="I53">
        <f>VLOOKUP(C53,[1]EmployeeTerritories!$A$1:$B$50,1,FALSE)</f>
        <v>4</v>
      </c>
      <c r="J53">
        <f>VLOOKUP(H53,[1]!Territories,3,FALSE)</f>
        <v>1</v>
      </c>
      <c r="K53" t="str">
        <f>VLOOKUP(J53,[1]!Region,2,FALSE)</f>
        <v>Eastern</v>
      </c>
      <c r="L53">
        <f>VLOOKUP(A53,[1]Order_Details!$A$1:$F$2156,2,FALSE)</f>
        <v>19</v>
      </c>
      <c r="M53" t="str">
        <f>VLOOKUP(L53,[1]!Products,2,FALSE)</f>
        <v>Teatime Chocolate Biscuits</v>
      </c>
      <c r="N53">
        <f>VLOOKUP(L53,[1]!Products,4,FALSE)</f>
        <v>3</v>
      </c>
      <c r="O53" s="6" t="str">
        <f>VLOOKUP(N53,[1]!Categories,2,FALSE)</f>
        <v>Confections</v>
      </c>
      <c r="P53" s="6">
        <f>VLOOKUP(A53,[1]Order_Details!$A$1:$F$2156,3,FALSE)</f>
        <v>7.3</v>
      </c>
      <c r="Q53">
        <f>VLOOKUP(A53,[1]Order_Details!$A$1:$F$2156,4,FALSE)</f>
        <v>15</v>
      </c>
      <c r="R53">
        <f>VLOOKUP(A53,[1]Order_Details!$A$1:$F$2156,5,FALSE)</f>
        <v>0</v>
      </c>
      <c r="S53" s="6">
        <f>VLOOKUP(A53,[1]Order_Details!$A$1:$F$2156,6,FALSE)</f>
        <v>109.5</v>
      </c>
      <c r="T53" s="6">
        <f>VLOOKUP(A53,[1]!Orders,8,FALSE)</f>
        <v>29.76</v>
      </c>
    </row>
    <row r="54" spans="1:20" x14ac:dyDescent="0.3">
      <c r="A54" s="2">
        <v>10300</v>
      </c>
      <c r="B54" s="2" t="s">
        <v>26</v>
      </c>
      <c r="C54" s="2">
        <v>2</v>
      </c>
      <c r="D54" s="3">
        <v>35317</v>
      </c>
      <c r="E54" t="str">
        <f>VLOOKUP(C54,[1]Employees!$A$1:$O$10,4,FALSE)</f>
        <v>Fuller Andrew</v>
      </c>
      <c r="F54">
        <f>VLOOKUP(A54,[1]!Orders,7,FALSE)</f>
        <v>2</v>
      </c>
      <c r="G54" t="str">
        <f>VLOOKUP(F54,[1]!Shippers,2,FALSE)</f>
        <v>United Package</v>
      </c>
      <c r="H54" t="str">
        <f>VLOOKUP(C54,[1]EmployeeTerritories!$A$1:$B$50,2,FALSE)</f>
        <v>01581</v>
      </c>
      <c r="I54">
        <f>VLOOKUP(C54,[1]EmployeeTerritories!$A$1:$B$50,1,FALSE)</f>
        <v>2</v>
      </c>
      <c r="J54">
        <f>VLOOKUP(H54,[1]!Territories,3,FALSE)</f>
        <v>1</v>
      </c>
      <c r="K54" t="str">
        <f>VLOOKUP(J54,[1]!Region,2,FALSE)</f>
        <v>Eastern</v>
      </c>
      <c r="L54">
        <f>VLOOKUP(A54,[1]Order_Details!$A$1:$F$2156,2,FALSE)</f>
        <v>66</v>
      </c>
      <c r="M54" t="str">
        <f>VLOOKUP(L54,[1]!Products,2,FALSE)</f>
        <v>Louisiana Hot Spiced Okra</v>
      </c>
      <c r="N54">
        <f>VLOOKUP(L54,[1]!Products,4,FALSE)</f>
        <v>2</v>
      </c>
      <c r="O54" s="6" t="str">
        <f>VLOOKUP(N54,[1]!Categories,2,FALSE)</f>
        <v>Condiments</v>
      </c>
      <c r="P54" s="6">
        <f>VLOOKUP(A54,[1]Order_Details!$A$1:$F$2156,3,FALSE)</f>
        <v>13.6</v>
      </c>
      <c r="Q54">
        <f>VLOOKUP(A54,[1]Order_Details!$A$1:$F$2156,4,FALSE)</f>
        <v>30</v>
      </c>
      <c r="R54">
        <f>VLOOKUP(A54,[1]Order_Details!$A$1:$F$2156,5,FALSE)</f>
        <v>0</v>
      </c>
      <c r="S54" s="6">
        <f>VLOOKUP(A54,[1]Order_Details!$A$1:$F$2156,6,FALSE)</f>
        <v>408</v>
      </c>
      <c r="T54" s="6">
        <f>VLOOKUP(A54,[1]!Orders,8,FALSE)</f>
        <v>17.68</v>
      </c>
    </row>
    <row r="55" spans="1:20" x14ac:dyDescent="0.3">
      <c r="A55" s="2">
        <v>10301</v>
      </c>
      <c r="B55" s="2" t="s">
        <v>39</v>
      </c>
      <c r="C55" s="2">
        <v>8</v>
      </c>
      <c r="D55" s="3">
        <v>35317</v>
      </c>
      <c r="E55" t="str">
        <f>VLOOKUP(C55,[1]Employees!$A$1:$O$10,4,FALSE)</f>
        <v>Callahan Laura</v>
      </c>
      <c r="F55">
        <f>VLOOKUP(A55,[1]!Orders,7,FALSE)</f>
        <v>2</v>
      </c>
      <c r="G55" t="str">
        <f>VLOOKUP(F55,[1]!Shippers,2,FALSE)</f>
        <v>United Package</v>
      </c>
      <c r="H55" t="str">
        <f>VLOOKUP(C55,[1]EmployeeTerritories!$A$1:$B$50,2,FALSE)</f>
        <v>19428</v>
      </c>
      <c r="I55">
        <f>VLOOKUP(C55,[1]EmployeeTerritories!$A$1:$B$50,1,FALSE)</f>
        <v>8</v>
      </c>
      <c r="J55">
        <f>VLOOKUP(H55,[1]!Territories,3,FALSE)</f>
        <v>3</v>
      </c>
      <c r="K55" t="str">
        <f>VLOOKUP(J55,[1]!Region,2,FALSE)</f>
        <v>Northern</v>
      </c>
      <c r="L55">
        <f>VLOOKUP(A55,[1]Order_Details!$A$1:$F$2156,2,FALSE)</f>
        <v>40</v>
      </c>
      <c r="M55" t="str">
        <f>VLOOKUP(L55,[1]!Products,2,FALSE)</f>
        <v>Boston Crab Meat</v>
      </c>
      <c r="N55">
        <f>VLOOKUP(L55,[1]!Products,4,FALSE)</f>
        <v>8</v>
      </c>
      <c r="O55" s="6" t="str">
        <f>VLOOKUP(N55,[1]!Categories,2,FALSE)</f>
        <v>Seafood</v>
      </c>
      <c r="P55" s="6">
        <f>VLOOKUP(A55,[1]Order_Details!$A$1:$F$2156,3,FALSE)</f>
        <v>14.7</v>
      </c>
      <c r="Q55">
        <f>VLOOKUP(A55,[1]Order_Details!$A$1:$F$2156,4,FALSE)</f>
        <v>10</v>
      </c>
      <c r="R55">
        <f>VLOOKUP(A55,[1]Order_Details!$A$1:$F$2156,5,FALSE)</f>
        <v>0</v>
      </c>
      <c r="S55" s="6">
        <f>VLOOKUP(A55,[1]Order_Details!$A$1:$F$2156,6,FALSE)</f>
        <v>147</v>
      </c>
      <c r="T55" s="6">
        <f>VLOOKUP(A55,[1]!Orders,8,FALSE)</f>
        <v>45.08</v>
      </c>
    </row>
    <row r="56" spans="1:20" x14ac:dyDescent="0.3">
      <c r="A56" s="2">
        <v>10302</v>
      </c>
      <c r="B56" s="2" t="s">
        <v>8</v>
      </c>
      <c r="C56" s="2">
        <v>4</v>
      </c>
      <c r="D56" s="3">
        <v>35318</v>
      </c>
      <c r="E56" t="str">
        <f>VLOOKUP(C56,[1]Employees!$A$1:$O$10,4,FALSE)</f>
        <v>Peacock Margaret</v>
      </c>
      <c r="F56">
        <f>VLOOKUP(A56,[1]!Orders,7,FALSE)</f>
        <v>2</v>
      </c>
      <c r="G56" t="str">
        <f>VLOOKUP(F56,[1]!Shippers,2,FALSE)</f>
        <v>United Package</v>
      </c>
      <c r="H56" t="str">
        <f>VLOOKUP(C56,[1]EmployeeTerritories!$A$1:$B$50,2,FALSE)</f>
        <v>20852</v>
      </c>
      <c r="I56">
        <f>VLOOKUP(C56,[1]EmployeeTerritories!$A$1:$B$50,1,FALSE)</f>
        <v>4</v>
      </c>
      <c r="J56">
        <f>VLOOKUP(H56,[1]!Territories,3,FALSE)</f>
        <v>1</v>
      </c>
      <c r="K56" t="str">
        <f>VLOOKUP(J56,[1]!Region,2,FALSE)</f>
        <v>Eastern</v>
      </c>
      <c r="L56">
        <f>VLOOKUP(A56,[1]Order_Details!$A$1:$F$2156,2,FALSE)</f>
        <v>17</v>
      </c>
      <c r="M56" t="str">
        <f>VLOOKUP(L56,[1]!Products,2,FALSE)</f>
        <v>Alice Mutton</v>
      </c>
      <c r="N56">
        <f>VLOOKUP(L56,[1]!Products,4,FALSE)</f>
        <v>6</v>
      </c>
      <c r="O56" s="6" t="str">
        <f>VLOOKUP(N56,[1]!Categories,2,FALSE)</f>
        <v>Meat/Poultry</v>
      </c>
      <c r="P56" s="6">
        <f>VLOOKUP(A56,[1]Order_Details!$A$1:$F$2156,3,FALSE)</f>
        <v>31.2</v>
      </c>
      <c r="Q56">
        <f>VLOOKUP(A56,[1]Order_Details!$A$1:$F$2156,4,FALSE)</f>
        <v>40</v>
      </c>
      <c r="R56">
        <f>VLOOKUP(A56,[1]Order_Details!$A$1:$F$2156,5,FALSE)</f>
        <v>0</v>
      </c>
      <c r="S56" s="6">
        <f>VLOOKUP(A56,[1]Order_Details!$A$1:$F$2156,6,FALSE)</f>
        <v>1248</v>
      </c>
      <c r="T56" s="6">
        <f>VLOOKUP(A56,[1]!Orders,8,FALSE)</f>
        <v>6.27</v>
      </c>
    </row>
    <row r="57" spans="1:20" x14ac:dyDescent="0.3">
      <c r="A57" s="2">
        <v>10303</v>
      </c>
      <c r="B57" s="2" t="s">
        <v>40</v>
      </c>
      <c r="C57" s="2">
        <v>7</v>
      </c>
      <c r="D57" s="3">
        <v>35319</v>
      </c>
      <c r="E57" t="str">
        <f>VLOOKUP(C57,[1]Employees!$A$1:$O$10,4,FALSE)</f>
        <v>King Robert</v>
      </c>
      <c r="F57">
        <f>VLOOKUP(A57,[1]!Orders,7,FALSE)</f>
        <v>2</v>
      </c>
      <c r="G57" t="str">
        <f>VLOOKUP(F57,[1]!Shippers,2,FALSE)</f>
        <v>United Package</v>
      </c>
      <c r="H57" t="str">
        <f>VLOOKUP(C57,[1]EmployeeTerritories!$A$1:$B$50,2,FALSE)</f>
        <v>60179</v>
      </c>
      <c r="I57">
        <f>VLOOKUP(C57,[1]EmployeeTerritories!$A$1:$B$50,1,FALSE)</f>
        <v>7</v>
      </c>
      <c r="J57">
        <f>VLOOKUP(H57,[1]!Territories,3,FALSE)</f>
        <v>2</v>
      </c>
      <c r="K57" t="str">
        <f>VLOOKUP(J57,[1]!Region,2,FALSE)</f>
        <v>Western</v>
      </c>
      <c r="L57">
        <f>VLOOKUP(A57,[1]Order_Details!$A$1:$F$2156,2,FALSE)</f>
        <v>40</v>
      </c>
      <c r="M57" t="str">
        <f>VLOOKUP(L57,[1]!Products,2,FALSE)</f>
        <v>Boston Crab Meat</v>
      </c>
      <c r="N57">
        <f>VLOOKUP(L57,[1]!Products,4,FALSE)</f>
        <v>8</v>
      </c>
      <c r="O57" s="6" t="str">
        <f>VLOOKUP(N57,[1]!Categories,2,FALSE)</f>
        <v>Seafood</v>
      </c>
      <c r="P57" s="6">
        <f>VLOOKUP(A57,[1]Order_Details!$A$1:$F$2156,3,FALSE)</f>
        <v>14.7</v>
      </c>
      <c r="Q57">
        <f>VLOOKUP(A57,[1]Order_Details!$A$1:$F$2156,4,FALSE)</f>
        <v>40</v>
      </c>
      <c r="R57">
        <f>VLOOKUP(A57,[1]Order_Details!$A$1:$F$2156,5,FALSE)</f>
        <v>0.10000000149011612</v>
      </c>
      <c r="S57" s="6">
        <f>VLOOKUP(A57,[1]Order_Details!$A$1:$F$2156,6,FALSE)</f>
        <v>529.19999912381172</v>
      </c>
      <c r="T57" s="6">
        <f>VLOOKUP(A57,[1]!Orders,8,FALSE)</f>
        <v>107.83</v>
      </c>
    </row>
    <row r="58" spans="1:20" x14ac:dyDescent="0.3">
      <c r="A58" s="2">
        <v>10304</v>
      </c>
      <c r="B58" s="2" t="s">
        <v>27</v>
      </c>
      <c r="C58" s="2">
        <v>1</v>
      </c>
      <c r="D58" s="3">
        <v>35320</v>
      </c>
      <c r="E58" t="str">
        <f>VLOOKUP(C58,[1]Employees!$A$1:$O$10,4,FALSE)</f>
        <v>Davolio Nancy</v>
      </c>
      <c r="F58">
        <f>VLOOKUP(A58,[1]!Orders,7,FALSE)</f>
        <v>2</v>
      </c>
      <c r="G58" t="str">
        <f>VLOOKUP(F58,[1]!Shippers,2,FALSE)</f>
        <v>United Package</v>
      </c>
      <c r="H58" t="str">
        <f>VLOOKUP(C58,[1]EmployeeTerritories!$A$1:$B$50,2,FALSE)</f>
        <v>06897</v>
      </c>
      <c r="I58">
        <f>VLOOKUP(C58,[1]EmployeeTerritories!$A$1:$B$50,1,FALSE)</f>
        <v>1</v>
      </c>
      <c r="J58">
        <f>VLOOKUP(H58,[1]!Territories,3,FALSE)</f>
        <v>1</v>
      </c>
      <c r="K58" t="str">
        <f>VLOOKUP(J58,[1]!Region,2,FALSE)</f>
        <v>Eastern</v>
      </c>
      <c r="L58">
        <f>VLOOKUP(A58,[1]Order_Details!$A$1:$F$2156,2,FALSE)</f>
        <v>49</v>
      </c>
      <c r="M58" t="str">
        <f>VLOOKUP(L58,[1]!Products,2,FALSE)</f>
        <v>Maxilaku</v>
      </c>
      <c r="N58">
        <f>VLOOKUP(L58,[1]!Products,4,FALSE)</f>
        <v>3</v>
      </c>
      <c r="O58" s="6" t="str">
        <f>VLOOKUP(N58,[1]!Categories,2,FALSE)</f>
        <v>Confections</v>
      </c>
      <c r="P58" s="6">
        <f>VLOOKUP(A58,[1]Order_Details!$A$1:$F$2156,3,FALSE)</f>
        <v>16</v>
      </c>
      <c r="Q58">
        <f>VLOOKUP(A58,[1]Order_Details!$A$1:$F$2156,4,FALSE)</f>
        <v>30</v>
      </c>
      <c r="R58">
        <f>VLOOKUP(A58,[1]Order_Details!$A$1:$F$2156,5,FALSE)</f>
        <v>0</v>
      </c>
      <c r="S58" s="6">
        <f>VLOOKUP(A58,[1]Order_Details!$A$1:$F$2156,6,FALSE)</f>
        <v>480</v>
      </c>
      <c r="T58" s="6">
        <f>VLOOKUP(A58,[1]!Orders,8,FALSE)</f>
        <v>63.79</v>
      </c>
    </row>
    <row r="59" spans="1:20" x14ac:dyDescent="0.3">
      <c r="A59" s="2">
        <v>10305</v>
      </c>
      <c r="B59" s="2" t="s">
        <v>41</v>
      </c>
      <c r="C59" s="2">
        <v>8</v>
      </c>
      <c r="D59" s="3">
        <v>35321</v>
      </c>
      <c r="E59" t="str">
        <f>VLOOKUP(C59,[1]Employees!$A$1:$O$10,4,FALSE)</f>
        <v>Callahan Laura</v>
      </c>
      <c r="F59">
        <f>VLOOKUP(A59,[1]!Orders,7,FALSE)</f>
        <v>3</v>
      </c>
      <c r="G59" t="str">
        <f>VLOOKUP(F59,[1]!Shippers,2,FALSE)</f>
        <v>Federal Shipping</v>
      </c>
      <c r="H59" t="str">
        <f>VLOOKUP(C59,[1]EmployeeTerritories!$A$1:$B$50,2,FALSE)</f>
        <v>19428</v>
      </c>
      <c r="I59">
        <f>VLOOKUP(C59,[1]EmployeeTerritories!$A$1:$B$50,1,FALSE)</f>
        <v>8</v>
      </c>
      <c r="J59">
        <f>VLOOKUP(H59,[1]!Territories,3,FALSE)</f>
        <v>3</v>
      </c>
      <c r="K59" t="str">
        <f>VLOOKUP(J59,[1]!Region,2,FALSE)</f>
        <v>Northern</v>
      </c>
      <c r="L59">
        <f>VLOOKUP(A59,[1]Order_Details!$A$1:$F$2156,2,FALSE)</f>
        <v>18</v>
      </c>
      <c r="M59" t="str">
        <f>VLOOKUP(L59,[1]!Products,2,FALSE)</f>
        <v>Carnarvon Tigers</v>
      </c>
      <c r="N59">
        <f>VLOOKUP(L59,[1]!Products,4,FALSE)</f>
        <v>8</v>
      </c>
      <c r="O59" s="6" t="str">
        <f>VLOOKUP(N59,[1]!Categories,2,FALSE)</f>
        <v>Seafood</v>
      </c>
      <c r="P59" s="6">
        <f>VLOOKUP(A59,[1]Order_Details!$A$1:$F$2156,3,FALSE)</f>
        <v>50</v>
      </c>
      <c r="Q59">
        <f>VLOOKUP(A59,[1]Order_Details!$A$1:$F$2156,4,FALSE)</f>
        <v>25</v>
      </c>
      <c r="R59">
        <f>VLOOKUP(A59,[1]Order_Details!$A$1:$F$2156,5,FALSE)</f>
        <v>0.10000000149011612</v>
      </c>
      <c r="S59" s="6">
        <f>VLOOKUP(A59,[1]Order_Details!$A$1:$F$2156,6,FALSE)</f>
        <v>1124.9999981373549</v>
      </c>
      <c r="T59" s="6">
        <f>VLOOKUP(A59,[1]!Orders,8,FALSE)</f>
        <v>257.62</v>
      </c>
    </row>
    <row r="60" spans="1:20" x14ac:dyDescent="0.3">
      <c r="A60" s="2">
        <v>10306</v>
      </c>
      <c r="B60" s="2" t="s">
        <v>31</v>
      </c>
      <c r="C60" s="2">
        <v>1</v>
      </c>
      <c r="D60" s="3">
        <v>35324</v>
      </c>
      <c r="E60" t="str">
        <f>VLOOKUP(C60,[1]Employees!$A$1:$O$10,4,FALSE)</f>
        <v>Davolio Nancy</v>
      </c>
      <c r="F60">
        <f>VLOOKUP(A60,[1]!Orders,7,FALSE)</f>
        <v>3</v>
      </c>
      <c r="G60" t="str">
        <f>VLOOKUP(F60,[1]!Shippers,2,FALSE)</f>
        <v>Federal Shipping</v>
      </c>
      <c r="H60" t="str">
        <f>VLOOKUP(C60,[1]EmployeeTerritories!$A$1:$B$50,2,FALSE)</f>
        <v>06897</v>
      </c>
      <c r="I60">
        <f>VLOOKUP(C60,[1]EmployeeTerritories!$A$1:$B$50,1,FALSE)</f>
        <v>1</v>
      </c>
      <c r="J60">
        <f>VLOOKUP(H60,[1]!Territories,3,FALSE)</f>
        <v>1</v>
      </c>
      <c r="K60" t="str">
        <f>VLOOKUP(J60,[1]!Region,2,FALSE)</f>
        <v>Eastern</v>
      </c>
      <c r="L60">
        <f>VLOOKUP(A60,[1]Order_Details!$A$1:$F$2156,2,FALSE)</f>
        <v>30</v>
      </c>
      <c r="M60" t="str">
        <f>VLOOKUP(L60,[1]!Products,2,FALSE)</f>
        <v>Nord-Ost Matjeshering</v>
      </c>
      <c r="N60">
        <f>VLOOKUP(L60,[1]!Products,4,FALSE)</f>
        <v>8</v>
      </c>
      <c r="O60" s="6" t="str">
        <f>VLOOKUP(N60,[1]!Categories,2,FALSE)</f>
        <v>Seafood</v>
      </c>
      <c r="P60" s="6">
        <f>VLOOKUP(A60,[1]Order_Details!$A$1:$F$2156,3,FALSE)</f>
        <v>20.7</v>
      </c>
      <c r="Q60">
        <f>VLOOKUP(A60,[1]Order_Details!$A$1:$F$2156,4,FALSE)</f>
        <v>10</v>
      </c>
      <c r="R60">
        <f>VLOOKUP(A60,[1]Order_Details!$A$1:$F$2156,5,FALSE)</f>
        <v>0</v>
      </c>
      <c r="S60" s="6">
        <f>VLOOKUP(A60,[1]Order_Details!$A$1:$F$2156,6,FALSE)</f>
        <v>207</v>
      </c>
      <c r="T60" s="6">
        <f>VLOOKUP(A60,[1]!Orders,8,FALSE)</f>
        <v>7.56</v>
      </c>
    </row>
    <row r="61" spans="1:20" x14ac:dyDescent="0.3">
      <c r="A61" s="2">
        <v>10307</v>
      </c>
      <c r="B61" s="2" t="s">
        <v>42</v>
      </c>
      <c r="C61" s="2">
        <v>2</v>
      </c>
      <c r="D61" s="3">
        <v>35325</v>
      </c>
      <c r="E61" t="str">
        <f>VLOOKUP(C61,[1]Employees!$A$1:$O$10,4,FALSE)</f>
        <v>Fuller Andrew</v>
      </c>
      <c r="F61">
        <f>VLOOKUP(A61,[1]!Orders,7,FALSE)</f>
        <v>2</v>
      </c>
      <c r="G61" t="str">
        <f>VLOOKUP(F61,[1]!Shippers,2,FALSE)</f>
        <v>United Package</v>
      </c>
      <c r="H61" t="str">
        <f>VLOOKUP(C61,[1]EmployeeTerritories!$A$1:$B$50,2,FALSE)</f>
        <v>01581</v>
      </c>
      <c r="I61">
        <f>VLOOKUP(C61,[1]EmployeeTerritories!$A$1:$B$50,1,FALSE)</f>
        <v>2</v>
      </c>
      <c r="J61">
        <f>VLOOKUP(H61,[1]!Territories,3,FALSE)</f>
        <v>1</v>
      </c>
      <c r="K61" t="str">
        <f>VLOOKUP(J61,[1]!Region,2,FALSE)</f>
        <v>Eastern</v>
      </c>
      <c r="L61">
        <f>VLOOKUP(A61,[1]Order_Details!$A$1:$F$2156,2,FALSE)</f>
        <v>62</v>
      </c>
      <c r="M61" t="str">
        <f>VLOOKUP(L61,[1]!Products,2,FALSE)</f>
        <v>Tarte au sucre</v>
      </c>
      <c r="N61">
        <f>VLOOKUP(L61,[1]!Products,4,FALSE)</f>
        <v>3</v>
      </c>
      <c r="O61" s="6" t="str">
        <f>VLOOKUP(N61,[1]!Categories,2,FALSE)</f>
        <v>Confections</v>
      </c>
      <c r="P61" s="6">
        <f>VLOOKUP(A61,[1]Order_Details!$A$1:$F$2156,3,FALSE)</f>
        <v>39.4</v>
      </c>
      <c r="Q61">
        <f>VLOOKUP(A61,[1]Order_Details!$A$1:$F$2156,4,FALSE)</f>
        <v>10</v>
      </c>
      <c r="R61">
        <f>VLOOKUP(A61,[1]Order_Details!$A$1:$F$2156,5,FALSE)</f>
        <v>0</v>
      </c>
      <c r="S61" s="6">
        <f>VLOOKUP(A61,[1]Order_Details!$A$1:$F$2156,6,FALSE)</f>
        <v>394</v>
      </c>
      <c r="T61" s="6">
        <f>VLOOKUP(A61,[1]!Orders,8,FALSE)</f>
        <v>0.56000000000000005</v>
      </c>
    </row>
    <row r="62" spans="1:20" x14ac:dyDescent="0.3">
      <c r="A62" s="2">
        <v>10308</v>
      </c>
      <c r="B62" s="2" t="s">
        <v>43</v>
      </c>
      <c r="C62" s="2">
        <v>7</v>
      </c>
      <c r="D62" s="3">
        <v>35326</v>
      </c>
      <c r="E62" t="str">
        <f>VLOOKUP(C62,[1]Employees!$A$1:$O$10,4,FALSE)</f>
        <v>King Robert</v>
      </c>
      <c r="F62">
        <f>VLOOKUP(A62,[1]!Orders,7,FALSE)</f>
        <v>3</v>
      </c>
      <c r="G62" t="str">
        <f>VLOOKUP(F62,[1]!Shippers,2,FALSE)</f>
        <v>Federal Shipping</v>
      </c>
      <c r="H62" t="str">
        <f>VLOOKUP(C62,[1]EmployeeTerritories!$A$1:$B$50,2,FALSE)</f>
        <v>60179</v>
      </c>
      <c r="I62">
        <f>VLOOKUP(C62,[1]EmployeeTerritories!$A$1:$B$50,1,FALSE)</f>
        <v>7</v>
      </c>
      <c r="J62">
        <f>VLOOKUP(H62,[1]!Territories,3,FALSE)</f>
        <v>2</v>
      </c>
      <c r="K62" t="str">
        <f>VLOOKUP(J62,[1]!Region,2,FALSE)</f>
        <v>Western</v>
      </c>
      <c r="L62">
        <f>VLOOKUP(A62,[1]Order_Details!$A$1:$F$2156,2,FALSE)</f>
        <v>69</v>
      </c>
      <c r="M62" t="str">
        <f>VLOOKUP(L62,[1]!Products,2,FALSE)</f>
        <v>Gudbrandsdalsost</v>
      </c>
      <c r="N62">
        <f>VLOOKUP(L62,[1]!Products,4,FALSE)</f>
        <v>4</v>
      </c>
      <c r="O62" s="6" t="str">
        <f>VLOOKUP(N62,[1]!Categories,2,FALSE)</f>
        <v>Dairy Products</v>
      </c>
      <c r="P62" s="6">
        <f>VLOOKUP(A62,[1]Order_Details!$A$1:$F$2156,3,FALSE)</f>
        <v>28.8</v>
      </c>
      <c r="Q62">
        <f>VLOOKUP(A62,[1]Order_Details!$A$1:$F$2156,4,FALSE)</f>
        <v>1</v>
      </c>
      <c r="R62">
        <f>VLOOKUP(A62,[1]Order_Details!$A$1:$F$2156,5,FALSE)</f>
        <v>0</v>
      </c>
      <c r="S62" s="6">
        <f>VLOOKUP(A62,[1]Order_Details!$A$1:$F$2156,6,FALSE)</f>
        <v>28.8</v>
      </c>
      <c r="T62" s="6">
        <f>VLOOKUP(A62,[1]!Orders,8,FALSE)</f>
        <v>1.61</v>
      </c>
    </row>
    <row r="63" spans="1:20" x14ac:dyDescent="0.3">
      <c r="A63" s="2">
        <v>10309</v>
      </c>
      <c r="B63" s="2" t="s">
        <v>38</v>
      </c>
      <c r="C63" s="2">
        <v>3</v>
      </c>
      <c r="D63" s="3">
        <v>35327</v>
      </c>
      <c r="E63" t="str">
        <f>VLOOKUP(C63,[1]Employees!$A$1:$O$10,4,FALSE)</f>
        <v>Leverling Janet</v>
      </c>
      <c r="F63">
        <f>VLOOKUP(A63,[1]!Orders,7,FALSE)</f>
        <v>1</v>
      </c>
      <c r="G63" t="str">
        <f>VLOOKUP(F63,[1]!Shippers,2,FALSE)</f>
        <v>Speedy Express</v>
      </c>
      <c r="H63" t="str">
        <f>VLOOKUP(C63,[1]EmployeeTerritories!$A$1:$B$50,2,FALSE)</f>
        <v>30346</v>
      </c>
      <c r="I63">
        <f>VLOOKUP(C63,[1]EmployeeTerritories!$A$1:$B$50,1,FALSE)</f>
        <v>3</v>
      </c>
      <c r="J63">
        <f>VLOOKUP(H63,[1]!Territories,3,FALSE)</f>
        <v>4</v>
      </c>
      <c r="K63" t="str">
        <f>VLOOKUP(J63,[1]!Region,2,FALSE)</f>
        <v>Southern</v>
      </c>
      <c r="L63">
        <f>VLOOKUP(A63,[1]Order_Details!$A$1:$F$2156,2,FALSE)</f>
        <v>4</v>
      </c>
      <c r="M63" t="str">
        <f>VLOOKUP(L63,[1]!Products,2,FALSE)</f>
        <v>Chef Anton's Cajun Seasoning</v>
      </c>
      <c r="N63">
        <f>VLOOKUP(L63,[1]!Products,4,FALSE)</f>
        <v>2</v>
      </c>
      <c r="O63" s="6" t="str">
        <f>VLOOKUP(N63,[1]!Categories,2,FALSE)</f>
        <v>Condiments</v>
      </c>
      <c r="P63" s="6">
        <f>VLOOKUP(A63,[1]Order_Details!$A$1:$F$2156,3,FALSE)</f>
        <v>17.600000000000001</v>
      </c>
      <c r="Q63">
        <f>VLOOKUP(A63,[1]Order_Details!$A$1:$F$2156,4,FALSE)</f>
        <v>20</v>
      </c>
      <c r="R63">
        <f>VLOOKUP(A63,[1]Order_Details!$A$1:$F$2156,5,FALSE)</f>
        <v>0</v>
      </c>
      <c r="S63" s="6">
        <f>VLOOKUP(A63,[1]Order_Details!$A$1:$F$2156,6,FALSE)</f>
        <v>352</v>
      </c>
      <c r="T63" s="6">
        <f>VLOOKUP(A63,[1]!Orders,8,FALSE)</f>
        <v>47.3</v>
      </c>
    </row>
    <row r="64" spans="1:20" x14ac:dyDescent="0.3">
      <c r="A64" s="2">
        <v>10310</v>
      </c>
      <c r="B64" s="2" t="s">
        <v>44</v>
      </c>
      <c r="C64" s="2">
        <v>8</v>
      </c>
      <c r="D64" s="3">
        <v>35328</v>
      </c>
      <c r="E64" t="str">
        <f>VLOOKUP(C64,[1]Employees!$A$1:$O$10,4,FALSE)</f>
        <v>Callahan Laura</v>
      </c>
      <c r="F64">
        <f>VLOOKUP(A64,[1]!Orders,7,FALSE)</f>
        <v>2</v>
      </c>
      <c r="G64" t="str">
        <f>VLOOKUP(F64,[1]!Shippers,2,FALSE)</f>
        <v>United Package</v>
      </c>
      <c r="H64" t="str">
        <f>VLOOKUP(C64,[1]EmployeeTerritories!$A$1:$B$50,2,FALSE)</f>
        <v>19428</v>
      </c>
      <c r="I64">
        <f>VLOOKUP(C64,[1]EmployeeTerritories!$A$1:$B$50,1,FALSE)</f>
        <v>8</v>
      </c>
      <c r="J64">
        <f>VLOOKUP(H64,[1]!Territories,3,FALSE)</f>
        <v>3</v>
      </c>
      <c r="K64" t="str">
        <f>VLOOKUP(J64,[1]!Region,2,FALSE)</f>
        <v>Northern</v>
      </c>
      <c r="L64">
        <f>VLOOKUP(A64,[1]Order_Details!$A$1:$F$2156,2,FALSE)</f>
        <v>16</v>
      </c>
      <c r="M64" t="str">
        <f>VLOOKUP(L64,[1]!Products,2,FALSE)</f>
        <v>Pavlova</v>
      </c>
      <c r="N64">
        <f>VLOOKUP(L64,[1]!Products,4,FALSE)</f>
        <v>3</v>
      </c>
      <c r="O64" s="6" t="str">
        <f>VLOOKUP(N64,[1]!Categories,2,FALSE)</f>
        <v>Confections</v>
      </c>
      <c r="P64" s="6">
        <f>VLOOKUP(A64,[1]Order_Details!$A$1:$F$2156,3,FALSE)</f>
        <v>13.9</v>
      </c>
      <c r="Q64">
        <f>VLOOKUP(A64,[1]Order_Details!$A$1:$F$2156,4,FALSE)</f>
        <v>10</v>
      </c>
      <c r="R64">
        <f>VLOOKUP(A64,[1]Order_Details!$A$1:$F$2156,5,FALSE)</f>
        <v>0</v>
      </c>
      <c r="S64" s="6">
        <f>VLOOKUP(A64,[1]Order_Details!$A$1:$F$2156,6,FALSE)</f>
        <v>139</v>
      </c>
      <c r="T64" s="6">
        <f>VLOOKUP(A64,[1]!Orders,8,FALSE)</f>
        <v>17.52</v>
      </c>
    </row>
    <row r="65" spans="1:20" x14ac:dyDescent="0.3">
      <c r="A65" s="2">
        <v>10311</v>
      </c>
      <c r="B65" s="2" t="s">
        <v>45</v>
      </c>
      <c r="C65" s="2">
        <v>1</v>
      </c>
      <c r="D65" s="3">
        <v>35328</v>
      </c>
      <c r="E65" t="str">
        <f>VLOOKUP(C65,[1]Employees!$A$1:$O$10,4,FALSE)</f>
        <v>Davolio Nancy</v>
      </c>
      <c r="F65">
        <f>VLOOKUP(A65,[1]!Orders,7,FALSE)</f>
        <v>3</v>
      </c>
      <c r="G65" t="str">
        <f>VLOOKUP(F65,[1]!Shippers,2,FALSE)</f>
        <v>Federal Shipping</v>
      </c>
      <c r="H65" t="str">
        <f>VLOOKUP(C65,[1]EmployeeTerritories!$A$1:$B$50,2,FALSE)</f>
        <v>06897</v>
      </c>
      <c r="I65">
        <f>VLOOKUP(C65,[1]EmployeeTerritories!$A$1:$B$50,1,FALSE)</f>
        <v>1</v>
      </c>
      <c r="J65">
        <f>VLOOKUP(H65,[1]!Territories,3,FALSE)</f>
        <v>1</v>
      </c>
      <c r="K65" t="str">
        <f>VLOOKUP(J65,[1]!Region,2,FALSE)</f>
        <v>Eastern</v>
      </c>
      <c r="L65">
        <f>VLOOKUP(A65,[1]Order_Details!$A$1:$F$2156,2,FALSE)</f>
        <v>42</v>
      </c>
      <c r="M65" t="str">
        <f>VLOOKUP(L65,[1]!Products,2,FALSE)</f>
        <v>Singaporean Hokkien Fried Mee</v>
      </c>
      <c r="N65">
        <f>VLOOKUP(L65,[1]!Products,4,FALSE)</f>
        <v>5</v>
      </c>
      <c r="O65" s="6" t="str">
        <f>VLOOKUP(N65,[1]!Categories,2,FALSE)</f>
        <v>Grains/Cereals</v>
      </c>
      <c r="P65" s="6">
        <f>VLOOKUP(A65,[1]Order_Details!$A$1:$F$2156,3,FALSE)</f>
        <v>11.2</v>
      </c>
      <c r="Q65">
        <f>VLOOKUP(A65,[1]Order_Details!$A$1:$F$2156,4,FALSE)</f>
        <v>6</v>
      </c>
      <c r="R65">
        <f>VLOOKUP(A65,[1]Order_Details!$A$1:$F$2156,5,FALSE)</f>
        <v>0</v>
      </c>
      <c r="S65" s="6">
        <f>VLOOKUP(A65,[1]Order_Details!$A$1:$F$2156,6,FALSE)</f>
        <v>67.199999999999989</v>
      </c>
      <c r="T65" s="6">
        <f>VLOOKUP(A65,[1]!Orders,8,FALSE)</f>
        <v>24.69</v>
      </c>
    </row>
    <row r="66" spans="1:20" x14ac:dyDescent="0.3">
      <c r="A66" s="2">
        <v>10312</v>
      </c>
      <c r="B66" s="2" t="s">
        <v>39</v>
      </c>
      <c r="C66" s="2">
        <v>2</v>
      </c>
      <c r="D66" s="3">
        <v>35331</v>
      </c>
      <c r="E66" t="str">
        <f>VLOOKUP(C66,[1]Employees!$A$1:$O$10,4,FALSE)</f>
        <v>Fuller Andrew</v>
      </c>
      <c r="F66">
        <f>VLOOKUP(A66,[1]!Orders,7,FALSE)</f>
        <v>2</v>
      </c>
      <c r="G66" t="str">
        <f>VLOOKUP(F66,[1]!Shippers,2,FALSE)</f>
        <v>United Package</v>
      </c>
      <c r="H66" t="str">
        <f>VLOOKUP(C66,[1]EmployeeTerritories!$A$1:$B$50,2,FALSE)</f>
        <v>01581</v>
      </c>
      <c r="I66">
        <f>VLOOKUP(C66,[1]EmployeeTerritories!$A$1:$B$50,1,FALSE)</f>
        <v>2</v>
      </c>
      <c r="J66">
        <f>VLOOKUP(H66,[1]!Territories,3,FALSE)</f>
        <v>1</v>
      </c>
      <c r="K66" t="str">
        <f>VLOOKUP(J66,[1]!Region,2,FALSE)</f>
        <v>Eastern</v>
      </c>
      <c r="L66">
        <f>VLOOKUP(A66,[1]Order_Details!$A$1:$F$2156,2,FALSE)</f>
        <v>28</v>
      </c>
      <c r="M66" t="str">
        <f>VLOOKUP(L66,[1]!Products,2,FALSE)</f>
        <v>Rössle Sauerkraut</v>
      </c>
      <c r="N66">
        <f>VLOOKUP(L66,[1]!Products,4,FALSE)</f>
        <v>7</v>
      </c>
      <c r="O66" s="6" t="str">
        <f>VLOOKUP(N66,[1]!Categories,2,FALSE)</f>
        <v>Produce</v>
      </c>
      <c r="P66" s="6">
        <f>VLOOKUP(A66,[1]Order_Details!$A$1:$F$2156,3,FALSE)</f>
        <v>36.4</v>
      </c>
      <c r="Q66">
        <f>VLOOKUP(A66,[1]Order_Details!$A$1:$F$2156,4,FALSE)</f>
        <v>4</v>
      </c>
      <c r="R66">
        <f>VLOOKUP(A66,[1]Order_Details!$A$1:$F$2156,5,FALSE)</f>
        <v>0</v>
      </c>
      <c r="S66" s="6">
        <f>VLOOKUP(A66,[1]Order_Details!$A$1:$F$2156,6,FALSE)</f>
        <v>145.6</v>
      </c>
      <c r="T66" s="6">
        <f>VLOOKUP(A66,[1]!Orders,8,FALSE)</f>
        <v>40.26</v>
      </c>
    </row>
    <row r="67" spans="1:20" x14ac:dyDescent="0.3">
      <c r="A67" s="2">
        <v>10313</v>
      </c>
      <c r="B67" s="2" t="s">
        <v>25</v>
      </c>
      <c r="C67" s="2">
        <v>2</v>
      </c>
      <c r="D67" s="3">
        <v>35332</v>
      </c>
      <c r="E67" t="str">
        <f>VLOOKUP(C67,[1]Employees!$A$1:$O$10,4,FALSE)</f>
        <v>Fuller Andrew</v>
      </c>
      <c r="F67">
        <f>VLOOKUP(A67,[1]!Orders,7,FALSE)</f>
        <v>2</v>
      </c>
      <c r="G67" t="str">
        <f>VLOOKUP(F67,[1]!Shippers,2,FALSE)</f>
        <v>United Package</v>
      </c>
      <c r="H67" t="str">
        <f>VLOOKUP(C67,[1]EmployeeTerritories!$A$1:$B$50,2,FALSE)</f>
        <v>01581</v>
      </c>
      <c r="I67">
        <f>VLOOKUP(C67,[1]EmployeeTerritories!$A$1:$B$50,1,FALSE)</f>
        <v>2</v>
      </c>
      <c r="J67">
        <f>VLOOKUP(H67,[1]!Territories,3,FALSE)</f>
        <v>1</v>
      </c>
      <c r="K67" t="str">
        <f>VLOOKUP(J67,[1]!Region,2,FALSE)</f>
        <v>Eastern</v>
      </c>
      <c r="L67">
        <f>VLOOKUP(A67,[1]Order_Details!$A$1:$F$2156,2,FALSE)</f>
        <v>36</v>
      </c>
      <c r="M67" t="str">
        <f>VLOOKUP(L67,[1]!Products,2,FALSE)</f>
        <v>Inlagd Sill</v>
      </c>
      <c r="N67">
        <f>VLOOKUP(L67,[1]!Products,4,FALSE)</f>
        <v>8</v>
      </c>
      <c r="O67" s="6" t="str">
        <f>VLOOKUP(N67,[1]!Categories,2,FALSE)</f>
        <v>Seafood</v>
      </c>
      <c r="P67" s="6">
        <f>VLOOKUP(A67,[1]Order_Details!$A$1:$F$2156,3,FALSE)</f>
        <v>15.2</v>
      </c>
      <c r="Q67">
        <f>VLOOKUP(A67,[1]Order_Details!$A$1:$F$2156,4,FALSE)</f>
        <v>12</v>
      </c>
      <c r="R67">
        <f>VLOOKUP(A67,[1]Order_Details!$A$1:$F$2156,5,FALSE)</f>
        <v>0</v>
      </c>
      <c r="S67" s="6">
        <f>VLOOKUP(A67,[1]Order_Details!$A$1:$F$2156,6,FALSE)</f>
        <v>182.39999999999998</v>
      </c>
      <c r="T67" s="6">
        <f>VLOOKUP(A67,[1]!Orders,8,FALSE)</f>
        <v>1.96</v>
      </c>
    </row>
    <row r="68" spans="1:20" x14ac:dyDescent="0.3">
      <c r="A68" s="2">
        <v>10314</v>
      </c>
      <c r="B68" s="2" t="s">
        <v>17</v>
      </c>
      <c r="C68" s="2">
        <v>1</v>
      </c>
      <c r="D68" s="3">
        <v>35333</v>
      </c>
      <c r="E68" t="str">
        <f>VLOOKUP(C68,[1]Employees!$A$1:$O$10,4,FALSE)</f>
        <v>Davolio Nancy</v>
      </c>
      <c r="F68">
        <f>VLOOKUP(A68,[1]!Orders,7,FALSE)</f>
        <v>2</v>
      </c>
      <c r="G68" t="str">
        <f>VLOOKUP(F68,[1]!Shippers,2,FALSE)</f>
        <v>United Package</v>
      </c>
      <c r="H68" t="str">
        <f>VLOOKUP(C68,[1]EmployeeTerritories!$A$1:$B$50,2,FALSE)</f>
        <v>06897</v>
      </c>
      <c r="I68">
        <f>VLOOKUP(C68,[1]EmployeeTerritories!$A$1:$B$50,1,FALSE)</f>
        <v>1</v>
      </c>
      <c r="J68">
        <f>VLOOKUP(H68,[1]!Territories,3,FALSE)</f>
        <v>1</v>
      </c>
      <c r="K68" t="str">
        <f>VLOOKUP(J68,[1]!Region,2,FALSE)</f>
        <v>Eastern</v>
      </c>
      <c r="L68">
        <f>VLOOKUP(A68,[1]Order_Details!$A$1:$F$2156,2,FALSE)</f>
        <v>32</v>
      </c>
      <c r="M68" t="str">
        <f>VLOOKUP(L68,[1]!Products,2,FALSE)</f>
        <v>Mascarpone Fabioli</v>
      </c>
      <c r="N68">
        <f>VLOOKUP(L68,[1]!Products,4,FALSE)</f>
        <v>4</v>
      </c>
      <c r="O68" s="6" t="str">
        <f>VLOOKUP(N68,[1]!Categories,2,FALSE)</f>
        <v>Dairy Products</v>
      </c>
      <c r="P68" s="6">
        <f>VLOOKUP(A68,[1]Order_Details!$A$1:$F$2156,3,FALSE)</f>
        <v>25.6</v>
      </c>
      <c r="Q68">
        <f>VLOOKUP(A68,[1]Order_Details!$A$1:$F$2156,4,FALSE)</f>
        <v>40</v>
      </c>
      <c r="R68">
        <f>VLOOKUP(A68,[1]Order_Details!$A$1:$F$2156,5,FALSE)</f>
        <v>0.10000000149011612</v>
      </c>
      <c r="S68" s="6">
        <f>VLOOKUP(A68,[1]Order_Details!$A$1:$F$2156,6,FALSE)</f>
        <v>921.59999847412109</v>
      </c>
      <c r="T68" s="6">
        <f>VLOOKUP(A68,[1]!Orders,8,FALSE)</f>
        <v>74.16</v>
      </c>
    </row>
    <row r="69" spans="1:20" x14ac:dyDescent="0.3">
      <c r="A69" s="2">
        <v>10315</v>
      </c>
      <c r="B69" s="2" t="s">
        <v>46</v>
      </c>
      <c r="C69" s="2">
        <v>4</v>
      </c>
      <c r="D69" s="3">
        <v>35334</v>
      </c>
      <c r="E69" t="str">
        <f>VLOOKUP(C69,[1]Employees!$A$1:$O$10,4,FALSE)</f>
        <v>Peacock Margaret</v>
      </c>
      <c r="F69">
        <f>VLOOKUP(A69,[1]!Orders,7,FALSE)</f>
        <v>2</v>
      </c>
      <c r="G69" t="str">
        <f>VLOOKUP(F69,[1]!Shippers,2,FALSE)</f>
        <v>United Package</v>
      </c>
      <c r="H69" t="str">
        <f>VLOOKUP(C69,[1]EmployeeTerritories!$A$1:$B$50,2,FALSE)</f>
        <v>20852</v>
      </c>
      <c r="I69">
        <f>VLOOKUP(C69,[1]EmployeeTerritories!$A$1:$B$50,1,FALSE)</f>
        <v>4</v>
      </c>
      <c r="J69">
        <f>VLOOKUP(H69,[1]!Territories,3,FALSE)</f>
        <v>1</v>
      </c>
      <c r="K69" t="str">
        <f>VLOOKUP(J69,[1]!Region,2,FALSE)</f>
        <v>Eastern</v>
      </c>
      <c r="L69">
        <f>VLOOKUP(A69,[1]Order_Details!$A$1:$F$2156,2,FALSE)</f>
        <v>34</v>
      </c>
      <c r="M69" t="str">
        <f>VLOOKUP(L69,[1]!Products,2,FALSE)</f>
        <v>Sasquatch Ale</v>
      </c>
      <c r="N69">
        <f>VLOOKUP(L69,[1]!Products,4,FALSE)</f>
        <v>1</v>
      </c>
      <c r="O69" s="6" t="str">
        <f>VLOOKUP(N69,[1]!Categories,2,FALSE)</f>
        <v>Beverages</v>
      </c>
      <c r="P69" s="6">
        <f>VLOOKUP(A69,[1]Order_Details!$A$1:$F$2156,3,FALSE)</f>
        <v>11.2</v>
      </c>
      <c r="Q69">
        <f>VLOOKUP(A69,[1]Order_Details!$A$1:$F$2156,4,FALSE)</f>
        <v>14</v>
      </c>
      <c r="R69">
        <f>VLOOKUP(A69,[1]Order_Details!$A$1:$F$2156,5,FALSE)</f>
        <v>0</v>
      </c>
      <c r="S69" s="6">
        <f>VLOOKUP(A69,[1]Order_Details!$A$1:$F$2156,6,FALSE)</f>
        <v>156.79999999999998</v>
      </c>
      <c r="T69" s="6">
        <f>VLOOKUP(A69,[1]!Orders,8,FALSE)</f>
        <v>41.76</v>
      </c>
    </row>
    <row r="70" spans="1:20" x14ac:dyDescent="0.3">
      <c r="A70" s="2">
        <v>10316</v>
      </c>
      <c r="B70" s="2" t="s">
        <v>17</v>
      </c>
      <c r="C70" s="2">
        <v>1</v>
      </c>
      <c r="D70" s="3">
        <v>35335</v>
      </c>
      <c r="E70" t="str">
        <f>VLOOKUP(C70,[1]Employees!$A$1:$O$10,4,FALSE)</f>
        <v>Davolio Nancy</v>
      </c>
      <c r="F70">
        <f>VLOOKUP(A70,[1]!Orders,7,FALSE)</f>
        <v>3</v>
      </c>
      <c r="G70" t="str">
        <f>VLOOKUP(F70,[1]!Shippers,2,FALSE)</f>
        <v>Federal Shipping</v>
      </c>
      <c r="H70" t="str">
        <f>VLOOKUP(C70,[1]EmployeeTerritories!$A$1:$B$50,2,FALSE)</f>
        <v>06897</v>
      </c>
      <c r="I70">
        <f>VLOOKUP(C70,[1]EmployeeTerritories!$A$1:$B$50,1,FALSE)</f>
        <v>1</v>
      </c>
      <c r="J70">
        <f>VLOOKUP(H70,[1]!Territories,3,FALSE)</f>
        <v>1</v>
      </c>
      <c r="K70" t="str">
        <f>VLOOKUP(J70,[1]!Region,2,FALSE)</f>
        <v>Eastern</v>
      </c>
      <c r="L70">
        <f>VLOOKUP(A70,[1]Order_Details!$A$1:$F$2156,2,FALSE)</f>
        <v>41</v>
      </c>
      <c r="M70" t="str">
        <f>VLOOKUP(L70,[1]!Products,2,FALSE)</f>
        <v>Jack's New England Clam Chowder</v>
      </c>
      <c r="N70">
        <f>VLOOKUP(L70,[1]!Products,4,FALSE)</f>
        <v>8</v>
      </c>
      <c r="O70" s="6" t="str">
        <f>VLOOKUP(N70,[1]!Categories,2,FALSE)</f>
        <v>Seafood</v>
      </c>
      <c r="P70" s="6">
        <f>VLOOKUP(A70,[1]Order_Details!$A$1:$F$2156,3,FALSE)</f>
        <v>7.7</v>
      </c>
      <c r="Q70">
        <f>VLOOKUP(A70,[1]Order_Details!$A$1:$F$2156,4,FALSE)</f>
        <v>10</v>
      </c>
      <c r="R70">
        <f>VLOOKUP(A70,[1]Order_Details!$A$1:$F$2156,5,FALSE)</f>
        <v>0</v>
      </c>
      <c r="S70" s="6">
        <f>VLOOKUP(A70,[1]Order_Details!$A$1:$F$2156,6,FALSE)</f>
        <v>77</v>
      </c>
      <c r="T70" s="6">
        <f>VLOOKUP(A70,[1]!Orders,8,FALSE)</f>
        <v>150.15</v>
      </c>
    </row>
    <row r="71" spans="1:20" x14ac:dyDescent="0.3">
      <c r="A71" s="2">
        <v>10317</v>
      </c>
      <c r="B71" s="2" t="s">
        <v>42</v>
      </c>
      <c r="C71" s="2">
        <v>6</v>
      </c>
      <c r="D71" s="3">
        <v>35338</v>
      </c>
      <c r="E71" t="str">
        <f>VLOOKUP(C71,[1]Employees!$A$1:$O$10,4,FALSE)</f>
        <v>Suyama Michael</v>
      </c>
      <c r="F71">
        <f>VLOOKUP(A71,[1]!Orders,7,FALSE)</f>
        <v>1</v>
      </c>
      <c r="G71" t="str">
        <f>VLOOKUP(F71,[1]!Shippers,2,FALSE)</f>
        <v>Speedy Express</v>
      </c>
      <c r="H71" t="str">
        <f>VLOOKUP(C71,[1]EmployeeTerritories!$A$1:$B$50,2,FALSE)</f>
        <v>85014</v>
      </c>
      <c r="I71">
        <f>VLOOKUP(C71,[1]EmployeeTerritories!$A$1:$B$50,1,FALSE)</f>
        <v>6</v>
      </c>
      <c r="J71">
        <f>VLOOKUP(H71,[1]!Territories,3,FALSE)</f>
        <v>2</v>
      </c>
      <c r="K71" t="str">
        <f>VLOOKUP(J71,[1]!Region,2,FALSE)</f>
        <v>Western</v>
      </c>
      <c r="L71">
        <f>VLOOKUP(A71,[1]Order_Details!$A$1:$F$2156,2,FALSE)</f>
        <v>1</v>
      </c>
      <c r="M71" t="str">
        <f>VLOOKUP(L71,[1]!Products,2,FALSE)</f>
        <v>Chai</v>
      </c>
      <c r="N71">
        <f>VLOOKUP(L71,[1]!Products,4,FALSE)</f>
        <v>1</v>
      </c>
      <c r="O71" s="6" t="str">
        <f>VLOOKUP(N71,[1]!Categories,2,FALSE)</f>
        <v>Beverages</v>
      </c>
      <c r="P71" s="6">
        <f>VLOOKUP(A71,[1]Order_Details!$A$1:$F$2156,3,FALSE)</f>
        <v>14.4</v>
      </c>
      <c r="Q71">
        <f>VLOOKUP(A71,[1]Order_Details!$A$1:$F$2156,4,FALSE)</f>
        <v>20</v>
      </c>
      <c r="R71">
        <f>VLOOKUP(A71,[1]Order_Details!$A$1:$F$2156,5,FALSE)</f>
        <v>0</v>
      </c>
      <c r="S71" s="6">
        <f>VLOOKUP(A71,[1]Order_Details!$A$1:$F$2156,6,FALSE)</f>
        <v>288</v>
      </c>
      <c r="T71" s="6">
        <f>VLOOKUP(A71,[1]!Orders,8,FALSE)</f>
        <v>12.69</v>
      </c>
    </row>
    <row r="72" spans="1:20" x14ac:dyDescent="0.3">
      <c r="A72" s="2">
        <v>10318</v>
      </c>
      <c r="B72" s="2" t="s">
        <v>46</v>
      </c>
      <c r="C72" s="2">
        <v>8</v>
      </c>
      <c r="D72" s="3">
        <v>35339</v>
      </c>
      <c r="E72" t="str">
        <f>VLOOKUP(C72,[1]Employees!$A$1:$O$10,4,FALSE)</f>
        <v>Callahan Laura</v>
      </c>
      <c r="F72">
        <f>VLOOKUP(A72,[1]!Orders,7,FALSE)</f>
        <v>2</v>
      </c>
      <c r="G72" t="str">
        <f>VLOOKUP(F72,[1]!Shippers,2,FALSE)</f>
        <v>United Package</v>
      </c>
      <c r="H72" t="str">
        <f>VLOOKUP(C72,[1]EmployeeTerritories!$A$1:$B$50,2,FALSE)</f>
        <v>19428</v>
      </c>
      <c r="I72">
        <f>VLOOKUP(C72,[1]EmployeeTerritories!$A$1:$B$50,1,FALSE)</f>
        <v>8</v>
      </c>
      <c r="J72">
        <f>VLOOKUP(H72,[1]!Territories,3,FALSE)</f>
        <v>3</v>
      </c>
      <c r="K72" t="str">
        <f>VLOOKUP(J72,[1]!Region,2,FALSE)</f>
        <v>Northern</v>
      </c>
      <c r="L72">
        <f>VLOOKUP(A72,[1]Order_Details!$A$1:$F$2156,2,FALSE)</f>
        <v>41</v>
      </c>
      <c r="M72" t="str">
        <f>VLOOKUP(L72,[1]!Products,2,FALSE)</f>
        <v>Jack's New England Clam Chowder</v>
      </c>
      <c r="N72">
        <f>VLOOKUP(L72,[1]!Products,4,FALSE)</f>
        <v>8</v>
      </c>
      <c r="O72" s="6" t="str">
        <f>VLOOKUP(N72,[1]!Categories,2,FALSE)</f>
        <v>Seafood</v>
      </c>
      <c r="P72" s="6">
        <f>VLOOKUP(A72,[1]Order_Details!$A$1:$F$2156,3,FALSE)</f>
        <v>7.7</v>
      </c>
      <c r="Q72">
        <f>VLOOKUP(A72,[1]Order_Details!$A$1:$F$2156,4,FALSE)</f>
        <v>20</v>
      </c>
      <c r="R72">
        <f>VLOOKUP(A72,[1]Order_Details!$A$1:$F$2156,5,FALSE)</f>
        <v>0</v>
      </c>
      <c r="S72" s="6">
        <f>VLOOKUP(A72,[1]Order_Details!$A$1:$F$2156,6,FALSE)</f>
        <v>154</v>
      </c>
      <c r="T72" s="6">
        <f>VLOOKUP(A72,[1]!Orders,8,FALSE)</f>
        <v>4.7300000000000004</v>
      </c>
    </row>
    <row r="73" spans="1:20" x14ac:dyDescent="0.3">
      <c r="A73" s="2">
        <v>10319</v>
      </c>
      <c r="B73" s="2" t="s">
        <v>27</v>
      </c>
      <c r="C73" s="2">
        <v>7</v>
      </c>
      <c r="D73" s="3">
        <v>35340</v>
      </c>
      <c r="E73" t="str">
        <f>VLOOKUP(C73,[1]Employees!$A$1:$O$10,4,FALSE)</f>
        <v>King Robert</v>
      </c>
      <c r="F73">
        <f>VLOOKUP(A73,[1]!Orders,7,FALSE)</f>
        <v>3</v>
      </c>
      <c r="G73" t="str">
        <f>VLOOKUP(F73,[1]!Shippers,2,FALSE)</f>
        <v>Federal Shipping</v>
      </c>
      <c r="H73" t="str">
        <f>VLOOKUP(C73,[1]EmployeeTerritories!$A$1:$B$50,2,FALSE)</f>
        <v>60179</v>
      </c>
      <c r="I73">
        <f>VLOOKUP(C73,[1]EmployeeTerritories!$A$1:$B$50,1,FALSE)</f>
        <v>7</v>
      </c>
      <c r="J73">
        <f>VLOOKUP(H73,[1]!Territories,3,FALSE)</f>
        <v>2</v>
      </c>
      <c r="K73" t="str">
        <f>VLOOKUP(J73,[1]!Region,2,FALSE)</f>
        <v>Western</v>
      </c>
      <c r="L73">
        <f>VLOOKUP(A73,[1]Order_Details!$A$1:$F$2156,2,FALSE)</f>
        <v>17</v>
      </c>
      <c r="M73" t="str">
        <f>VLOOKUP(L73,[1]!Products,2,FALSE)</f>
        <v>Alice Mutton</v>
      </c>
      <c r="N73">
        <f>VLOOKUP(L73,[1]!Products,4,FALSE)</f>
        <v>6</v>
      </c>
      <c r="O73" s="6" t="str">
        <f>VLOOKUP(N73,[1]!Categories,2,FALSE)</f>
        <v>Meat/Poultry</v>
      </c>
      <c r="P73" s="6">
        <f>VLOOKUP(A73,[1]Order_Details!$A$1:$F$2156,3,FALSE)</f>
        <v>31.2</v>
      </c>
      <c r="Q73">
        <f>VLOOKUP(A73,[1]Order_Details!$A$1:$F$2156,4,FALSE)</f>
        <v>8</v>
      </c>
      <c r="R73">
        <f>VLOOKUP(A73,[1]Order_Details!$A$1:$F$2156,5,FALSE)</f>
        <v>0</v>
      </c>
      <c r="S73" s="6">
        <f>VLOOKUP(A73,[1]Order_Details!$A$1:$F$2156,6,FALSE)</f>
        <v>249.6</v>
      </c>
      <c r="T73" s="6">
        <f>VLOOKUP(A73,[1]!Orders,8,FALSE)</f>
        <v>64.5</v>
      </c>
    </row>
    <row r="74" spans="1:20" x14ac:dyDescent="0.3">
      <c r="A74" s="2">
        <v>10320</v>
      </c>
      <c r="B74" s="2" t="s">
        <v>20</v>
      </c>
      <c r="C74" s="2">
        <v>5</v>
      </c>
      <c r="D74" s="3">
        <v>35341</v>
      </c>
      <c r="E74" t="str">
        <f>VLOOKUP(C74,[1]Employees!$A$1:$O$10,4,FALSE)</f>
        <v>Buchanan Steven</v>
      </c>
      <c r="F74">
        <f>VLOOKUP(A74,[1]!Orders,7,FALSE)</f>
        <v>3</v>
      </c>
      <c r="G74" t="str">
        <f>VLOOKUP(F74,[1]!Shippers,2,FALSE)</f>
        <v>Federal Shipping</v>
      </c>
      <c r="H74" t="str">
        <f>VLOOKUP(C74,[1]EmployeeTerritories!$A$1:$B$50,2,FALSE)</f>
        <v>02903</v>
      </c>
      <c r="I74">
        <f>VLOOKUP(C74,[1]EmployeeTerritories!$A$1:$B$50,1,FALSE)</f>
        <v>5</v>
      </c>
      <c r="J74">
        <f>VLOOKUP(H74,[1]!Territories,3,FALSE)</f>
        <v>1</v>
      </c>
      <c r="K74" t="str">
        <f>VLOOKUP(J74,[1]!Region,2,FALSE)</f>
        <v>Eastern</v>
      </c>
      <c r="L74">
        <f>VLOOKUP(A74,[1]Order_Details!$A$1:$F$2156,2,FALSE)</f>
        <v>71</v>
      </c>
      <c r="M74" t="str">
        <f>VLOOKUP(L74,[1]!Products,2,FALSE)</f>
        <v>Flotemysost</v>
      </c>
      <c r="N74">
        <f>VLOOKUP(L74,[1]!Products,4,FALSE)</f>
        <v>4</v>
      </c>
      <c r="O74" s="6" t="str">
        <f>VLOOKUP(N74,[1]!Categories,2,FALSE)</f>
        <v>Dairy Products</v>
      </c>
      <c r="P74" s="6">
        <f>VLOOKUP(A74,[1]Order_Details!$A$1:$F$2156,3,FALSE)</f>
        <v>17.2</v>
      </c>
      <c r="Q74">
        <f>VLOOKUP(A74,[1]Order_Details!$A$1:$F$2156,4,FALSE)</f>
        <v>30</v>
      </c>
      <c r="R74">
        <f>VLOOKUP(A74,[1]Order_Details!$A$1:$F$2156,5,FALSE)</f>
        <v>0</v>
      </c>
      <c r="S74" s="6">
        <f>VLOOKUP(A74,[1]Order_Details!$A$1:$F$2156,6,FALSE)</f>
        <v>516</v>
      </c>
      <c r="T74" s="6">
        <f>VLOOKUP(A74,[1]!Orders,8,FALSE)</f>
        <v>34.57</v>
      </c>
    </row>
    <row r="75" spans="1:20" x14ac:dyDescent="0.3">
      <c r="A75" s="2">
        <v>10321</v>
      </c>
      <c r="B75" s="2" t="s">
        <v>46</v>
      </c>
      <c r="C75" s="2">
        <v>3</v>
      </c>
      <c r="D75" s="3">
        <v>35341</v>
      </c>
      <c r="E75" t="str">
        <f>VLOOKUP(C75,[1]Employees!$A$1:$O$10,4,FALSE)</f>
        <v>Leverling Janet</v>
      </c>
      <c r="F75">
        <f>VLOOKUP(A75,[1]!Orders,7,FALSE)</f>
        <v>2</v>
      </c>
      <c r="G75" t="str">
        <f>VLOOKUP(F75,[1]!Shippers,2,FALSE)</f>
        <v>United Package</v>
      </c>
      <c r="H75" t="str">
        <f>VLOOKUP(C75,[1]EmployeeTerritories!$A$1:$B$50,2,FALSE)</f>
        <v>30346</v>
      </c>
      <c r="I75">
        <f>VLOOKUP(C75,[1]EmployeeTerritories!$A$1:$B$50,1,FALSE)</f>
        <v>3</v>
      </c>
      <c r="J75">
        <f>VLOOKUP(H75,[1]!Territories,3,FALSE)</f>
        <v>4</v>
      </c>
      <c r="K75" t="str">
        <f>VLOOKUP(J75,[1]!Region,2,FALSE)</f>
        <v>Southern</v>
      </c>
      <c r="L75">
        <f>VLOOKUP(A75,[1]Order_Details!$A$1:$F$2156,2,FALSE)</f>
        <v>35</v>
      </c>
      <c r="M75" t="str">
        <f>VLOOKUP(L75,[1]!Products,2,FALSE)</f>
        <v>Steeleye Stout</v>
      </c>
      <c r="N75">
        <f>VLOOKUP(L75,[1]!Products,4,FALSE)</f>
        <v>1</v>
      </c>
      <c r="O75" s="6" t="str">
        <f>VLOOKUP(N75,[1]!Categories,2,FALSE)</f>
        <v>Beverages</v>
      </c>
      <c r="P75" s="6">
        <f>VLOOKUP(A75,[1]Order_Details!$A$1:$F$2156,3,FALSE)</f>
        <v>14.4</v>
      </c>
      <c r="Q75">
        <f>VLOOKUP(A75,[1]Order_Details!$A$1:$F$2156,4,FALSE)</f>
        <v>10</v>
      </c>
      <c r="R75">
        <f>VLOOKUP(A75,[1]Order_Details!$A$1:$F$2156,5,FALSE)</f>
        <v>0</v>
      </c>
      <c r="S75" s="6">
        <f>VLOOKUP(A75,[1]Order_Details!$A$1:$F$2156,6,FALSE)</f>
        <v>144</v>
      </c>
      <c r="T75" s="6">
        <f>VLOOKUP(A75,[1]!Orders,8,FALSE)</f>
        <v>3.43</v>
      </c>
    </row>
    <row r="76" spans="1:20" x14ac:dyDescent="0.3">
      <c r="A76" s="2">
        <v>10322</v>
      </c>
      <c r="B76" s="2" t="s">
        <v>47</v>
      </c>
      <c r="C76" s="2">
        <v>7</v>
      </c>
      <c r="D76" s="3">
        <v>35342</v>
      </c>
      <c r="E76" t="str">
        <f>VLOOKUP(C76,[1]Employees!$A$1:$O$10,4,FALSE)</f>
        <v>King Robert</v>
      </c>
      <c r="F76">
        <f>VLOOKUP(A76,[1]!Orders,7,FALSE)</f>
        <v>3</v>
      </c>
      <c r="G76" t="str">
        <f>VLOOKUP(F76,[1]!Shippers,2,FALSE)</f>
        <v>Federal Shipping</v>
      </c>
      <c r="H76" t="str">
        <f>VLOOKUP(C76,[1]EmployeeTerritories!$A$1:$B$50,2,FALSE)</f>
        <v>60179</v>
      </c>
      <c r="I76">
        <f>VLOOKUP(C76,[1]EmployeeTerritories!$A$1:$B$50,1,FALSE)</f>
        <v>7</v>
      </c>
      <c r="J76">
        <f>VLOOKUP(H76,[1]!Territories,3,FALSE)</f>
        <v>2</v>
      </c>
      <c r="K76" t="str">
        <f>VLOOKUP(J76,[1]!Region,2,FALSE)</f>
        <v>Western</v>
      </c>
      <c r="L76">
        <f>VLOOKUP(A76,[1]Order_Details!$A$1:$F$2156,2,FALSE)</f>
        <v>52</v>
      </c>
      <c r="M76" t="str">
        <f>VLOOKUP(L76,[1]!Products,2,FALSE)</f>
        <v>Filo Mix</v>
      </c>
      <c r="N76">
        <f>VLOOKUP(L76,[1]!Products,4,FALSE)</f>
        <v>5</v>
      </c>
      <c r="O76" s="6" t="str">
        <f>VLOOKUP(N76,[1]!Categories,2,FALSE)</f>
        <v>Grains/Cereals</v>
      </c>
      <c r="P76" s="6">
        <f>VLOOKUP(A76,[1]Order_Details!$A$1:$F$2156,3,FALSE)</f>
        <v>5.6</v>
      </c>
      <c r="Q76">
        <f>VLOOKUP(A76,[1]Order_Details!$A$1:$F$2156,4,FALSE)</f>
        <v>20</v>
      </c>
      <c r="R76">
        <f>VLOOKUP(A76,[1]Order_Details!$A$1:$F$2156,5,FALSE)</f>
        <v>0</v>
      </c>
      <c r="S76" s="6">
        <f>VLOOKUP(A76,[1]Order_Details!$A$1:$F$2156,6,FALSE)</f>
        <v>112</v>
      </c>
      <c r="T76" s="6">
        <f>VLOOKUP(A76,[1]!Orders,8,FALSE)</f>
        <v>0.4</v>
      </c>
    </row>
    <row r="77" spans="1:20" x14ac:dyDescent="0.3">
      <c r="A77" s="2">
        <v>10323</v>
      </c>
      <c r="B77" s="2" t="s">
        <v>48</v>
      </c>
      <c r="C77" s="2">
        <v>4</v>
      </c>
      <c r="D77" s="3">
        <v>35345</v>
      </c>
      <c r="E77" t="str">
        <f>VLOOKUP(C77,[1]Employees!$A$1:$O$10,4,FALSE)</f>
        <v>Peacock Margaret</v>
      </c>
      <c r="F77">
        <f>VLOOKUP(A77,[1]!Orders,7,FALSE)</f>
        <v>1</v>
      </c>
      <c r="G77" t="str">
        <f>VLOOKUP(F77,[1]!Shippers,2,FALSE)</f>
        <v>Speedy Express</v>
      </c>
      <c r="H77" t="str">
        <f>VLOOKUP(C77,[1]EmployeeTerritories!$A$1:$B$50,2,FALSE)</f>
        <v>20852</v>
      </c>
      <c r="I77">
        <f>VLOOKUP(C77,[1]EmployeeTerritories!$A$1:$B$50,1,FALSE)</f>
        <v>4</v>
      </c>
      <c r="J77">
        <f>VLOOKUP(H77,[1]!Territories,3,FALSE)</f>
        <v>1</v>
      </c>
      <c r="K77" t="str">
        <f>VLOOKUP(J77,[1]!Region,2,FALSE)</f>
        <v>Eastern</v>
      </c>
      <c r="L77">
        <f>VLOOKUP(A77,[1]Order_Details!$A$1:$F$2156,2,FALSE)</f>
        <v>15</v>
      </c>
      <c r="M77" t="str">
        <f>VLOOKUP(L77,[1]!Products,2,FALSE)</f>
        <v>Genen Shouyu</v>
      </c>
      <c r="N77">
        <f>VLOOKUP(L77,[1]!Products,4,FALSE)</f>
        <v>2</v>
      </c>
      <c r="O77" s="6" t="str">
        <f>VLOOKUP(N77,[1]!Categories,2,FALSE)</f>
        <v>Condiments</v>
      </c>
      <c r="P77" s="6">
        <f>VLOOKUP(A77,[1]Order_Details!$A$1:$F$2156,3,FALSE)</f>
        <v>12.4</v>
      </c>
      <c r="Q77">
        <f>VLOOKUP(A77,[1]Order_Details!$A$1:$F$2156,4,FALSE)</f>
        <v>5</v>
      </c>
      <c r="R77">
        <f>VLOOKUP(A77,[1]Order_Details!$A$1:$F$2156,5,FALSE)</f>
        <v>0</v>
      </c>
      <c r="S77" s="6">
        <f>VLOOKUP(A77,[1]Order_Details!$A$1:$F$2156,6,FALSE)</f>
        <v>62</v>
      </c>
      <c r="T77" s="6">
        <f>VLOOKUP(A77,[1]!Orders,8,FALSE)</f>
        <v>4.88</v>
      </c>
    </row>
    <row r="78" spans="1:20" x14ac:dyDescent="0.3">
      <c r="A78" s="2">
        <v>10324</v>
      </c>
      <c r="B78" s="2" t="s">
        <v>49</v>
      </c>
      <c r="C78" s="2">
        <v>9</v>
      </c>
      <c r="D78" s="3">
        <v>35346</v>
      </c>
      <c r="E78" t="str">
        <f>VLOOKUP(C78,[1]Employees!$A$1:$O$10,4,FALSE)</f>
        <v>Dodsworth Anne</v>
      </c>
      <c r="F78">
        <f>VLOOKUP(A78,[1]!Orders,7,FALSE)</f>
        <v>1</v>
      </c>
      <c r="G78" t="str">
        <f>VLOOKUP(F78,[1]!Shippers,2,FALSE)</f>
        <v>Speedy Express</v>
      </c>
      <c r="H78" t="str">
        <f>VLOOKUP(C78,[1]EmployeeTerritories!$A$1:$B$50,2,FALSE)</f>
        <v>03049</v>
      </c>
      <c r="I78">
        <f>VLOOKUP(C78,[1]EmployeeTerritories!$A$1:$B$50,1,FALSE)</f>
        <v>9</v>
      </c>
      <c r="J78">
        <f>VLOOKUP(H78,[1]!Territories,3,FALSE)</f>
        <v>3</v>
      </c>
      <c r="K78" t="str">
        <f>VLOOKUP(J78,[1]!Region,2,FALSE)</f>
        <v>Northern</v>
      </c>
      <c r="L78">
        <f>VLOOKUP(A78,[1]Order_Details!$A$1:$F$2156,2,FALSE)</f>
        <v>16</v>
      </c>
      <c r="M78" t="str">
        <f>VLOOKUP(L78,[1]!Products,2,FALSE)</f>
        <v>Pavlova</v>
      </c>
      <c r="N78">
        <f>VLOOKUP(L78,[1]!Products,4,FALSE)</f>
        <v>3</v>
      </c>
      <c r="O78" s="6" t="str">
        <f>VLOOKUP(N78,[1]!Categories,2,FALSE)</f>
        <v>Confections</v>
      </c>
      <c r="P78" s="6">
        <f>VLOOKUP(A78,[1]Order_Details!$A$1:$F$2156,3,FALSE)</f>
        <v>13.9</v>
      </c>
      <c r="Q78">
        <f>VLOOKUP(A78,[1]Order_Details!$A$1:$F$2156,4,FALSE)</f>
        <v>21</v>
      </c>
      <c r="R78">
        <f>VLOOKUP(A78,[1]Order_Details!$A$1:$F$2156,5,FALSE)</f>
        <v>0.15000000596046448</v>
      </c>
      <c r="S78" s="6">
        <f>VLOOKUP(A78,[1]Order_Details!$A$1:$F$2156,6,FALSE)</f>
        <v>248.11499826014045</v>
      </c>
      <c r="T78" s="6">
        <f>VLOOKUP(A78,[1]!Orders,8,FALSE)</f>
        <v>214.27</v>
      </c>
    </row>
    <row r="79" spans="1:20" x14ac:dyDescent="0.3">
      <c r="A79" s="2">
        <v>10325</v>
      </c>
      <c r="B79" s="2" t="s">
        <v>48</v>
      </c>
      <c r="C79" s="2">
        <v>1</v>
      </c>
      <c r="D79" s="3">
        <v>35347</v>
      </c>
      <c r="E79" t="str">
        <f>VLOOKUP(C79,[1]Employees!$A$1:$O$10,4,FALSE)</f>
        <v>Davolio Nancy</v>
      </c>
      <c r="F79">
        <f>VLOOKUP(A79,[1]!Orders,7,FALSE)</f>
        <v>3</v>
      </c>
      <c r="G79" t="str">
        <f>VLOOKUP(F79,[1]!Shippers,2,FALSE)</f>
        <v>Federal Shipping</v>
      </c>
      <c r="H79" t="str">
        <f>VLOOKUP(C79,[1]EmployeeTerritories!$A$1:$B$50,2,FALSE)</f>
        <v>06897</v>
      </c>
      <c r="I79">
        <f>VLOOKUP(C79,[1]EmployeeTerritories!$A$1:$B$50,1,FALSE)</f>
        <v>1</v>
      </c>
      <c r="J79">
        <f>VLOOKUP(H79,[1]!Territories,3,FALSE)</f>
        <v>1</v>
      </c>
      <c r="K79" t="str">
        <f>VLOOKUP(J79,[1]!Region,2,FALSE)</f>
        <v>Eastern</v>
      </c>
      <c r="L79">
        <f>VLOOKUP(A79,[1]Order_Details!$A$1:$F$2156,2,FALSE)</f>
        <v>6</v>
      </c>
      <c r="M79" t="str">
        <f>VLOOKUP(L79,[1]!Products,2,FALSE)</f>
        <v>Grandma's Boysenberry Spread</v>
      </c>
      <c r="N79">
        <f>VLOOKUP(L79,[1]!Products,4,FALSE)</f>
        <v>2</v>
      </c>
      <c r="O79" s="6" t="str">
        <f>VLOOKUP(N79,[1]!Categories,2,FALSE)</f>
        <v>Condiments</v>
      </c>
      <c r="P79" s="6">
        <f>VLOOKUP(A79,[1]Order_Details!$A$1:$F$2156,3,FALSE)</f>
        <v>20</v>
      </c>
      <c r="Q79">
        <f>VLOOKUP(A79,[1]Order_Details!$A$1:$F$2156,4,FALSE)</f>
        <v>6</v>
      </c>
      <c r="R79">
        <f>VLOOKUP(A79,[1]Order_Details!$A$1:$F$2156,5,FALSE)</f>
        <v>0</v>
      </c>
      <c r="S79" s="6">
        <f>VLOOKUP(A79,[1]Order_Details!$A$1:$F$2156,6,FALSE)</f>
        <v>120</v>
      </c>
      <c r="T79" s="6">
        <f>VLOOKUP(A79,[1]!Orders,8,FALSE)</f>
        <v>64.86</v>
      </c>
    </row>
    <row r="80" spans="1:20" x14ac:dyDescent="0.3">
      <c r="A80" s="2">
        <v>10326</v>
      </c>
      <c r="B80" s="2" t="s">
        <v>50</v>
      </c>
      <c r="C80" s="2">
        <v>4</v>
      </c>
      <c r="D80" s="3">
        <v>35348</v>
      </c>
      <c r="E80" t="str">
        <f>VLOOKUP(C80,[1]Employees!$A$1:$O$10,4,FALSE)</f>
        <v>Peacock Margaret</v>
      </c>
      <c r="F80">
        <f>VLOOKUP(A80,[1]!Orders,7,FALSE)</f>
        <v>2</v>
      </c>
      <c r="G80" t="str">
        <f>VLOOKUP(F80,[1]!Shippers,2,FALSE)</f>
        <v>United Package</v>
      </c>
      <c r="H80" t="str">
        <f>VLOOKUP(C80,[1]EmployeeTerritories!$A$1:$B$50,2,FALSE)</f>
        <v>20852</v>
      </c>
      <c r="I80">
        <f>VLOOKUP(C80,[1]EmployeeTerritories!$A$1:$B$50,1,FALSE)</f>
        <v>4</v>
      </c>
      <c r="J80">
        <f>VLOOKUP(H80,[1]!Territories,3,FALSE)</f>
        <v>1</v>
      </c>
      <c r="K80" t="str">
        <f>VLOOKUP(J80,[1]!Region,2,FALSE)</f>
        <v>Eastern</v>
      </c>
      <c r="L80">
        <f>VLOOKUP(A80,[1]Order_Details!$A$1:$F$2156,2,FALSE)</f>
        <v>4</v>
      </c>
      <c r="M80" t="str">
        <f>VLOOKUP(L80,[1]!Products,2,FALSE)</f>
        <v>Chef Anton's Cajun Seasoning</v>
      </c>
      <c r="N80">
        <f>VLOOKUP(L80,[1]!Products,4,FALSE)</f>
        <v>2</v>
      </c>
      <c r="O80" s="6" t="str">
        <f>VLOOKUP(N80,[1]!Categories,2,FALSE)</f>
        <v>Condiments</v>
      </c>
      <c r="P80" s="6">
        <f>VLOOKUP(A80,[1]Order_Details!$A$1:$F$2156,3,FALSE)</f>
        <v>17.600000000000001</v>
      </c>
      <c r="Q80">
        <f>VLOOKUP(A80,[1]Order_Details!$A$1:$F$2156,4,FALSE)</f>
        <v>24</v>
      </c>
      <c r="R80">
        <f>VLOOKUP(A80,[1]Order_Details!$A$1:$F$2156,5,FALSE)</f>
        <v>0</v>
      </c>
      <c r="S80" s="6">
        <f>VLOOKUP(A80,[1]Order_Details!$A$1:$F$2156,6,FALSE)</f>
        <v>422.40000000000003</v>
      </c>
      <c r="T80" s="6">
        <f>VLOOKUP(A80,[1]!Orders,8,FALSE)</f>
        <v>77.92</v>
      </c>
    </row>
    <row r="81" spans="1:20" x14ac:dyDescent="0.3">
      <c r="A81" s="2">
        <v>10327</v>
      </c>
      <c r="B81" s="2" t="s">
        <v>18</v>
      </c>
      <c r="C81" s="2">
        <v>2</v>
      </c>
      <c r="D81" s="3">
        <v>35349</v>
      </c>
      <c r="E81" t="str">
        <f>VLOOKUP(C81,[1]Employees!$A$1:$O$10,4,FALSE)</f>
        <v>Fuller Andrew</v>
      </c>
      <c r="F81">
        <f>VLOOKUP(A81,[1]!Orders,7,FALSE)</f>
        <v>1</v>
      </c>
      <c r="G81" t="str">
        <f>VLOOKUP(F81,[1]!Shippers,2,FALSE)</f>
        <v>Speedy Express</v>
      </c>
      <c r="H81" t="str">
        <f>VLOOKUP(C81,[1]EmployeeTerritories!$A$1:$B$50,2,FALSE)</f>
        <v>01581</v>
      </c>
      <c r="I81">
        <f>VLOOKUP(C81,[1]EmployeeTerritories!$A$1:$B$50,1,FALSE)</f>
        <v>2</v>
      </c>
      <c r="J81">
        <f>VLOOKUP(H81,[1]!Territories,3,FALSE)</f>
        <v>1</v>
      </c>
      <c r="K81" t="str">
        <f>VLOOKUP(J81,[1]!Region,2,FALSE)</f>
        <v>Eastern</v>
      </c>
      <c r="L81">
        <f>VLOOKUP(A81,[1]Order_Details!$A$1:$F$2156,2,FALSE)</f>
        <v>2</v>
      </c>
      <c r="M81" t="str">
        <f>VLOOKUP(L81,[1]!Products,2,FALSE)</f>
        <v>Chang</v>
      </c>
      <c r="N81">
        <f>VLOOKUP(L81,[1]!Products,4,FALSE)</f>
        <v>1</v>
      </c>
      <c r="O81" s="6" t="str">
        <f>VLOOKUP(N81,[1]!Categories,2,FALSE)</f>
        <v>Beverages</v>
      </c>
      <c r="P81" s="6">
        <f>VLOOKUP(A81,[1]Order_Details!$A$1:$F$2156,3,FALSE)</f>
        <v>15.2</v>
      </c>
      <c r="Q81">
        <f>VLOOKUP(A81,[1]Order_Details!$A$1:$F$2156,4,FALSE)</f>
        <v>25</v>
      </c>
      <c r="R81">
        <f>VLOOKUP(A81,[1]Order_Details!$A$1:$F$2156,5,FALSE)</f>
        <v>0.20000000298023224</v>
      </c>
      <c r="S81" s="6">
        <f>VLOOKUP(A81,[1]Order_Details!$A$1:$F$2156,6,FALSE)</f>
        <v>303.99999886751175</v>
      </c>
      <c r="T81" s="6">
        <f>VLOOKUP(A81,[1]!Orders,8,FALSE)</f>
        <v>63.36</v>
      </c>
    </row>
    <row r="82" spans="1:20" x14ac:dyDescent="0.3">
      <c r="A82" s="2">
        <v>10328</v>
      </c>
      <c r="B82" s="2" t="s">
        <v>51</v>
      </c>
      <c r="C82" s="2">
        <v>4</v>
      </c>
      <c r="D82" s="3">
        <v>35352</v>
      </c>
      <c r="E82" t="str">
        <f>VLOOKUP(C82,[1]Employees!$A$1:$O$10,4,FALSE)</f>
        <v>Peacock Margaret</v>
      </c>
      <c r="F82">
        <f>VLOOKUP(A82,[1]!Orders,7,FALSE)</f>
        <v>3</v>
      </c>
      <c r="G82" t="str">
        <f>VLOOKUP(F82,[1]!Shippers,2,FALSE)</f>
        <v>Federal Shipping</v>
      </c>
      <c r="H82" t="str">
        <f>VLOOKUP(C82,[1]EmployeeTerritories!$A$1:$B$50,2,FALSE)</f>
        <v>20852</v>
      </c>
      <c r="I82">
        <f>VLOOKUP(C82,[1]EmployeeTerritories!$A$1:$B$50,1,FALSE)</f>
        <v>4</v>
      </c>
      <c r="J82">
        <f>VLOOKUP(H82,[1]!Territories,3,FALSE)</f>
        <v>1</v>
      </c>
      <c r="K82" t="str">
        <f>VLOOKUP(J82,[1]!Region,2,FALSE)</f>
        <v>Eastern</v>
      </c>
      <c r="L82">
        <f>VLOOKUP(A82,[1]Order_Details!$A$1:$F$2156,2,FALSE)</f>
        <v>59</v>
      </c>
      <c r="M82" t="str">
        <f>VLOOKUP(L82,[1]!Products,2,FALSE)</f>
        <v>Raclette Courdavault</v>
      </c>
      <c r="N82">
        <f>VLOOKUP(L82,[1]!Products,4,FALSE)</f>
        <v>4</v>
      </c>
      <c r="O82" s="6" t="str">
        <f>VLOOKUP(N82,[1]!Categories,2,FALSE)</f>
        <v>Dairy Products</v>
      </c>
      <c r="P82" s="6">
        <f>VLOOKUP(A82,[1]Order_Details!$A$1:$F$2156,3,FALSE)</f>
        <v>44</v>
      </c>
      <c r="Q82">
        <f>VLOOKUP(A82,[1]Order_Details!$A$1:$F$2156,4,FALSE)</f>
        <v>9</v>
      </c>
      <c r="R82">
        <f>VLOOKUP(A82,[1]Order_Details!$A$1:$F$2156,5,FALSE)</f>
        <v>0</v>
      </c>
      <c r="S82" s="6">
        <f>VLOOKUP(A82,[1]Order_Details!$A$1:$F$2156,6,FALSE)</f>
        <v>396</v>
      </c>
      <c r="T82" s="6">
        <f>VLOOKUP(A82,[1]!Orders,8,FALSE)</f>
        <v>87.03</v>
      </c>
    </row>
    <row r="83" spans="1:20" x14ac:dyDescent="0.3">
      <c r="A83" s="2">
        <v>10329</v>
      </c>
      <c r="B83" s="2" t="s">
        <v>24</v>
      </c>
      <c r="C83" s="2">
        <v>4</v>
      </c>
      <c r="D83" s="3">
        <v>35353</v>
      </c>
      <c r="E83" t="str">
        <f>VLOOKUP(C83,[1]Employees!$A$1:$O$10,4,FALSE)</f>
        <v>Peacock Margaret</v>
      </c>
      <c r="F83">
        <f>VLOOKUP(A83,[1]!Orders,7,FALSE)</f>
        <v>2</v>
      </c>
      <c r="G83" t="str">
        <f>VLOOKUP(F83,[1]!Shippers,2,FALSE)</f>
        <v>United Package</v>
      </c>
      <c r="H83" t="str">
        <f>VLOOKUP(C83,[1]EmployeeTerritories!$A$1:$B$50,2,FALSE)</f>
        <v>20852</v>
      </c>
      <c r="I83">
        <f>VLOOKUP(C83,[1]EmployeeTerritories!$A$1:$B$50,1,FALSE)</f>
        <v>4</v>
      </c>
      <c r="J83">
        <f>VLOOKUP(H83,[1]!Territories,3,FALSE)</f>
        <v>1</v>
      </c>
      <c r="K83" t="str">
        <f>VLOOKUP(J83,[1]!Region,2,FALSE)</f>
        <v>Eastern</v>
      </c>
      <c r="L83">
        <f>VLOOKUP(A83,[1]Order_Details!$A$1:$F$2156,2,FALSE)</f>
        <v>19</v>
      </c>
      <c r="M83" t="str">
        <f>VLOOKUP(L83,[1]!Products,2,FALSE)</f>
        <v>Teatime Chocolate Biscuits</v>
      </c>
      <c r="N83">
        <f>VLOOKUP(L83,[1]!Products,4,FALSE)</f>
        <v>3</v>
      </c>
      <c r="O83" s="6" t="str">
        <f>VLOOKUP(N83,[1]!Categories,2,FALSE)</f>
        <v>Confections</v>
      </c>
      <c r="P83" s="6">
        <f>VLOOKUP(A83,[1]Order_Details!$A$1:$F$2156,3,FALSE)</f>
        <v>7.3</v>
      </c>
      <c r="Q83">
        <f>VLOOKUP(A83,[1]Order_Details!$A$1:$F$2156,4,FALSE)</f>
        <v>10</v>
      </c>
      <c r="R83">
        <f>VLOOKUP(A83,[1]Order_Details!$A$1:$F$2156,5,FALSE)</f>
        <v>5.000000074505806E-2</v>
      </c>
      <c r="S83" s="6">
        <f>VLOOKUP(A83,[1]Order_Details!$A$1:$F$2156,6,FALSE)</f>
        <v>69.349999945610762</v>
      </c>
      <c r="T83" s="6">
        <f>VLOOKUP(A83,[1]!Orders,8,FALSE)</f>
        <v>191.67</v>
      </c>
    </row>
    <row r="84" spans="1:20" x14ac:dyDescent="0.3">
      <c r="A84" s="2">
        <v>10330</v>
      </c>
      <c r="B84" s="2" t="s">
        <v>32</v>
      </c>
      <c r="C84" s="2">
        <v>3</v>
      </c>
      <c r="D84" s="3">
        <v>35354</v>
      </c>
      <c r="E84" t="str">
        <f>VLOOKUP(C84,[1]Employees!$A$1:$O$10,4,FALSE)</f>
        <v>Leverling Janet</v>
      </c>
      <c r="F84">
        <f>VLOOKUP(A84,[1]!Orders,7,FALSE)</f>
        <v>1</v>
      </c>
      <c r="G84" t="str">
        <f>VLOOKUP(F84,[1]!Shippers,2,FALSE)</f>
        <v>Speedy Express</v>
      </c>
      <c r="H84" t="str">
        <f>VLOOKUP(C84,[1]EmployeeTerritories!$A$1:$B$50,2,FALSE)</f>
        <v>30346</v>
      </c>
      <c r="I84">
        <f>VLOOKUP(C84,[1]EmployeeTerritories!$A$1:$B$50,1,FALSE)</f>
        <v>3</v>
      </c>
      <c r="J84">
        <f>VLOOKUP(H84,[1]!Territories,3,FALSE)</f>
        <v>4</v>
      </c>
      <c r="K84" t="str">
        <f>VLOOKUP(J84,[1]!Region,2,FALSE)</f>
        <v>Southern</v>
      </c>
      <c r="L84">
        <f>VLOOKUP(A84,[1]Order_Details!$A$1:$F$2156,2,FALSE)</f>
        <v>26</v>
      </c>
      <c r="M84" t="str">
        <f>VLOOKUP(L84,[1]!Products,2,FALSE)</f>
        <v>Gumbär Gummibärchen</v>
      </c>
      <c r="N84">
        <f>VLOOKUP(L84,[1]!Products,4,FALSE)</f>
        <v>3</v>
      </c>
      <c r="O84" s="6" t="str">
        <f>VLOOKUP(N84,[1]!Categories,2,FALSE)</f>
        <v>Confections</v>
      </c>
      <c r="P84" s="6">
        <f>VLOOKUP(A84,[1]Order_Details!$A$1:$F$2156,3,FALSE)</f>
        <v>24.9</v>
      </c>
      <c r="Q84">
        <f>VLOOKUP(A84,[1]Order_Details!$A$1:$F$2156,4,FALSE)</f>
        <v>50</v>
      </c>
      <c r="R84">
        <f>VLOOKUP(A84,[1]Order_Details!$A$1:$F$2156,5,FALSE)</f>
        <v>0.15000000596046448</v>
      </c>
      <c r="S84" s="6">
        <f>VLOOKUP(A84,[1]Order_Details!$A$1:$F$2156,6,FALSE)</f>
        <v>1058.2499925792217</v>
      </c>
      <c r="T84" s="6">
        <f>VLOOKUP(A84,[1]!Orders,8,FALSE)</f>
        <v>12.75</v>
      </c>
    </row>
    <row r="85" spans="1:20" x14ac:dyDescent="0.3">
      <c r="A85" s="2">
        <v>10331</v>
      </c>
      <c r="B85" s="2" t="s">
        <v>52</v>
      </c>
      <c r="C85" s="2">
        <v>9</v>
      </c>
      <c r="D85" s="3">
        <v>35354</v>
      </c>
      <c r="E85" t="str">
        <f>VLOOKUP(C85,[1]Employees!$A$1:$O$10,4,FALSE)</f>
        <v>Dodsworth Anne</v>
      </c>
      <c r="F85">
        <f>VLOOKUP(A85,[1]!Orders,7,FALSE)</f>
        <v>1</v>
      </c>
      <c r="G85" t="str">
        <f>VLOOKUP(F85,[1]!Shippers,2,FALSE)</f>
        <v>Speedy Express</v>
      </c>
      <c r="H85" t="str">
        <f>VLOOKUP(C85,[1]EmployeeTerritories!$A$1:$B$50,2,FALSE)</f>
        <v>03049</v>
      </c>
      <c r="I85">
        <f>VLOOKUP(C85,[1]EmployeeTerritories!$A$1:$B$50,1,FALSE)</f>
        <v>9</v>
      </c>
      <c r="J85">
        <f>VLOOKUP(H85,[1]!Territories,3,FALSE)</f>
        <v>3</v>
      </c>
      <c r="K85" t="str">
        <f>VLOOKUP(J85,[1]!Region,2,FALSE)</f>
        <v>Northern</v>
      </c>
      <c r="L85">
        <f>VLOOKUP(A85,[1]Order_Details!$A$1:$F$2156,2,FALSE)</f>
        <v>54</v>
      </c>
      <c r="M85" t="str">
        <f>VLOOKUP(L85,[1]!Products,2,FALSE)</f>
        <v>Tourtière</v>
      </c>
      <c r="N85">
        <f>VLOOKUP(L85,[1]!Products,4,FALSE)</f>
        <v>6</v>
      </c>
      <c r="O85" s="6" t="str">
        <f>VLOOKUP(N85,[1]!Categories,2,FALSE)</f>
        <v>Meat/Poultry</v>
      </c>
      <c r="P85" s="6">
        <f>VLOOKUP(A85,[1]Order_Details!$A$1:$F$2156,3,FALSE)</f>
        <v>5.9</v>
      </c>
      <c r="Q85">
        <f>VLOOKUP(A85,[1]Order_Details!$A$1:$F$2156,4,FALSE)</f>
        <v>15</v>
      </c>
      <c r="R85">
        <f>VLOOKUP(A85,[1]Order_Details!$A$1:$F$2156,5,FALSE)</f>
        <v>0</v>
      </c>
      <c r="S85" s="6">
        <f>VLOOKUP(A85,[1]Order_Details!$A$1:$F$2156,6,FALSE)</f>
        <v>88.5</v>
      </c>
      <c r="T85" s="6">
        <f>VLOOKUP(A85,[1]!Orders,8,FALSE)</f>
        <v>10.19</v>
      </c>
    </row>
    <row r="86" spans="1:20" x14ac:dyDescent="0.3">
      <c r="A86" s="2">
        <v>10332</v>
      </c>
      <c r="B86" s="2" t="s">
        <v>53</v>
      </c>
      <c r="C86" s="2">
        <v>3</v>
      </c>
      <c r="D86" s="3">
        <v>35355</v>
      </c>
      <c r="E86" t="str">
        <f>VLOOKUP(C86,[1]Employees!$A$1:$O$10,4,FALSE)</f>
        <v>Leverling Janet</v>
      </c>
      <c r="F86">
        <f>VLOOKUP(A86,[1]!Orders,7,FALSE)</f>
        <v>2</v>
      </c>
      <c r="G86" t="str">
        <f>VLOOKUP(F86,[1]!Shippers,2,FALSE)</f>
        <v>United Package</v>
      </c>
      <c r="H86" t="str">
        <f>VLOOKUP(C86,[1]EmployeeTerritories!$A$1:$B$50,2,FALSE)</f>
        <v>30346</v>
      </c>
      <c r="I86">
        <f>VLOOKUP(C86,[1]EmployeeTerritories!$A$1:$B$50,1,FALSE)</f>
        <v>3</v>
      </c>
      <c r="J86">
        <f>VLOOKUP(H86,[1]!Territories,3,FALSE)</f>
        <v>4</v>
      </c>
      <c r="K86" t="str">
        <f>VLOOKUP(J86,[1]!Region,2,FALSE)</f>
        <v>Southern</v>
      </c>
      <c r="L86">
        <f>VLOOKUP(A86,[1]Order_Details!$A$1:$F$2156,2,FALSE)</f>
        <v>18</v>
      </c>
      <c r="M86" t="str">
        <f>VLOOKUP(L86,[1]!Products,2,FALSE)</f>
        <v>Carnarvon Tigers</v>
      </c>
      <c r="N86">
        <f>VLOOKUP(L86,[1]!Products,4,FALSE)</f>
        <v>8</v>
      </c>
      <c r="O86" s="6" t="str">
        <f>VLOOKUP(N86,[1]!Categories,2,FALSE)</f>
        <v>Seafood</v>
      </c>
      <c r="P86" s="6">
        <f>VLOOKUP(A86,[1]Order_Details!$A$1:$F$2156,3,FALSE)</f>
        <v>50</v>
      </c>
      <c r="Q86">
        <f>VLOOKUP(A86,[1]Order_Details!$A$1:$F$2156,4,FALSE)</f>
        <v>40</v>
      </c>
      <c r="R86">
        <f>VLOOKUP(A86,[1]Order_Details!$A$1:$F$2156,5,FALSE)</f>
        <v>0.20000000298023224</v>
      </c>
      <c r="S86" s="6">
        <f>VLOOKUP(A86,[1]Order_Details!$A$1:$F$2156,6,FALSE)</f>
        <v>1599.9999940395355</v>
      </c>
      <c r="T86" s="6">
        <f>VLOOKUP(A86,[1]!Orders,8,FALSE)</f>
        <v>52.84</v>
      </c>
    </row>
    <row r="87" spans="1:20" x14ac:dyDescent="0.3">
      <c r="A87" s="2">
        <v>10333</v>
      </c>
      <c r="B87" s="2" t="s">
        <v>20</v>
      </c>
      <c r="C87" s="2">
        <v>5</v>
      </c>
      <c r="D87" s="3">
        <v>35356</v>
      </c>
      <c r="E87" t="str">
        <f>VLOOKUP(C87,[1]Employees!$A$1:$O$10,4,FALSE)</f>
        <v>Buchanan Steven</v>
      </c>
      <c r="F87">
        <f>VLOOKUP(A87,[1]!Orders,7,FALSE)</f>
        <v>3</v>
      </c>
      <c r="G87" t="str">
        <f>VLOOKUP(F87,[1]!Shippers,2,FALSE)</f>
        <v>Federal Shipping</v>
      </c>
      <c r="H87" t="str">
        <f>VLOOKUP(C87,[1]EmployeeTerritories!$A$1:$B$50,2,FALSE)</f>
        <v>02903</v>
      </c>
      <c r="I87">
        <f>VLOOKUP(C87,[1]EmployeeTerritories!$A$1:$B$50,1,FALSE)</f>
        <v>5</v>
      </c>
      <c r="J87">
        <f>VLOOKUP(H87,[1]!Territories,3,FALSE)</f>
        <v>1</v>
      </c>
      <c r="K87" t="str">
        <f>VLOOKUP(J87,[1]!Region,2,FALSE)</f>
        <v>Eastern</v>
      </c>
      <c r="L87">
        <f>VLOOKUP(A87,[1]Order_Details!$A$1:$F$2156,2,FALSE)</f>
        <v>14</v>
      </c>
      <c r="M87" t="str">
        <f>VLOOKUP(L87,[1]!Products,2,FALSE)</f>
        <v>Tofu</v>
      </c>
      <c r="N87">
        <f>VLOOKUP(L87,[1]!Products,4,FALSE)</f>
        <v>7</v>
      </c>
      <c r="O87" s="6" t="str">
        <f>VLOOKUP(N87,[1]!Categories,2,FALSE)</f>
        <v>Produce</v>
      </c>
      <c r="P87" s="6">
        <f>VLOOKUP(A87,[1]Order_Details!$A$1:$F$2156,3,FALSE)</f>
        <v>18.600000000000001</v>
      </c>
      <c r="Q87">
        <f>VLOOKUP(A87,[1]Order_Details!$A$1:$F$2156,4,FALSE)</f>
        <v>10</v>
      </c>
      <c r="R87">
        <f>VLOOKUP(A87,[1]Order_Details!$A$1:$F$2156,5,FALSE)</f>
        <v>0</v>
      </c>
      <c r="S87" s="6">
        <f>VLOOKUP(A87,[1]Order_Details!$A$1:$F$2156,6,FALSE)</f>
        <v>186</v>
      </c>
      <c r="T87" s="6">
        <f>VLOOKUP(A87,[1]!Orders,8,FALSE)</f>
        <v>0.59</v>
      </c>
    </row>
    <row r="88" spans="1:20" x14ac:dyDescent="0.3">
      <c r="A88" s="2">
        <v>10334</v>
      </c>
      <c r="B88" s="2" t="s">
        <v>7</v>
      </c>
      <c r="C88" s="2">
        <v>8</v>
      </c>
      <c r="D88" s="3">
        <v>35359</v>
      </c>
      <c r="E88" t="str">
        <f>VLOOKUP(C88,[1]Employees!$A$1:$O$10,4,FALSE)</f>
        <v>Callahan Laura</v>
      </c>
      <c r="F88">
        <f>VLOOKUP(A88,[1]!Orders,7,FALSE)</f>
        <v>2</v>
      </c>
      <c r="G88" t="str">
        <f>VLOOKUP(F88,[1]!Shippers,2,FALSE)</f>
        <v>United Package</v>
      </c>
      <c r="H88" t="str">
        <f>VLOOKUP(C88,[1]EmployeeTerritories!$A$1:$B$50,2,FALSE)</f>
        <v>19428</v>
      </c>
      <c r="I88">
        <f>VLOOKUP(C88,[1]EmployeeTerritories!$A$1:$B$50,1,FALSE)</f>
        <v>8</v>
      </c>
      <c r="J88">
        <f>VLOOKUP(H88,[1]!Territories,3,FALSE)</f>
        <v>3</v>
      </c>
      <c r="K88" t="str">
        <f>VLOOKUP(J88,[1]!Region,2,FALSE)</f>
        <v>Northern</v>
      </c>
      <c r="L88">
        <f>VLOOKUP(A88,[1]Order_Details!$A$1:$F$2156,2,FALSE)</f>
        <v>52</v>
      </c>
      <c r="M88" t="str">
        <f>VLOOKUP(L88,[1]!Products,2,FALSE)</f>
        <v>Filo Mix</v>
      </c>
      <c r="N88">
        <f>VLOOKUP(L88,[1]!Products,4,FALSE)</f>
        <v>5</v>
      </c>
      <c r="O88" s="6" t="str">
        <f>VLOOKUP(N88,[1]!Categories,2,FALSE)</f>
        <v>Grains/Cereals</v>
      </c>
      <c r="P88" s="6">
        <f>VLOOKUP(A88,[1]Order_Details!$A$1:$F$2156,3,FALSE)</f>
        <v>5.6</v>
      </c>
      <c r="Q88">
        <f>VLOOKUP(A88,[1]Order_Details!$A$1:$F$2156,4,FALSE)</f>
        <v>8</v>
      </c>
      <c r="R88">
        <f>VLOOKUP(A88,[1]Order_Details!$A$1:$F$2156,5,FALSE)</f>
        <v>0</v>
      </c>
      <c r="S88" s="6">
        <f>VLOOKUP(A88,[1]Order_Details!$A$1:$F$2156,6,FALSE)</f>
        <v>44.8</v>
      </c>
      <c r="T88" s="6">
        <f>VLOOKUP(A88,[1]!Orders,8,FALSE)</f>
        <v>8.56</v>
      </c>
    </row>
    <row r="89" spans="1:20" x14ac:dyDescent="0.3">
      <c r="A89" s="2">
        <v>10335</v>
      </c>
      <c r="B89" s="2" t="s">
        <v>38</v>
      </c>
      <c r="C89" s="2">
        <v>7</v>
      </c>
      <c r="D89" s="3">
        <v>35360</v>
      </c>
      <c r="E89" t="str">
        <f>VLOOKUP(C89,[1]Employees!$A$1:$O$10,4,FALSE)</f>
        <v>King Robert</v>
      </c>
      <c r="F89">
        <f>VLOOKUP(A89,[1]!Orders,7,FALSE)</f>
        <v>2</v>
      </c>
      <c r="G89" t="str">
        <f>VLOOKUP(F89,[1]!Shippers,2,FALSE)</f>
        <v>United Package</v>
      </c>
      <c r="H89" t="str">
        <f>VLOOKUP(C89,[1]EmployeeTerritories!$A$1:$B$50,2,FALSE)</f>
        <v>60179</v>
      </c>
      <c r="I89">
        <f>VLOOKUP(C89,[1]EmployeeTerritories!$A$1:$B$50,1,FALSE)</f>
        <v>7</v>
      </c>
      <c r="J89">
        <f>VLOOKUP(H89,[1]!Territories,3,FALSE)</f>
        <v>2</v>
      </c>
      <c r="K89" t="str">
        <f>VLOOKUP(J89,[1]!Region,2,FALSE)</f>
        <v>Western</v>
      </c>
      <c r="L89">
        <f>VLOOKUP(A89,[1]Order_Details!$A$1:$F$2156,2,FALSE)</f>
        <v>2</v>
      </c>
      <c r="M89" t="str">
        <f>VLOOKUP(L89,[1]!Products,2,FALSE)</f>
        <v>Chang</v>
      </c>
      <c r="N89">
        <f>VLOOKUP(L89,[1]!Products,4,FALSE)</f>
        <v>1</v>
      </c>
      <c r="O89" s="6" t="str">
        <f>VLOOKUP(N89,[1]!Categories,2,FALSE)</f>
        <v>Beverages</v>
      </c>
      <c r="P89" s="6">
        <f>VLOOKUP(A89,[1]Order_Details!$A$1:$F$2156,3,FALSE)</f>
        <v>15.2</v>
      </c>
      <c r="Q89">
        <f>VLOOKUP(A89,[1]Order_Details!$A$1:$F$2156,4,FALSE)</f>
        <v>7</v>
      </c>
      <c r="R89">
        <f>VLOOKUP(A89,[1]Order_Details!$A$1:$F$2156,5,FALSE)</f>
        <v>0.20000000298023224</v>
      </c>
      <c r="S89" s="6">
        <f>VLOOKUP(A89,[1]Order_Details!$A$1:$F$2156,6,FALSE)</f>
        <v>85.119999682903284</v>
      </c>
      <c r="T89" s="6">
        <f>VLOOKUP(A89,[1]!Orders,8,FALSE)</f>
        <v>42.11</v>
      </c>
    </row>
    <row r="90" spans="1:20" x14ac:dyDescent="0.3">
      <c r="A90" s="2">
        <v>10336</v>
      </c>
      <c r="B90" s="2" t="s">
        <v>54</v>
      </c>
      <c r="C90" s="2">
        <v>7</v>
      </c>
      <c r="D90" s="3">
        <v>35361</v>
      </c>
      <c r="E90" t="str">
        <f>VLOOKUP(C90,[1]Employees!$A$1:$O$10,4,FALSE)</f>
        <v>King Robert</v>
      </c>
      <c r="F90">
        <f>VLOOKUP(A90,[1]!Orders,7,FALSE)</f>
        <v>2</v>
      </c>
      <c r="G90" t="str">
        <f>VLOOKUP(F90,[1]!Shippers,2,FALSE)</f>
        <v>United Package</v>
      </c>
      <c r="H90" t="str">
        <f>VLOOKUP(C90,[1]EmployeeTerritories!$A$1:$B$50,2,FALSE)</f>
        <v>60179</v>
      </c>
      <c r="I90">
        <f>VLOOKUP(C90,[1]EmployeeTerritories!$A$1:$B$50,1,FALSE)</f>
        <v>7</v>
      </c>
      <c r="J90">
        <f>VLOOKUP(H90,[1]!Territories,3,FALSE)</f>
        <v>2</v>
      </c>
      <c r="K90" t="str">
        <f>VLOOKUP(J90,[1]!Region,2,FALSE)</f>
        <v>Western</v>
      </c>
      <c r="L90">
        <f>VLOOKUP(A90,[1]Order_Details!$A$1:$F$2156,2,FALSE)</f>
        <v>4</v>
      </c>
      <c r="M90" t="str">
        <f>VLOOKUP(L90,[1]!Products,2,FALSE)</f>
        <v>Chef Anton's Cajun Seasoning</v>
      </c>
      <c r="N90">
        <f>VLOOKUP(L90,[1]!Products,4,FALSE)</f>
        <v>2</v>
      </c>
      <c r="O90" s="6" t="str">
        <f>VLOOKUP(N90,[1]!Categories,2,FALSE)</f>
        <v>Condiments</v>
      </c>
      <c r="P90" s="6">
        <f>VLOOKUP(A90,[1]Order_Details!$A$1:$F$2156,3,FALSE)</f>
        <v>17.600000000000001</v>
      </c>
      <c r="Q90">
        <f>VLOOKUP(A90,[1]Order_Details!$A$1:$F$2156,4,FALSE)</f>
        <v>18</v>
      </c>
      <c r="R90">
        <f>VLOOKUP(A90,[1]Order_Details!$A$1:$F$2156,5,FALSE)</f>
        <v>0.10000000149011612</v>
      </c>
      <c r="S90" s="6">
        <f>VLOOKUP(A90,[1]Order_Details!$A$1:$F$2156,6,FALSE)</f>
        <v>285.11999952793121</v>
      </c>
      <c r="T90" s="6">
        <f>VLOOKUP(A90,[1]!Orders,8,FALSE)</f>
        <v>15.51</v>
      </c>
    </row>
    <row r="91" spans="1:20" x14ac:dyDescent="0.3">
      <c r="A91" s="2">
        <v>10337</v>
      </c>
      <c r="B91" s="2" t="s">
        <v>21</v>
      </c>
      <c r="C91" s="2">
        <v>4</v>
      </c>
      <c r="D91" s="3">
        <v>35362</v>
      </c>
      <c r="E91" t="str">
        <f>VLOOKUP(C91,[1]Employees!$A$1:$O$10,4,FALSE)</f>
        <v>Peacock Margaret</v>
      </c>
      <c r="F91">
        <f>VLOOKUP(A91,[1]!Orders,7,FALSE)</f>
        <v>3</v>
      </c>
      <c r="G91" t="str">
        <f>VLOOKUP(F91,[1]!Shippers,2,FALSE)</f>
        <v>Federal Shipping</v>
      </c>
      <c r="H91" t="str">
        <f>VLOOKUP(C91,[1]EmployeeTerritories!$A$1:$B$50,2,FALSE)</f>
        <v>20852</v>
      </c>
      <c r="I91">
        <f>VLOOKUP(C91,[1]EmployeeTerritories!$A$1:$B$50,1,FALSE)</f>
        <v>4</v>
      </c>
      <c r="J91">
        <f>VLOOKUP(H91,[1]!Territories,3,FALSE)</f>
        <v>1</v>
      </c>
      <c r="K91" t="str">
        <f>VLOOKUP(J91,[1]!Region,2,FALSE)</f>
        <v>Eastern</v>
      </c>
      <c r="L91">
        <f>VLOOKUP(A91,[1]Order_Details!$A$1:$F$2156,2,FALSE)</f>
        <v>23</v>
      </c>
      <c r="M91" t="str">
        <f>VLOOKUP(L91,[1]!Products,2,FALSE)</f>
        <v>Tunnbröd</v>
      </c>
      <c r="N91">
        <f>VLOOKUP(L91,[1]!Products,4,FALSE)</f>
        <v>5</v>
      </c>
      <c r="O91" s="6" t="str">
        <f>VLOOKUP(N91,[1]!Categories,2,FALSE)</f>
        <v>Grains/Cereals</v>
      </c>
      <c r="P91" s="6">
        <f>VLOOKUP(A91,[1]Order_Details!$A$1:$F$2156,3,FALSE)</f>
        <v>7.2</v>
      </c>
      <c r="Q91">
        <f>VLOOKUP(A91,[1]Order_Details!$A$1:$F$2156,4,FALSE)</f>
        <v>40</v>
      </c>
      <c r="R91">
        <f>VLOOKUP(A91,[1]Order_Details!$A$1:$F$2156,5,FALSE)</f>
        <v>0</v>
      </c>
      <c r="S91" s="6">
        <f>VLOOKUP(A91,[1]Order_Details!$A$1:$F$2156,6,FALSE)</f>
        <v>288</v>
      </c>
      <c r="T91" s="6">
        <f>VLOOKUP(A91,[1]!Orders,8,FALSE)</f>
        <v>108.26</v>
      </c>
    </row>
    <row r="92" spans="1:20" x14ac:dyDescent="0.3">
      <c r="A92" s="2">
        <v>10338</v>
      </c>
      <c r="B92" s="2" t="s">
        <v>41</v>
      </c>
      <c r="C92" s="2">
        <v>4</v>
      </c>
      <c r="D92" s="3">
        <v>35363</v>
      </c>
      <c r="E92" t="str">
        <f>VLOOKUP(C92,[1]Employees!$A$1:$O$10,4,FALSE)</f>
        <v>Peacock Margaret</v>
      </c>
      <c r="F92">
        <f>VLOOKUP(A92,[1]!Orders,7,FALSE)</f>
        <v>3</v>
      </c>
      <c r="G92" t="str">
        <f>VLOOKUP(F92,[1]!Shippers,2,FALSE)</f>
        <v>Federal Shipping</v>
      </c>
      <c r="H92" t="str">
        <f>VLOOKUP(C92,[1]EmployeeTerritories!$A$1:$B$50,2,FALSE)</f>
        <v>20852</v>
      </c>
      <c r="I92">
        <f>VLOOKUP(C92,[1]EmployeeTerritories!$A$1:$B$50,1,FALSE)</f>
        <v>4</v>
      </c>
      <c r="J92">
        <f>VLOOKUP(H92,[1]!Territories,3,FALSE)</f>
        <v>1</v>
      </c>
      <c r="K92" t="str">
        <f>VLOOKUP(J92,[1]!Region,2,FALSE)</f>
        <v>Eastern</v>
      </c>
      <c r="L92">
        <f>VLOOKUP(A92,[1]Order_Details!$A$1:$F$2156,2,FALSE)</f>
        <v>17</v>
      </c>
      <c r="M92" t="str">
        <f>VLOOKUP(L92,[1]!Products,2,FALSE)</f>
        <v>Alice Mutton</v>
      </c>
      <c r="N92">
        <f>VLOOKUP(L92,[1]!Products,4,FALSE)</f>
        <v>6</v>
      </c>
      <c r="O92" s="6" t="str">
        <f>VLOOKUP(N92,[1]!Categories,2,FALSE)</f>
        <v>Meat/Poultry</v>
      </c>
      <c r="P92" s="6">
        <f>VLOOKUP(A92,[1]Order_Details!$A$1:$F$2156,3,FALSE)</f>
        <v>31.2</v>
      </c>
      <c r="Q92">
        <f>VLOOKUP(A92,[1]Order_Details!$A$1:$F$2156,4,FALSE)</f>
        <v>20</v>
      </c>
      <c r="R92">
        <f>VLOOKUP(A92,[1]Order_Details!$A$1:$F$2156,5,FALSE)</f>
        <v>0</v>
      </c>
      <c r="S92" s="6">
        <f>VLOOKUP(A92,[1]Order_Details!$A$1:$F$2156,6,FALSE)</f>
        <v>624</v>
      </c>
      <c r="T92" s="6">
        <f>VLOOKUP(A92,[1]!Orders,8,FALSE)</f>
        <v>84.21</v>
      </c>
    </row>
    <row r="93" spans="1:20" x14ac:dyDescent="0.3">
      <c r="A93" s="2">
        <v>10339</v>
      </c>
      <c r="B93" s="2" t="s">
        <v>53</v>
      </c>
      <c r="C93" s="2">
        <v>2</v>
      </c>
      <c r="D93" s="3">
        <v>35366</v>
      </c>
      <c r="E93" t="str">
        <f>VLOOKUP(C93,[1]Employees!$A$1:$O$10,4,FALSE)</f>
        <v>Fuller Andrew</v>
      </c>
      <c r="F93">
        <f>VLOOKUP(A93,[1]!Orders,7,FALSE)</f>
        <v>2</v>
      </c>
      <c r="G93" t="str">
        <f>VLOOKUP(F93,[1]!Shippers,2,FALSE)</f>
        <v>United Package</v>
      </c>
      <c r="H93" t="str">
        <f>VLOOKUP(C93,[1]EmployeeTerritories!$A$1:$B$50,2,FALSE)</f>
        <v>01581</v>
      </c>
      <c r="I93">
        <f>VLOOKUP(C93,[1]EmployeeTerritories!$A$1:$B$50,1,FALSE)</f>
        <v>2</v>
      </c>
      <c r="J93">
        <f>VLOOKUP(H93,[1]!Territories,3,FALSE)</f>
        <v>1</v>
      </c>
      <c r="K93" t="str">
        <f>VLOOKUP(J93,[1]!Region,2,FALSE)</f>
        <v>Eastern</v>
      </c>
      <c r="L93">
        <f>VLOOKUP(A93,[1]Order_Details!$A$1:$F$2156,2,FALSE)</f>
        <v>4</v>
      </c>
      <c r="M93" t="str">
        <f>VLOOKUP(L93,[1]!Products,2,FALSE)</f>
        <v>Chef Anton's Cajun Seasoning</v>
      </c>
      <c r="N93">
        <f>VLOOKUP(L93,[1]!Products,4,FALSE)</f>
        <v>2</v>
      </c>
      <c r="O93" s="6" t="str">
        <f>VLOOKUP(N93,[1]!Categories,2,FALSE)</f>
        <v>Condiments</v>
      </c>
      <c r="P93" s="6">
        <f>VLOOKUP(A93,[1]Order_Details!$A$1:$F$2156,3,FALSE)</f>
        <v>17.600000000000001</v>
      </c>
      <c r="Q93">
        <f>VLOOKUP(A93,[1]Order_Details!$A$1:$F$2156,4,FALSE)</f>
        <v>10</v>
      </c>
      <c r="R93">
        <f>VLOOKUP(A93,[1]Order_Details!$A$1:$F$2156,5,FALSE)</f>
        <v>0</v>
      </c>
      <c r="S93" s="6">
        <f>VLOOKUP(A93,[1]Order_Details!$A$1:$F$2156,6,FALSE)</f>
        <v>176</v>
      </c>
      <c r="T93" s="6">
        <f>VLOOKUP(A93,[1]!Orders,8,FALSE)</f>
        <v>15.66</v>
      </c>
    </row>
    <row r="94" spans="1:20" x14ac:dyDescent="0.3">
      <c r="A94" s="2">
        <v>10340</v>
      </c>
      <c r="B94" s="2" t="s">
        <v>52</v>
      </c>
      <c r="C94" s="2">
        <v>1</v>
      </c>
      <c r="D94" s="3">
        <v>35367</v>
      </c>
      <c r="E94" t="str">
        <f>VLOOKUP(C94,[1]Employees!$A$1:$O$10,4,FALSE)</f>
        <v>Davolio Nancy</v>
      </c>
      <c r="F94">
        <f>VLOOKUP(A94,[1]!Orders,7,FALSE)</f>
        <v>3</v>
      </c>
      <c r="G94" t="str">
        <f>VLOOKUP(F94,[1]!Shippers,2,FALSE)</f>
        <v>Federal Shipping</v>
      </c>
      <c r="H94" t="str">
        <f>VLOOKUP(C94,[1]EmployeeTerritories!$A$1:$B$50,2,FALSE)</f>
        <v>06897</v>
      </c>
      <c r="I94">
        <f>VLOOKUP(C94,[1]EmployeeTerritories!$A$1:$B$50,1,FALSE)</f>
        <v>1</v>
      </c>
      <c r="J94">
        <f>VLOOKUP(H94,[1]!Territories,3,FALSE)</f>
        <v>1</v>
      </c>
      <c r="K94" t="str">
        <f>VLOOKUP(J94,[1]!Region,2,FALSE)</f>
        <v>Eastern</v>
      </c>
      <c r="L94">
        <f>VLOOKUP(A94,[1]Order_Details!$A$1:$F$2156,2,FALSE)</f>
        <v>18</v>
      </c>
      <c r="M94" t="str">
        <f>VLOOKUP(L94,[1]!Products,2,FALSE)</f>
        <v>Carnarvon Tigers</v>
      </c>
      <c r="N94">
        <f>VLOOKUP(L94,[1]!Products,4,FALSE)</f>
        <v>8</v>
      </c>
      <c r="O94" s="6" t="str">
        <f>VLOOKUP(N94,[1]!Categories,2,FALSE)</f>
        <v>Seafood</v>
      </c>
      <c r="P94" s="6">
        <f>VLOOKUP(A94,[1]Order_Details!$A$1:$F$2156,3,FALSE)</f>
        <v>50</v>
      </c>
      <c r="Q94">
        <f>VLOOKUP(A94,[1]Order_Details!$A$1:$F$2156,4,FALSE)</f>
        <v>20</v>
      </c>
      <c r="R94">
        <f>VLOOKUP(A94,[1]Order_Details!$A$1:$F$2156,5,FALSE)</f>
        <v>5.000000074505806E-2</v>
      </c>
      <c r="S94" s="6">
        <f>VLOOKUP(A94,[1]Order_Details!$A$1:$F$2156,6,FALSE)</f>
        <v>949.99999925494194</v>
      </c>
      <c r="T94" s="6">
        <f>VLOOKUP(A94,[1]!Orders,8,FALSE)</f>
        <v>166.31</v>
      </c>
    </row>
    <row r="95" spans="1:20" x14ac:dyDescent="0.3">
      <c r="A95" s="2">
        <v>10341</v>
      </c>
      <c r="B95" s="2" t="s">
        <v>55</v>
      </c>
      <c r="C95" s="2">
        <v>7</v>
      </c>
      <c r="D95" s="3">
        <v>35367</v>
      </c>
      <c r="E95" t="str">
        <f>VLOOKUP(C95,[1]Employees!$A$1:$O$10,4,FALSE)</f>
        <v>King Robert</v>
      </c>
      <c r="F95">
        <f>VLOOKUP(A95,[1]!Orders,7,FALSE)</f>
        <v>3</v>
      </c>
      <c r="G95" t="str">
        <f>VLOOKUP(F95,[1]!Shippers,2,FALSE)</f>
        <v>Federal Shipping</v>
      </c>
      <c r="H95" t="str">
        <f>VLOOKUP(C95,[1]EmployeeTerritories!$A$1:$B$50,2,FALSE)</f>
        <v>60179</v>
      </c>
      <c r="I95">
        <f>VLOOKUP(C95,[1]EmployeeTerritories!$A$1:$B$50,1,FALSE)</f>
        <v>7</v>
      </c>
      <c r="J95">
        <f>VLOOKUP(H95,[1]!Territories,3,FALSE)</f>
        <v>2</v>
      </c>
      <c r="K95" t="str">
        <f>VLOOKUP(J95,[1]!Region,2,FALSE)</f>
        <v>Western</v>
      </c>
      <c r="L95">
        <f>VLOOKUP(A95,[1]Order_Details!$A$1:$F$2156,2,FALSE)</f>
        <v>33</v>
      </c>
      <c r="M95" t="str">
        <f>VLOOKUP(L95,[1]!Products,2,FALSE)</f>
        <v>Geitost</v>
      </c>
      <c r="N95">
        <f>VLOOKUP(L95,[1]!Products,4,FALSE)</f>
        <v>4</v>
      </c>
      <c r="O95" s="6" t="str">
        <f>VLOOKUP(N95,[1]!Categories,2,FALSE)</f>
        <v>Dairy Products</v>
      </c>
      <c r="P95" s="6">
        <f>VLOOKUP(A95,[1]Order_Details!$A$1:$F$2156,3,FALSE)</f>
        <v>2</v>
      </c>
      <c r="Q95">
        <f>VLOOKUP(A95,[1]Order_Details!$A$1:$F$2156,4,FALSE)</f>
        <v>8</v>
      </c>
      <c r="R95">
        <f>VLOOKUP(A95,[1]Order_Details!$A$1:$F$2156,5,FALSE)</f>
        <v>0</v>
      </c>
      <c r="S95" s="6">
        <f>VLOOKUP(A95,[1]Order_Details!$A$1:$F$2156,6,FALSE)</f>
        <v>16</v>
      </c>
      <c r="T95" s="6">
        <f>VLOOKUP(A95,[1]!Orders,8,FALSE)</f>
        <v>26.78</v>
      </c>
    </row>
    <row r="96" spans="1:20" x14ac:dyDescent="0.3">
      <c r="A96" s="2">
        <v>10342</v>
      </c>
      <c r="B96" s="2" t="s">
        <v>21</v>
      </c>
      <c r="C96" s="2">
        <v>4</v>
      </c>
      <c r="D96" s="3">
        <v>35368</v>
      </c>
      <c r="E96" t="str">
        <f>VLOOKUP(C96,[1]Employees!$A$1:$O$10,4,FALSE)</f>
        <v>Peacock Margaret</v>
      </c>
      <c r="F96">
        <f>VLOOKUP(A96,[1]!Orders,7,FALSE)</f>
        <v>2</v>
      </c>
      <c r="G96" t="str">
        <f>VLOOKUP(F96,[1]!Shippers,2,FALSE)</f>
        <v>United Package</v>
      </c>
      <c r="H96" t="str">
        <f>VLOOKUP(C96,[1]EmployeeTerritories!$A$1:$B$50,2,FALSE)</f>
        <v>20852</v>
      </c>
      <c r="I96">
        <f>VLOOKUP(C96,[1]EmployeeTerritories!$A$1:$B$50,1,FALSE)</f>
        <v>4</v>
      </c>
      <c r="J96">
        <f>VLOOKUP(H96,[1]!Territories,3,FALSE)</f>
        <v>1</v>
      </c>
      <c r="K96" t="str">
        <f>VLOOKUP(J96,[1]!Region,2,FALSE)</f>
        <v>Eastern</v>
      </c>
      <c r="L96">
        <f>VLOOKUP(A96,[1]Order_Details!$A$1:$F$2156,2,FALSE)</f>
        <v>2</v>
      </c>
      <c r="M96" t="str">
        <f>VLOOKUP(L96,[1]!Products,2,FALSE)</f>
        <v>Chang</v>
      </c>
      <c r="N96">
        <f>VLOOKUP(L96,[1]!Products,4,FALSE)</f>
        <v>1</v>
      </c>
      <c r="O96" s="6" t="str">
        <f>VLOOKUP(N96,[1]!Categories,2,FALSE)</f>
        <v>Beverages</v>
      </c>
      <c r="P96" s="6">
        <f>VLOOKUP(A96,[1]Order_Details!$A$1:$F$2156,3,FALSE)</f>
        <v>15.2</v>
      </c>
      <c r="Q96">
        <f>VLOOKUP(A96,[1]Order_Details!$A$1:$F$2156,4,FALSE)</f>
        <v>24</v>
      </c>
      <c r="R96">
        <f>VLOOKUP(A96,[1]Order_Details!$A$1:$F$2156,5,FALSE)</f>
        <v>0.20000000298023224</v>
      </c>
      <c r="S96" s="6">
        <f>VLOOKUP(A96,[1]Order_Details!$A$1:$F$2156,6,FALSE)</f>
        <v>291.83999891281127</v>
      </c>
      <c r="T96" s="6">
        <f>VLOOKUP(A96,[1]!Orders,8,FALSE)</f>
        <v>54.83</v>
      </c>
    </row>
    <row r="97" spans="1:20" x14ac:dyDescent="0.3">
      <c r="A97" s="2">
        <v>10343</v>
      </c>
      <c r="B97" s="2" t="s">
        <v>30</v>
      </c>
      <c r="C97" s="2">
        <v>4</v>
      </c>
      <c r="D97" s="3">
        <v>35369</v>
      </c>
      <c r="E97" t="str">
        <f>VLOOKUP(C97,[1]Employees!$A$1:$O$10,4,FALSE)</f>
        <v>Peacock Margaret</v>
      </c>
      <c r="F97">
        <f>VLOOKUP(A97,[1]!Orders,7,FALSE)</f>
        <v>1</v>
      </c>
      <c r="G97" t="str">
        <f>VLOOKUP(F97,[1]!Shippers,2,FALSE)</f>
        <v>Speedy Express</v>
      </c>
      <c r="H97" t="str">
        <f>VLOOKUP(C97,[1]EmployeeTerritories!$A$1:$B$50,2,FALSE)</f>
        <v>20852</v>
      </c>
      <c r="I97">
        <f>VLOOKUP(C97,[1]EmployeeTerritories!$A$1:$B$50,1,FALSE)</f>
        <v>4</v>
      </c>
      <c r="J97">
        <f>VLOOKUP(H97,[1]!Territories,3,FALSE)</f>
        <v>1</v>
      </c>
      <c r="K97" t="str">
        <f>VLOOKUP(J97,[1]!Region,2,FALSE)</f>
        <v>Eastern</v>
      </c>
      <c r="L97">
        <f>VLOOKUP(A97,[1]Order_Details!$A$1:$F$2156,2,FALSE)</f>
        <v>64</v>
      </c>
      <c r="M97" t="str">
        <f>VLOOKUP(L97,[1]!Products,2,FALSE)</f>
        <v>Wimmers gute Semmelknödel</v>
      </c>
      <c r="N97">
        <f>VLOOKUP(L97,[1]!Products,4,FALSE)</f>
        <v>5</v>
      </c>
      <c r="O97" s="6" t="str">
        <f>VLOOKUP(N97,[1]!Categories,2,FALSE)</f>
        <v>Grains/Cereals</v>
      </c>
      <c r="P97" s="6">
        <f>VLOOKUP(A97,[1]Order_Details!$A$1:$F$2156,3,FALSE)</f>
        <v>26.6</v>
      </c>
      <c r="Q97">
        <f>VLOOKUP(A97,[1]Order_Details!$A$1:$F$2156,4,FALSE)</f>
        <v>50</v>
      </c>
      <c r="R97">
        <f>VLOOKUP(A97,[1]Order_Details!$A$1:$F$2156,5,FALSE)</f>
        <v>0</v>
      </c>
      <c r="S97" s="6">
        <f>VLOOKUP(A97,[1]Order_Details!$A$1:$F$2156,6,FALSE)</f>
        <v>1330</v>
      </c>
      <c r="T97" s="6">
        <f>VLOOKUP(A97,[1]!Orders,8,FALSE)</f>
        <v>110.37</v>
      </c>
    </row>
    <row r="98" spans="1:20" x14ac:dyDescent="0.3">
      <c r="A98" s="2">
        <v>10344</v>
      </c>
      <c r="B98" s="2" t="s">
        <v>23</v>
      </c>
      <c r="C98" s="2">
        <v>4</v>
      </c>
      <c r="D98" s="3">
        <v>35370</v>
      </c>
      <c r="E98" t="str">
        <f>VLOOKUP(C98,[1]Employees!$A$1:$O$10,4,FALSE)</f>
        <v>Peacock Margaret</v>
      </c>
      <c r="F98">
        <f>VLOOKUP(A98,[1]!Orders,7,FALSE)</f>
        <v>2</v>
      </c>
      <c r="G98" t="str">
        <f>VLOOKUP(F98,[1]!Shippers,2,FALSE)</f>
        <v>United Package</v>
      </c>
      <c r="H98" t="str">
        <f>VLOOKUP(C98,[1]EmployeeTerritories!$A$1:$B$50,2,FALSE)</f>
        <v>20852</v>
      </c>
      <c r="I98">
        <f>VLOOKUP(C98,[1]EmployeeTerritories!$A$1:$B$50,1,FALSE)</f>
        <v>4</v>
      </c>
      <c r="J98">
        <f>VLOOKUP(H98,[1]!Territories,3,FALSE)</f>
        <v>1</v>
      </c>
      <c r="K98" t="str">
        <f>VLOOKUP(J98,[1]!Region,2,FALSE)</f>
        <v>Eastern</v>
      </c>
      <c r="L98">
        <f>VLOOKUP(A98,[1]Order_Details!$A$1:$F$2156,2,FALSE)</f>
        <v>4</v>
      </c>
      <c r="M98" t="str">
        <f>VLOOKUP(L98,[1]!Products,2,FALSE)</f>
        <v>Chef Anton's Cajun Seasoning</v>
      </c>
      <c r="N98">
        <f>VLOOKUP(L98,[1]!Products,4,FALSE)</f>
        <v>2</v>
      </c>
      <c r="O98" s="6" t="str">
        <f>VLOOKUP(N98,[1]!Categories,2,FALSE)</f>
        <v>Condiments</v>
      </c>
      <c r="P98" s="6">
        <f>VLOOKUP(A98,[1]Order_Details!$A$1:$F$2156,3,FALSE)</f>
        <v>17.600000000000001</v>
      </c>
      <c r="Q98">
        <f>VLOOKUP(A98,[1]Order_Details!$A$1:$F$2156,4,FALSE)</f>
        <v>35</v>
      </c>
      <c r="R98">
        <f>VLOOKUP(A98,[1]Order_Details!$A$1:$F$2156,5,FALSE)</f>
        <v>0</v>
      </c>
      <c r="S98" s="6">
        <f>VLOOKUP(A98,[1]Order_Details!$A$1:$F$2156,6,FALSE)</f>
        <v>616</v>
      </c>
      <c r="T98" s="6">
        <f>VLOOKUP(A98,[1]!Orders,8,FALSE)</f>
        <v>23.29</v>
      </c>
    </row>
    <row r="99" spans="1:20" x14ac:dyDescent="0.3">
      <c r="A99" s="2">
        <v>10345</v>
      </c>
      <c r="B99" s="2" t="s">
        <v>25</v>
      </c>
      <c r="C99" s="2">
        <v>2</v>
      </c>
      <c r="D99" s="3">
        <v>35373</v>
      </c>
      <c r="E99" t="str">
        <f>VLOOKUP(C99,[1]Employees!$A$1:$O$10,4,FALSE)</f>
        <v>Fuller Andrew</v>
      </c>
      <c r="F99">
        <f>VLOOKUP(A99,[1]!Orders,7,FALSE)</f>
        <v>2</v>
      </c>
      <c r="G99" t="str">
        <f>VLOOKUP(F99,[1]!Shippers,2,FALSE)</f>
        <v>United Package</v>
      </c>
      <c r="H99" t="str">
        <f>VLOOKUP(C99,[1]EmployeeTerritories!$A$1:$B$50,2,FALSE)</f>
        <v>01581</v>
      </c>
      <c r="I99">
        <f>VLOOKUP(C99,[1]EmployeeTerritories!$A$1:$B$50,1,FALSE)</f>
        <v>2</v>
      </c>
      <c r="J99">
        <f>VLOOKUP(H99,[1]!Territories,3,FALSE)</f>
        <v>1</v>
      </c>
      <c r="K99" t="str">
        <f>VLOOKUP(J99,[1]!Region,2,FALSE)</f>
        <v>Eastern</v>
      </c>
      <c r="L99">
        <f>VLOOKUP(A99,[1]Order_Details!$A$1:$F$2156,2,FALSE)</f>
        <v>8</v>
      </c>
      <c r="M99" t="str">
        <f>VLOOKUP(L99,[1]!Products,2,FALSE)</f>
        <v>Northwoods Cranberry Sauce</v>
      </c>
      <c r="N99">
        <f>VLOOKUP(L99,[1]!Products,4,FALSE)</f>
        <v>2</v>
      </c>
      <c r="O99" s="6" t="str">
        <f>VLOOKUP(N99,[1]!Categories,2,FALSE)</f>
        <v>Condiments</v>
      </c>
      <c r="P99" s="6">
        <f>VLOOKUP(A99,[1]Order_Details!$A$1:$F$2156,3,FALSE)</f>
        <v>32</v>
      </c>
      <c r="Q99">
        <f>VLOOKUP(A99,[1]Order_Details!$A$1:$F$2156,4,FALSE)</f>
        <v>70</v>
      </c>
      <c r="R99">
        <f>VLOOKUP(A99,[1]Order_Details!$A$1:$F$2156,5,FALSE)</f>
        <v>0</v>
      </c>
      <c r="S99" s="6">
        <f>VLOOKUP(A99,[1]Order_Details!$A$1:$F$2156,6,FALSE)</f>
        <v>2240</v>
      </c>
      <c r="T99" s="6">
        <f>VLOOKUP(A99,[1]!Orders,8,FALSE)</f>
        <v>249.06</v>
      </c>
    </row>
    <row r="100" spans="1:20" x14ac:dyDescent="0.3">
      <c r="A100" s="2">
        <v>10346</v>
      </c>
      <c r="B100" s="2" t="s">
        <v>17</v>
      </c>
      <c r="C100" s="2">
        <v>3</v>
      </c>
      <c r="D100" s="3">
        <v>35374</v>
      </c>
      <c r="E100" t="str">
        <f>VLOOKUP(C100,[1]Employees!$A$1:$O$10,4,FALSE)</f>
        <v>Leverling Janet</v>
      </c>
      <c r="F100">
        <f>VLOOKUP(A100,[1]!Orders,7,FALSE)</f>
        <v>3</v>
      </c>
      <c r="G100" t="str">
        <f>VLOOKUP(F100,[1]!Shippers,2,FALSE)</f>
        <v>Federal Shipping</v>
      </c>
      <c r="H100" t="str">
        <f>VLOOKUP(C100,[1]EmployeeTerritories!$A$1:$B$50,2,FALSE)</f>
        <v>30346</v>
      </c>
      <c r="I100">
        <f>VLOOKUP(C100,[1]EmployeeTerritories!$A$1:$B$50,1,FALSE)</f>
        <v>3</v>
      </c>
      <c r="J100">
        <f>VLOOKUP(H100,[1]!Territories,3,FALSE)</f>
        <v>4</v>
      </c>
      <c r="K100" t="str">
        <f>VLOOKUP(J100,[1]!Region,2,FALSE)</f>
        <v>Southern</v>
      </c>
      <c r="L100">
        <f>VLOOKUP(A100,[1]Order_Details!$A$1:$F$2156,2,FALSE)</f>
        <v>17</v>
      </c>
      <c r="M100" t="str">
        <f>VLOOKUP(L100,[1]!Products,2,FALSE)</f>
        <v>Alice Mutton</v>
      </c>
      <c r="N100">
        <f>VLOOKUP(L100,[1]!Products,4,FALSE)</f>
        <v>6</v>
      </c>
      <c r="O100" s="6" t="str">
        <f>VLOOKUP(N100,[1]!Categories,2,FALSE)</f>
        <v>Meat/Poultry</v>
      </c>
      <c r="P100" s="6">
        <f>VLOOKUP(A100,[1]Order_Details!$A$1:$F$2156,3,FALSE)</f>
        <v>31.2</v>
      </c>
      <c r="Q100">
        <f>VLOOKUP(A100,[1]Order_Details!$A$1:$F$2156,4,FALSE)</f>
        <v>36</v>
      </c>
      <c r="R100">
        <f>VLOOKUP(A100,[1]Order_Details!$A$1:$F$2156,5,FALSE)</f>
        <v>0.10000000149011612</v>
      </c>
      <c r="S100" s="6">
        <f>VLOOKUP(A100,[1]Order_Details!$A$1:$F$2156,6,FALSE)</f>
        <v>1010.8799983263016</v>
      </c>
      <c r="T100" s="6">
        <f>VLOOKUP(A100,[1]!Orders,8,FALSE)</f>
        <v>142.08000000000001</v>
      </c>
    </row>
    <row r="101" spans="1:20" x14ac:dyDescent="0.3">
      <c r="A101" s="2">
        <v>10347</v>
      </c>
      <c r="B101" s="2" t="s">
        <v>56</v>
      </c>
      <c r="C101" s="2">
        <v>4</v>
      </c>
      <c r="D101" s="3">
        <v>35375</v>
      </c>
      <c r="E101" t="str">
        <f>VLOOKUP(C101,[1]Employees!$A$1:$O$10,4,FALSE)</f>
        <v>Peacock Margaret</v>
      </c>
      <c r="F101">
        <f>VLOOKUP(A101,[1]!Orders,7,FALSE)</f>
        <v>3</v>
      </c>
      <c r="G101" t="str">
        <f>VLOOKUP(F101,[1]!Shippers,2,FALSE)</f>
        <v>Federal Shipping</v>
      </c>
      <c r="H101" t="str">
        <f>VLOOKUP(C101,[1]EmployeeTerritories!$A$1:$B$50,2,FALSE)</f>
        <v>20852</v>
      </c>
      <c r="I101">
        <f>VLOOKUP(C101,[1]EmployeeTerritories!$A$1:$B$50,1,FALSE)</f>
        <v>4</v>
      </c>
      <c r="J101">
        <f>VLOOKUP(H101,[1]!Territories,3,FALSE)</f>
        <v>1</v>
      </c>
      <c r="K101" t="str">
        <f>VLOOKUP(J101,[1]!Region,2,FALSE)</f>
        <v>Eastern</v>
      </c>
      <c r="L101">
        <f>VLOOKUP(A101,[1]Order_Details!$A$1:$F$2156,2,FALSE)</f>
        <v>25</v>
      </c>
      <c r="M101" t="str">
        <f>VLOOKUP(L101,[1]!Products,2,FALSE)</f>
        <v>NuNuCa Nuß-Nougat-Creme</v>
      </c>
      <c r="N101">
        <f>VLOOKUP(L101,[1]!Products,4,FALSE)</f>
        <v>3</v>
      </c>
      <c r="O101" s="6" t="str">
        <f>VLOOKUP(N101,[1]!Categories,2,FALSE)</f>
        <v>Confections</v>
      </c>
      <c r="P101" s="6">
        <f>VLOOKUP(A101,[1]Order_Details!$A$1:$F$2156,3,FALSE)</f>
        <v>11.2</v>
      </c>
      <c r="Q101">
        <f>VLOOKUP(A101,[1]Order_Details!$A$1:$F$2156,4,FALSE)</f>
        <v>10</v>
      </c>
      <c r="R101">
        <f>VLOOKUP(A101,[1]Order_Details!$A$1:$F$2156,5,FALSE)</f>
        <v>0</v>
      </c>
      <c r="S101" s="6">
        <f>VLOOKUP(A101,[1]Order_Details!$A$1:$F$2156,6,FALSE)</f>
        <v>112</v>
      </c>
      <c r="T101" s="6">
        <f>VLOOKUP(A101,[1]!Orders,8,FALSE)</f>
        <v>3.1</v>
      </c>
    </row>
    <row r="102" spans="1:20" x14ac:dyDescent="0.3">
      <c r="A102" s="2">
        <v>10348</v>
      </c>
      <c r="B102" s="2" t="s">
        <v>39</v>
      </c>
      <c r="C102" s="2">
        <v>4</v>
      </c>
      <c r="D102" s="3">
        <v>35376</v>
      </c>
      <c r="E102" t="str">
        <f>VLOOKUP(C102,[1]Employees!$A$1:$O$10,4,FALSE)</f>
        <v>Peacock Margaret</v>
      </c>
      <c r="F102">
        <f>VLOOKUP(A102,[1]!Orders,7,FALSE)</f>
        <v>2</v>
      </c>
      <c r="G102" t="str">
        <f>VLOOKUP(F102,[1]!Shippers,2,FALSE)</f>
        <v>United Package</v>
      </c>
      <c r="H102" t="str">
        <f>VLOOKUP(C102,[1]EmployeeTerritories!$A$1:$B$50,2,FALSE)</f>
        <v>20852</v>
      </c>
      <c r="I102">
        <f>VLOOKUP(C102,[1]EmployeeTerritories!$A$1:$B$50,1,FALSE)</f>
        <v>4</v>
      </c>
      <c r="J102">
        <f>VLOOKUP(H102,[1]!Territories,3,FALSE)</f>
        <v>1</v>
      </c>
      <c r="K102" t="str">
        <f>VLOOKUP(J102,[1]!Region,2,FALSE)</f>
        <v>Eastern</v>
      </c>
      <c r="L102">
        <f>VLOOKUP(A102,[1]Order_Details!$A$1:$F$2156,2,FALSE)</f>
        <v>1</v>
      </c>
      <c r="M102" t="str">
        <f>VLOOKUP(L102,[1]!Products,2,FALSE)</f>
        <v>Chai</v>
      </c>
      <c r="N102">
        <f>VLOOKUP(L102,[1]!Products,4,FALSE)</f>
        <v>1</v>
      </c>
      <c r="O102" s="6" t="str">
        <f>VLOOKUP(N102,[1]!Categories,2,FALSE)</f>
        <v>Beverages</v>
      </c>
      <c r="P102" s="6">
        <f>VLOOKUP(A102,[1]Order_Details!$A$1:$F$2156,3,FALSE)</f>
        <v>14.4</v>
      </c>
      <c r="Q102">
        <f>VLOOKUP(A102,[1]Order_Details!$A$1:$F$2156,4,FALSE)</f>
        <v>15</v>
      </c>
      <c r="R102">
        <f>VLOOKUP(A102,[1]Order_Details!$A$1:$F$2156,5,FALSE)</f>
        <v>0.15000000596046448</v>
      </c>
      <c r="S102" s="6">
        <f>VLOOKUP(A102,[1]Order_Details!$A$1:$F$2156,6,FALSE)</f>
        <v>183.59999871253967</v>
      </c>
      <c r="T102" s="6">
        <f>VLOOKUP(A102,[1]!Orders,8,FALSE)</f>
        <v>0.78</v>
      </c>
    </row>
    <row r="103" spans="1:20" x14ac:dyDescent="0.3">
      <c r="A103" s="2">
        <v>10349</v>
      </c>
      <c r="B103" s="2" t="s">
        <v>24</v>
      </c>
      <c r="C103" s="2">
        <v>7</v>
      </c>
      <c r="D103" s="3">
        <v>35377</v>
      </c>
      <c r="E103" t="str">
        <f>VLOOKUP(C103,[1]Employees!$A$1:$O$10,4,FALSE)</f>
        <v>King Robert</v>
      </c>
      <c r="F103">
        <f>VLOOKUP(A103,[1]!Orders,7,FALSE)</f>
        <v>1</v>
      </c>
      <c r="G103" t="str">
        <f>VLOOKUP(F103,[1]!Shippers,2,FALSE)</f>
        <v>Speedy Express</v>
      </c>
      <c r="H103" t="str">
        <f>VLOOKUP(C103,[1]EmployeeTerritories!$A$1:$B$50,2,FALSE)</f>
        <v>60179</v>
      </c>
      <c r="I103">
        <f>VLOOKUP(C103,[1]EmployeeTerritories!$A$1:$B$50,1,FALSE)</f>
        <v>7</v>
      </c>
      <c r="J103">
        <f>VLOOKUP(H103,[1]!Territories,3,FALSE)</f>
        <v>2</v>
      </c>
      <c r="K103" t="str">
        <f>VLOOKUP(J103,[1]!Region,2,FALSE)</f>
        <v>Western</v>
      </c>
      <c r="L103">
        <f>VLOOKUP(A103,[1]Order_Details!$A$1:$F$2156,2,FALSE)</f>
        <v>54</v>
      </c>
      <c r="M103" t="str">
        <f>VLOOKUP(L103,[1]!Products,2,FALSE)</f>
        <v>Tourtière</v>
      </c>
      <c r="N103">
        <f>VLOOKUP(L103,[1]!Products,4,FALSE)</f>
        <v>6</v>
      </c>
      <c r="O103" s="6" t="str">
        <f>VLOOKUP(N103,[1]!Categories,2,FALSE)</f>
        <v>Meat/Poultry</v>
      </c>
      <c r="P103" s="6">
        <f>VLOOKUP(A103,[1]Order_Details!$A$1:$F$2156,3,FALSE)</f>
        <v>5.9</v>
      </c>
      <c r="Q103">
        <f>VLOOKUP(A103,[1]Order_Details!$A$1:$F$2156,4,FALSE)</f>
        <v>24</v>
      </c>
      <c r="R103">
        <f>VLOOKUP(A103,[1]Order_Details!$A$1:$F$2156,5,FALSE)</f>
        <v>0</v>
      </c>
      <c r="S103" s="6">
        <f>VLOOKUP(A103,[1]Order_Details!$A$1:$F$2156,6,FALSE)</f>
        <v>141.60000000000002</v>
      </c>
      <c r="T103" s="6">
        <f>VLOOKUP(A103,[1]!Orders,8,FALSE)</f>
        <v>8.6300000000000008</v>
      </c>
    </row>
    <row r="104" spans="1:20" x14ac:dyDescent="0.3">
      <c r="A104" s="2">
        <v>10350</v>
      </c>
      <c r="B104" s="2" t="s">
        <v>57</v>
      </c>
      <c r="C104" s="2">
        <v>6</v>
      </c>
      <c r="D104" s="3">
        <v>35380</v>
      </c>
      <c r="E104" t="str">
        <f>VLOOKUP(C104,[1]Employees!$A$1:$O$10,4,FALSE)</f>
        <v>Suyama Michael</v>
      </c>
      <c r="F104">
        <f>VLOOKUP(A104,[1]!Orders,7,FALSE)</f>
        <v>2</v>
      </c>
      <c r="G104" t="str">
        <f>VLOOKUP(F104,[1]!Shippers,2,FALSE)</f>
        <v>United Package</v>
      </c>
      <c r="H104" t="str">
        <f>VLOOKUP(C104,[1]EmployeeTerritories!$A$1:$B$50,2,FALSE)</f>
        <v>85014</v>
      </c>
      <c r="I104">
        <f>VLOOKUP(C104,[1]EmployeeTerritories!$A$1:$B$50,1,FALSE)</f>
        <v>6</v>
      </c>
      <c r="J104">
        <f>VLOOKUP(H104,[1]!Territories,3,FALSE)</f>
        <v>2</v>
      </c>
      <c r="K104" t="str">
        <f>VLOOKUP(J104,[1]!Region,2,FALSE)</f>
        <v>Western</v>
      </c>
      <c r="L104">
        <f>VLOOKUP(A104,[1]Order_Details!$A$1:$F$2156,2,FALSE)</f>
        <v>50</v>
      </c>
      <c r="M104" t="str">
        <f>VLOOKUP(L104,[1]!Products,2,FALSE)</f>
        <v>Valkoinen suklaa</v>
      </c>
      <c r="N104">
        <f>VLOOKUP(L104,[1]!Products,4,FALSE)</f>
        <v>3</v>
      </c>
      <c r="O104" s="6" t="str">
        <f>VLOOKUP(N104,[1]!Categories,2,FALSE)</f>
        <v>Confections</v>
      </c>
      <c r="P104" s="6">
        <f>VLOOKUP(A104,[1]Order_Details!$A$1:$F$2156,3,FALSE)</f>
        <v>13</v>
      </c>
      <c r="Q104">
        <f>VLOOKUP(A104,[1]Order_Details!$A$1:$F$2156,4,FALSE)</f>
        <v>15</v>
      </c>
      <c r="R104">
        <f>VLOOKUP(A104,[1]Order_Details!$A$1:$F$2156,5,FALSE)</f>
        <v>0.10000000149011612</v>
      </c>
      <c r="S104" s="6">
        <f>VLOOKUP(A104,[1]Order_Details!$A$1:$F$2156,6,FALSE)</f>
        <v>175.49999970942736</v>
      </c>
      <c r="T104" s="6">
        <f>VLOOKUP(A104,[1]!Orders,8,FALSE)</f>
        <v>64.19</v>
      </c>
    </row>
    <row r="105" spans="1:20" x14ac:dyDescent="0.3">
      <c r="A105" s="2">
        <v>10351</v>
      </c>
      <c r="B105" s="2" t="s">
        <v>13</v>
      </c>
      <c r="C105" s="2">
        <v>1</v>
      </c>
      <c r="D105" s="3">
        <v>35380</v>
      </c>
      <c r="E105" t="str">
        <f>VLOOKUP(C105,[1]Employees!$A$1:$O$10,4,FALSE)</f>
        <v>Davolio Nancy</v>
      </c>
      <c r="F105">
        <f>VLOOKUP(A105,[1]!Orders,7,FALSE)</f>
        <v>1</v>
      </c>
      <c r="G105" t="str">
        <f>VLOOKUP(F105,[1]!Shippers,2,FALSE)</f>
        <v>Speedy Express</v>
      </c>
      <c r="H105" t="str">
        <f>VLOOKUP(C105,[1]EmployeeTerritories!$A$1:$B$50,2,FALSE)</f>
        <v>06897</v>
      </c>
      <c r="I105">
        <f>VLOOKUP(C105,[1]EmployeeTerritories!$A$1:$B$50,1,FALSE)</f>
        <v>1</v>
      </c>
      <c r="J105">
        <f>VLOOKUP(H105,[1]!Territories,3,FALSE)</f>
        <v>1</v>
      </c>
      <c r="K105" t="str">
        <f>VLOOKUP(J105,[1]!Region,2,FALSE)</f>
        <v>Eastern</v>
      </c>
      <c r="L105">
        <f>VLOOKUP(A105,[1]Order_Details!$A$1:$F$2156,2,FALSE)</f>
        <v>38</v>
      </c>
      <c r="M105" t="str">
        <f>VLOOKUP(L105,[1]!Products,2,FALSE)</f>
        <v>Côte de Blaye</v>
      </c>
      <c r="N105">
        <f>VLOOKUP(L105,[1]!Products,4,FALSE)</f>
        <v>1</v>
      </c>
      <c r="O105" s="6" t="str">
        <f>VLOOKUP(N105,[1]!Categories,2,FALSE)</f>
        <v>Beverages</v>
      </c>
      <c r="P105" s="6">
        <f>VLOOKUP(A105,[1]Order_Details!$A$1:$F$2156,3,FALSE)</f>
        <v>210.8</v>
      </c>
      <c r="Q105">
        <f>VLOOKUP(A105,[1]Order_Details!$A$1:$F$2156,4,FALSE)</f>
        <v>20</v>
      </c>
      <c r="R105">
        <f>VLOOKUP(A105,[1]Order_Details!$A$1:$F$2156,5,FALSE)</f>
        <v>5.000000074505806E-2</v>
      </c>
      <c r="S105" s="6">
        <f>VLOOKUP(A105,[1]Order_Details!$A$1:$F$2156,6,FALSE)</f>
        <v>4005.1999968588352</v>
      </c>
      <c r="T105" s="6">
        <f>VLOOKUP(A105,[1]!Orders,8,FALSE)</f>
        <v>162.33000000000001</v>
      </c>
    </row>
    <row r="106" spans="1:20" x14ac:dyDescent="0.3">
      <c r="A106" s="2">
        <v>10352</v>
      </c>
      <c r="B106" s="2" t="s">
        <v>51</v>
      </c>
      <c r="C106" s="2">
        <v>3</v>
      </c>
      <c r="D106" s="3">
        <v>35381</v>
      </c>
      <c r="E106" t="str">
        <f>VLOOKUP(C106,[1]Employees!$A$1:$O$10,4,FALSE)</f>
        <v>Leverling Janet</v>
      </c>
      <c r="F106">
        <f>VLOOKUP(A106,[1]!Orders,7,FALSE)</f>
        <v>3</v>
      </c>
      <c r="G106" t="str">
        <f>VLOOKUP(F106,[1]!Shippers,2,FALSE)</f>
        <v>Federal Shipping</v>
      </c>
      <c r="H106" t="str">
        <f>VLOOKUP(C106,[1]EmployeeTerritories!$A$1:$B$50,2,FALSE)</f>
        <v>30346</v>
      </c>
      <c r="I106">
        <f>VLOOKUP(C106,[1]EmployeeTerritories!$A$1:$B$50,1,FALSE)</f>
        <v>3</v>
      </c>
      <c r="J106">
        <f>VLOOKUP(H106,[1]!Territories,3,FALSE)</f>
        <v>4</v>
      </c>
      <c r="K106" t="str">
        <f>VLOOKUP(J106,[1]!Region,2,FALSE)</f>
        <v>Southern</v>
      </c>
      <c r="L106">
        <f>VLOOKUP(A106,[1]Order_Details!$A$1:$F$2156,2,FALSE)</f>
        <v>24</v>
      </c>
      <c r="M106" t="str">
        <f>VLOOKUP(L106,[1]!Products,2,FALSE)</f>
        <v>Guaraná Fantástica</v>
      </c>
      <c r="N106">
        <f>VLOOKUP(L106,[1]!Products,4,FALSE)</f>
        <v>1</v>
      </c>
      <c r="O106" s="6" t="str">
        <f>VLOOKUP(N106,[1]!Categories,2,FALSE)</f>
        <v>Beverages</v>
      </c>
      <c r="P106" s="6">
        <f>VLOOKUP(A106,[1]Order_Details!$A$1:$F$2156,3,FALSE)</f>
        <v>3.6</v>
      </c>
      <c r="Q106">
        <f>VLOOKUP(A106,[1]Order_Details!$A$1:$F$2156,4,FALSE)</f>
        <v>10</v>
      </c>
      <c r="R106">
        <f>VLOOKUP(A106,[1]Order_Details!$A$1:$F$2156,5,FALSE)</f>
        <v>0</v>
      </c>
      <c r="S106" s="6">
        <f>VLOOKUP(A106,[1]Order_Details!$A$1:$F$2156,6,FALSE)</f>
        <v>36</v>
      </c>
      <c r="T106" s="6">
        <f>VLOOKUP(A106,[1]!Orders,8,FALSE)</f>
        <v>1.3</v>
      </c>
    </row>
    <row r="107" spans="1:20" x14ac:dyDescent="0.3">
      <c r="A107" s="2">
        <v>10353</v>
      </c>
      <c r="B107" s="2" t="s">
        <v>58</v>
      </c>
      <c r="C107" s="2">
        <v>7</v>
      </c>
      <c r="D107" s="3">
        <v>35382</v>
      </c>
      <c r="E107" t="str">
        <f>VLOOKUP(C107,[1]Employees!$A$1:$O$10,4,FALSE)</f>
        <v>King Robert</v>
      </c>
      <c r="F107">
        <f>VLOOKUP(A107,[1]!Orders,7,FALSE)</f>
        <v>3</v>
      </c>
      <c r="G107" t="str">
        <f>VLOOKUP(F107,[1]!Shippers,2,FALSE)</f>
        <v>Federal Shipping</v>
      </c>
      <c r="H107" t="str">
        <f>VLOOKUP(C107,[1]EmployeeTerritories!$A$1:$B$50,2,FALSE)</f>
        <v>60179</v>
      </c>
      <c r="I107">
        <f>VLOOKUP(C107,[1]EmployeeTerritories!$A$1:$B$50,1,FALSE)</f>
        <v>7</v>
      </c>
      <c r="J107">
        <f>VLOOKUP(H107,[1]!Territories,3,FALSE)</f>
        <v>2</v>
      </c>
      <c r="K107" t="str">
        <f>VLOOKUP(J107,[1]!Region,2,FALSE)</f>
        <v>Western</v>
      </c>
      <c r="L107">
        <f>VLOOKUP(A107,[1]Order_Details!$A$1:$F$2156,2,FALSE)</f>
        <v>11</v>
      </c>
      <c r="M107" t="str">
        <f>VLOOKUP(L107,[1]!Products,2,FALSE)</f>
        <v>Queso Cabrales</v>
      </c>
      <c r="N107">
        <f>VLOOKUP(L107,[1]!Products,4,FALSE)</f>
        <v>4</v>
      </c>
      <c r="O107" s="6" t="str">
        <f>VLOOKUP(N107,[1]!Categories,2,FALSE)</f>
        <v>Dairy Products</v>
      </c>
      <c r="P107" s="6">
        <f>VLOOKUP(A107,[1]Order_Details!$A$1:$F$2156,3,FALSE)</f>
        <v>16.8</v>
      </c>
      <c r="Q107">
        <f>VLOOKUP(A107,[1]Order_Details!$A$1:$F$2156,4,FALSE)</f>
        <v>12</v>
      </c>
      <c r="R107">
        <f>VLOOKUP(A107,[1]Order_Details!$A$1:$F$2156,5,FALSE)</f>
        <v>0.20000000298023224</v>
      </c>
      <c r="S107" s="6">
        <f>VLOOKUP(A107,[1]Order_Details!$A$1:$F$2156,6,FALSE)</f>
        <v>161.27999939918519</v>
      </c>
      <c r="T107" s="6">
        <f>VLOOKUP(A107,[1]!Orders,8,FALSE)</f>
        <v>360.63</v>
      </c>
    </row>
    <row r="108" spans="1:20" x14ac:dyDescent="0.3">
      <c r="A108" s="2">
        <v>10354</v>
      </c>
      <c r="B108" s="2" t="s">
        <v>47</v>
      </c>
      <c r="C108" s="2">
        <v>8</v>
      </c>
      <c r="D108" s="3">
        <v>35383</v>
      </c>
      <c r="E108" t="str">
        <f>VLOOKUP(C108,[1]Employees!$A$1:$O$10,4,FALSE)</f>
        <v>Callahan Laura</v>
      </c>
      <c r="F108">
        <f>VLOOKUP(A108,[1]!Orders,7,FALSE)</f>
        <v>3</v>
      </c>
      <c r="G108" t="str">
        <f>VLOOKUP(F108,[1]!Shippers,2,FALSE)</f>
        <v>Federal Shipping</v>
      </c>
      <c r="H108" t="str">
        <f>VLOOKUP(C108,[1]EmployeeTerritories!$A$1:$B$50,2,FALSE)</f>
        <v>19428</v>
      </c>
      <c r="I108">
        <f>VLOOKUP(C108,[1]EmployeeTerritories!$A$1:$B$50,1,FALSE)</f>
        <v>8</v>
      </c>
      <c r="J108">
        <f>VLOOKUP(H108,[1]!Territories,3,FALSE)</f>
        <v>3</v>
      </c>
      <c r="K108" t="str">
        <f>VLOOKUP(J108,[1]!Region,2,FALSE)</f>
        <v>Northern</v>
      </c>
      <c r="L108">
        <f>VLOOKUP(A108,[1]Order_Details!$A$1:$F$2156,2,FALSE)</f>
        <v>1</v>
      </c>
      <c r="M108" t="str">
        <f>VLOOKUP(L108,[1]!Products,2,FALSE)</f>
        <v>Chai</v>
      </c>
      <c r="N108">
        <f>VLOOKUP(L108,[1]!Products,4,FALSE)</f>
        <v>1</v>
      </c>
      <c r="O108" s="6" t="str">
        <f>VLOOKUP(N108,[1]!Categories,2,FALSE)</f>
        <v>Beverages</v>
      </c>
      <c r="P108" s="6">
        <f>VLOOKUP(A108,[1]Order_Details!$A$1:$F$2156,3,FALSE)</f>
        <v>14.4</v>
      </c>
      <c r="Q108">
        <f>VLOOKUP(A108,[1]Order_Details!$A$1:$F$2156,4,FALSE)</f>
        <v>12</v>
      </c>
      <c r="R108">
        <f>VLOOKUP(A108,[1]Order_Details!$A$1:$F$2156,5,FALSE)</f>
        <v>0</v>
      </c>
      <c r="S108" s="6">
        <f>VLOOKUP(A108,[1]Order_Details!$A$1:$F$2156,6,FALSE)</f>
        <v>172.8</v>
      </c>
      <c r="T108" s="6">
        <f>VLOOKUP(A108,[1]!Orders,8,FALSE)</f>
        <v>53.8</v>
      </c>
    </row>
    <row r="109" spans="1:20" x14ac:dyDescent="0.3">
      <c r="A109" s="2">
        <v>10355</v>
      </c>
      <c r="B109" s="2" t="s">
        <v>59</v>
      </c>
      <c r="C109" s="2">
        <v>6</v>
      </c>
      <c r="D109" s="3">
        <v>35384</v>
      </c>
      <c r="E109" t="str">
        <f>VLOOKUP(C109,[1]Employees!$A$1:$O$10,4,FALSE)</f>
        <v>Suyama Michael</v>
      </c>
      <c r="F109">
        <f>VLOOKUP(A109,[1]!Orders,7,FALSE)</f>
        <v>1</v>
      </c>
      <c r="G109" t="str">
        <f>VLOOKUP(F109,[1]!Shippers,2,FALSE)</f>
        <v>Speedy Express</v>
      </c>
      <c r="H109" t="str">
        <f>VLOOKUP(C109,[1]EmployeeTerritories!$A$1:$B$50,2,FALSE)</f>
        <v>85014</v>
      </c>
      <c r="I109">
        <f>VLOOKUP(C109,[1]EmployeeTerritories!$A$1:$B$50,1,FALSE)</f>
        <v>6</v>
      </c>
      <c r="J109">
        <f>VLOOKUP(H109,[1]!Territories,3,FALSE)</f>
        <v>2</v>
      </c>
      <c r="K109" t="str">
        <f>VLOOKUP(J109,[1]!Region,2,FALSE)</f>
        <v>Western</v>
      </c>
      <c r="L109">
        <f>VLOOKUP(A109,[1]Order_Details!$A$1:$F$2156,2,FALSE)</f>
        <v>24</v>
      </c>
      <c r="M109" t="str">
        <f>VLOOKUP(L109,[1]!Products,2,FALSE)</f>
        <v>Guaraná Fantástica</v>
      </c>
      <c r="N109">
        <f>VLOOKUP(L109,[1]!Products,4,FALSE)</f>
        <v>1</v>
      </c>
      <c r="O109" s="6" t="str">
        <f>VLOOKUP(N109,[1]!Categories,2,FALSE)</f>
        <v>Beverages</v>
      </c>
      <c r="P109" s="6">
        <f>VLOOKUP(A109,[1]Order_Details!$A$1:$F$2156,3,FALSE)</f>
        <v>3.6</v>
      </c>
      <c r="Q109">
        <f>VLOOKUP(A109,[1]Order_Details!$A$1:$F$2156,4,FALSE)</f>
        <v>25</v>
      </c>
      <c r="R109">
        <f>VLOOKUP(A109,[1]Order_Details!$A$1:$F$2156,5,FALSE)</f>
        <v>0</v>
      </c>
      <c r="S109" s="6">
        <f>VLOOKUP(A109,[1]Order_Details!$A$1:$F$2156,6,FALSE)</f>
        <v>90</v>
      </c>
      <c r="T109" s="6">
        <f>VLOOKUP(A109,[1]!Orders,8,FALSE)</f>
        <v>41.95</v>
      </c>
    </row>
    <row r="110" spans="1:20" x14ac:dyDescent="0.3">
      <c r="A110" s="2">
        <v>10356</v>
      </c>
      <c r="B110" s="2" t="s">
        <v>39</v>
      </c>
      <c r="C110" s="2">
        <v>6</v>
      </c>
      <c r="D110" s="3">
        <v>35387</v>
      </c>
      <c r="E110" t="str">
        <f>VLOOKUP(C110,[1]Employees!$A$1:$O$10,4,FALSE)</f>
        <v>Suyama Michael</v>
      </c>
      <c r="F110">
        <f>VLOOKUP(A110,[1]!Orders,7,FALSE)</f>
        <v>2</v>
      </c>
      <c r="G110" t="str">
        <f>VLOOKUP(F110,[1]!Shippers,2,FALSE)</f>
        <v>United Package</v>
      </c>
      <c r="H110" t="str">
        <f>VLOOKUP(C110,[1]EmployeeTerritories!$A$1:$B$50,2,FALSE)</f>
        <v>85014</v>
      </c>
      <c r="I110">
        <f>VLOOKUP(C110,[1]EmployeeTerritories!$A$1:$B$50,1,FALSE)</f>
        <v>6</v>
      </c>
      <c r="J110">
        <f>VLOOKUP(H110,[1]!Territories,3,FALSE)</f>
        <v>2</v>
      </c>
      <c r="K110" t="str">
        <f>VLOOKUP(J110,[1]!Region,2,FALSE)</f>
        <v>Western</v>
      </c>
      <c r="L110">
        <f>VLOOKUP(A110,[1]Order_Details!$A$1:$F$2156,2,FALSE)</f>
        <v>31</v>
      </c>
      <c r="M110" t="str">
        <f>VLOOKUP(L110,[1]!Products,2,FALSE)</f>
        <v>Gorgonzola Telino</v>
      </c>
      <c r="N110">
        <f>VLOOKUP(L110,[1]!Products,4,FALSE)</f>
        <v>4</v>
      </c>
      <c r="O110" s="6" t="str">
        <f>VLOOKUP(N110,[1]!Categories,2,FALSE)</f>
        <v>Dairy Products</v>
      </c>
      <c r="P110" s="6">
        <f>VLOOKUP(A110,[1]Order_Details!$A$1:$F$2156,3,FALSE)</f>
        <v>10</v>
      </c>
      <c r="Q110">
        <f>VLOOKUP(A110,[1]Order_Details!$A$1:$F$2156,4,FALSE)</f>
        <v>30</v>
      </c>
      <c r="R110">
        <f>VLOOKUP(A110,[1]Order_Details!$A$1:$F$2156,5,FALSE)</f>
        <v>0</v>
      </c>
      <c r="S110" s="6">
        <f>VLOOKUP(A110,[1]Order_Details!$A$1:$F$2156,6,FALSE)</f>
        <v>300</v>
      </c>
      <c r="T110" s="6">
        <f>VLOOKUP(A110,[1]!Orders,8,FALSE)</f>
        <v>36.71</v>
      </c>
    </row>
    <row r="111" spans="1:20" x14ac:dyDescent="0.3">
      <c r="A111" s="2">
        <v>10357</v>
      </c>
      <c r="B111" s="2" t="s">
        <v>32</v>
      </c>
      <c r="C111" s="2">
        <v>1</v>
      </c>
      <c r="D111" s="3">
        <v>35388</v>
      </c>
      <c r="E111" t="str">
        <f>VLOOKUP(C111,[1]Employees!$A$1:$O$10,4,FALSE)</f>
        <v>Davolio Nancy</v>
      </c>
      <c r="F111">
        <f>VLOOKUP(A111,[1]!Orders,7,FALSE)</f>
        <v>3</v>
      </c>
      <c r="G111" t="str">
        <f>VLOOKUP(F111,[1]!Shippers,2,FALSE)</f>
        <v>Federal Shipping</v>
      </c>
      <c r="H111" t="str">
        <f>VLOOKUP(C111,[1]EmployeeTerritories!$A$1:$B$50,2,FALSE)</f>
        <v>06897</v>
      </c>
      <c r="I111">
        <f>VLOOKUP(C111,[1]EmployeeTerritories!$A$1:$B$50,1,FALSE)</f>
        <v>1</v>
      </c>
      <c r="J111">
        <f>VLOOKUP(H111,[1]!Territories,3,FALSE)</f>
        <v>1</v>
      </c>
      <c r="K111" t="str">
        <f>VLOOKUP(J111,[1]!Region,2,FALSE)</f>
        <v>Eastern</v>
      </c>
      <c r="L111">
        <f>VLOOKUP(A111,[1]Order_Details!$A$1:$F$2156,2,FALSE)</f>
        <v>10</v>
      </c>
      <c r="M111" t="str">
        <f>VLOOKUP(L111,[1]!Products,2,FALSE)</f>
        <v>Ikura</v>
      </c>
      <c r="N111">
        <f>VLOOKUP(L111,[1]!Products,4,FALSE)</f>
        <v>8</v>
      </c>
      <c r="O111" s="6" t="str">
        <f>VLOOKUP(N111,[1]!Categories,2,FALSE)</f>
        <v>Seafood</v>
      </c>
      <c r="P111" s="6">
        <f>VLOOKUP(A111,[1]Order_Details!$A$1:$F$2156,3,FALSE)</f>
        <v>24.8</v>
      </c>
      <c r="Q111">
        <f>VLOOKUP(A111,[1]Order_Details!$A$1:$F$2156,4,FALSE)</f>
        <v>30</v>
      </c>
      <c r="R111">
        <f>VLOOKUP(A111,[1]Order_Details!$A$1:$F$2156,5,FALSE)</f>
        <v>0.20000000298023224</v>
      </c>
      <c r="S111" s="6">
        <f>VLOOKUP(A111,[1]Order_Details!$A$1:$F$2156,6,FALSE)</f>
        <v>595.19999778270721</v>
      </c>
      <c r="T111" s="6">
        <f>VLOOKUP(A111,[1]!Orders,8,FALSE)</f>
        <v>34.880000000000003</v>
      </c>
    </row>
    <row r="112" spans="1:20" x14ac:dyDescent="0.3">
      <c r="A112" s="2">
        <v>10358</v>
      </c>
      <c r="B112" s="2" t="s">
        <v>57</v>
      </c>
      <c r="C112" s="2">
        <v>5</v>
      </c>
      <c r="D112" s="3">
        <v>35389</v>
      </c>
      <c r="E112" t="str">
        <f>VLOOKUP(C112,[1]Employees!$A$1:$O$10,4,FALSE)</f>
        <v>Buchanan Steven</v>
      </c>
      <c r="F112">
        <f>VLOOKUP(A112,[1]!Orders,7,FALSE)</f>
        <v>1</v>
      </c>
      <c r="G112" t="str">
        <f>VLOOKUP(F112,[1]!Shippers,2,FALSE)</f>
        <v>Speedy Express</v>
      </c>
      <c r="H112" t="str">
        <f>VLOOKUP(C112,[1]EmployeeTerritories!$A$1:$B$50,2,FALSE)</f>
        <v>02903</v>
      </c>
      <c r="I112">
        <f>VLOOKUP(C112,[1]EmployeeTerritories!$A$1:$B$50,1,FALSE)</f>
        <v>5</v>
      </c>
      <c r="J112">
        <f>VLOOKUP(H112,[1]!Territories,3,FALSE)</f>
        <v>1</v>
      </c>
      <c r="K112" t="str">
        <f>VLOOKUP(J112,[1]!Region,2,FALSE)</f>
        <v>Eastern</v>
      </c>
      <c r="L112">
        <f>VLOOKUP(A112,[1]Order_Details!$A$1:$F$2156,2,FALSE)</f>
        <v>24</v>
      </c>
      <c r="M112" t="str">
        <f>VLOOKUP(L112,[1]!Products,2,FALSE)</f>
        <v>Guaraná Fantástica</v>
      </c>
      <c r="N112">
        <f>VLOOKUP(L112,[1]!Products,4,FALSE)</f>
        <v>1</v>
      </c>
      <c r="O112" s="6" t="str">
        <f>VLOOKUP(N112,[1]!Categories,2,FALSE)</f>
        <v>Beverages</v>
      </c>
      <c r="P112" s="6">
        <f>VLOOKUP(A112,[1]Order_Details!$A$1:$F$2156,3,FALSE)</f>
        <v>3.6</v>
      </c>
      <c r="Q112">
        <f>VLOOKUP(A112,[1]Order_Details!$A$1:$F$2156,4,FALSE)</f>
        <v>10</v>
      </c>
      <c r="R112">
        <f>VLOOKUP(A112,[1]Order_Details!$A$1:$F$2156,5,FALSE)</f>
        <v>5.000000074505806E-2</v>
      </c>
      <c r="S112" s="6">
        <f>VLOOKUP(A112,[1]Order_Details!$A$1:$F$2156,6,FALSE)</f>
        <v>34.19999997317791</v>
      </c>
      <c r="T112" s="6">
        <f>VLOOKUP(A112,[1]!Orders,8,FALSE)</f>
        <v>19.64</v>
      </c>
    </row>
    <row r="113" spans="1:20" x14ac:dyDescent="0.3">
      <c r="A113" s="2">
        <v>10359</v>
      </c>
      <c r="B113" s="2" t="s">
        <v>60</v>
      </c>
      <c r="C113" s="2">
        <v>5</v>
      </c>
      <c r="D113" s="3">
        <v>35390</v>
      </c>
      <c r="E113" t="str">
        <f>VLOOKUP(C113,[1]Employees!$A$1:$O$10,4,FALSE)</f>
        <v>Buchanan Steven</v>
      </c>
      <c r="F113">
        <f>VLOOKUP(A113,[1]!Orders,7,FALSE)</f>
        <v>3</v>
      </c>
      <c r="G113" t="str">
        <f>VLOOKUP(F113,[1]!Shippers,2,FALSE)</f>
        <v>Federal Shipping</v>
      </c>
      <c r="H113" t="str">
        <f>VLOOKUP(C113,[1]EmployeeTerritories!$A$1:$B$50,2,FALSE)</f>
        <v>02903</v>
      </c>
      <c r="I113">
        <f>VLOOKUP(C113,[1]EmployeeTerritories!$A$1:$B$50,1,FALSE)</f>
        <v>5</v>
      </c>
      <c r="J113">
        <f>VLOOKUP(H113,[1]!Territories,3,FALSE)</f>
        <v>1</v>
      </c>
      <c r="K113" t="str">
        <f>VLOOKUP(J113,[1]!Region,2,FALSE)</f>
        <v>Eastern</v>
      </c>
      <c r="L113">
        <f>VLOOKUP(A113,[1]Order_Details!$A$1:$F$2156,2,FALSE)</f>
        <v>16</v>
      </c>
      <c r="M113" t="str">
        <f>VLOOKUP(L113,[1]!Products,2,FALSE)</f>
        <v>Pavlova</v>
      </c>
      <c r="N113">
        <f>VLOOKUP(L113,[1]!Products,4,FALSE)</f>
        <v>3</v>
      </c>
      <c r="O113" s="6" t="str">
        <f>VLOOKUP(N113,[1]!Categories,2,FALSE)</f>
        <v>Confections</v>
      </c>
      <c r="P113" s="6">
        <f>VLOOKUP(A113,[1]Order_Details!$A$1:$F$2156,3,FALSE)</f>
        <v>13.9</v>
      </c>
      <c r="Q113">
        <f>VLOOKUP(A113,[1]Order_Details!$A$1:$F$2156,4,FALSE)</f>
        <v>56</v>
      </c>
      <c r="R113">
        <f>VLOOKUP(A113,[1]Order_Details!$A$1:$F$2156,5,FALSE)</f>
        <v>5.000000074505806E-2</v>
      </c>
      <c r="S113" s="6">
        <f>VLOOKUP(A113,[1]Order_Details!$A$1:$F$2156,6,FALSE)</f>
        <v>739.47999942004674</v>
      </c>
      <c r="T113" s="6">
        <f>VLOOKUP(A113,[1]!Orders,8,FALSE)</f>
        <v>288.43</v>
      </c>
    </row>
    <row r="114" spans="1:20" x14ac:dyDescent="0.3">
      <c r="A114" s="2">
        <v>10360</v>
      </c>
      <c r="B114" s="2" t="s">
        <v>19</v>
      </c>
      <c r="C114" s="2">
        <v>4</v>
      </c>
      <c r="D114" s="3">
        <v>35391</v>
      </c>
      <c r="E114" t="str">
        <f>VLOOKUP(C114,[1]Employees!$A$1:$O$10,4,FALSE)</f>
        <v>Peacock Margaret</v>
      </c>
      <c r="F114">
        <f>VLOOKUP(A114,[1]!Orders,7,FALSE)</f>
        <v>3</v>
      </c>
      <c r="G114" t="str">
        <f>VLOOKUP(F114,[1]!Shippers,2,FALSE)</f>
        <v>Federal Shipping</v>
      </c>
      <c r="H114" t="str">
        <f>VLOOKUP(C114,[1]EmployeeTerritories!$A$1:$B$50,2,FALSE)</f>
        <v>20852</v>
      </c>
      <c r="I114">
        <f>VLOOKUP(C114,[1]EmployeeTerritories!$A$1:$B$50,1,FALSE)</f>
        <v>4</v>
      </c>
      <c r="J114">
        <f>VLOOKUP(H114,[1]!Territories,3,FALSE)</f>
        <v>1</v>
      </c>
      <c r="K114" t="str">
        <f>VLOOKUP(J114,[1]!Region,2,FALSE)</f>
        <v>Eastern</v>
      </c>
      <c r="L114">
        <f>VLOOKUP(A114,[1]Order_Details!$A$1:$F$2156,2,FALSE)</f>
        <v>28</v>
      </c>
      <c r="M114" t="str">
        <f>VLOOKUP(L114,[1]!Products,2,FALSE)</f>
        <v>Rössle Sauerkraut</v>
      </c>
      <c r="N114">
        <f>VLOOKUP(L114,[1]!Products,4,FALSE)</f>
        <v>7</v>
      </c>
      <c r="O114" s="6" t="str">
        <f>VLOOKUP(N114,[1]!Categories,2,FALSE)</f>
        <v>Produce</v>
      </c>
      <c r="P114" s="6">
        <f>VLOOKUP(A114,[1]Order_Details!$A$1:$F$2156,3,FALSE)</f>
        <v>36.4</v>
      </c>
      <c r="Q114">
        <f>VLOOKUP(A114,[1]Order_Details!$A$1:$F$2156,4,FALSE)</f>
        <v>30</v>
      </c>
      <c r="R114">
        <f>VLOOKUP(A114,[1]Order_Details!$A$1:$F$2156,5,FALSE)</f>
        <v>0</v>
      </c>
      <c r="S114" s="6">
        <f>VLOOKUP(A114,[1]Order_Details!$A$1:$F$2156,6,FALSE)</f>
        <v>1092</v>
      </c>
      <c r="T114" s="6">
        <f>VLOOKUP(A114,[1]!Orders,8,FALSE)</f>
        <v>131.69999999999999</v>
      </c>
    </row>
    <row r="115" spans="1:20" x14ac:dyDescent="0.3">
      <c r="A115" s="2">
        <v>10361</v>
      </c>
      <c r="B115" s="2" t="s">
        <v>25</v>
      </c>
      <c r="C115" s="2">
        <v>1</v>
      </c>
      <c r="D115" s="3">
        <v>35391</v>
      </c>
      <c r="E115" t="str">
        <f>VLOOKUP(C115,[1]Employees!$A$1:$O$10,4,FALSE)</f>
        <v>Davolio Nancy</v>
      </c>
      <c r="F115">
        <f>VLOOKUP(A115,[1]!Orders,7,FALSE)</f>
        <v>2</v>
      </c>
      <c r="G115" t="str">
        <f>VLOOKUP(F115,[1]!Shippers,2,FALSE)</f>
        <v>United Package</v>
      </c>
      <c r="H115" t="str">
        <f>VLOOKUP(C115,[1]EmployeeTerritories!$A$1:$B$50,2,FALSE)</f>
        <v>06897</v>
      </c>
      <c r="I115">
        <f>VLOOKUP(C115,[1]EmployeeTerritories!$A$1:$B$50,1,FALSE)</f>
        <v>1</v>
      </c>
      <c r="J115">
        <f>VLOOKUP(H115,[1]!Territories,3,FALSE)</f>
        <v>1</v>
      </c>
      <c r="K115" t="str">
        <f>VLOOKUP(J115,[1]!Region,2,FALSE)</f>
        <v>Eastern</v>
      </c>
      <c r="L115">
        <f>VLOOKUP(A115,[1]Order_Details!$A$1:$F$2156,2,FALSE)</f>
        <v>39</v>
      </c>
      <c r="M115" t="str">
        <f>VLOOKUP(L115,[1]!Products,2,FALSE)</f>
        <v>Chartreuse verte</v>
      </c>
      <c r="N115">
        <f>VLOOKUP(L115,[1]!Products,4,FALSE)</f>
        <v>1</v>
      </c>
      <c r="O115" s="6" t="str">
        <f>VLOOKUP(N115,[1]!Categories,2,FALSE)</f>
        <v>Beverages</v>
      </c>
      <c r="P115" s="6">
        <f>VLOOKUP(A115,[1]Order_Details!$A$1:$F$2156,3,FALSE)</f>
        <v>14.4</v>
      </c>
      <c r="Q115">
        <f>VLOOKUP(A115,[1]Order_Details!$A$1:$F$2156,4,FALSE)</f>
        <v>54</v>
      </c>
      <c r="R115">
        <f>VLOOKUP(A115,[1]Order_Details!$A$1:$F$2156,5,FALSE)</f>
        <v>0.10000000149011612</v>
      </c>
      <c r="S115" s="6">
        <f>VLOOKUP(A115,[1]Order_Details!$A$1:$F$2156,6,FALSE)</f>
        <v>699.83999884128571</v>
      </c>
      <c r="T115" s="6">
        <f>VLOOKUP(A115,[1]!Orders,8,FALSE)</f>
        <v>183.17</v>
      </c>
    </row>
    <row r="116" spans="1:20" x14ac:dyDescent="0.3">
      <c r="A116" s="2">
        <v>10362</v>
      </c>
      <c r="B116" s="2" t="s">
        <v>52</v>
      </c>
      <c r="C116" s="2">
        <v>3</v>
      </c>
      <c r="D116" s="3">
        <v>35394</v>
      </c>
      <c r="E116" t="str">
        <f>VLOOKUP(C116,[1]Employees!$A$1:$O$10,4,FALSE)</f>
        <v>Leverling Janet</v>
      </c>
      <c r="F116">
        <f>VLOOKUP(A116,[1]!Orders,7,FALSE)</f>
        <v>1</v>
      </c>
      <c r="G116" t="str">
        <f>VLOOKUP(F116,[1]!Shippers,2,FALSE)</f>
        <v>Speedy Express</v>
      </c>
      <c r="H116" t="str">
        <f>VLOOKUP(C116,[1]EmployeeTerritories!$A$1:$B$50,2,FALSE)</f>
        <v>30346</v>
      </c>
      <c r="I116">
        <f>VLOOKUP(C116,[1]EmployeeTerritories!$A$1:$B$50,1,FALSE)</f>
        <v>3</v>
      </c>
      <c r="J116">
        <f>VLOOKUP(H116,[1]!Territories,3,FALSE)</f>
        <v>4</v>
      </c>
      <c r="K116" t="str">
        <f>VLOOKUP(J116,[1]!Region,2,FALSE)</f>
        <v>Southern</v>
      </c>
      <c r="L116">
        <f>VLOOKUP(A116,[1]Order_Details!$A$1:$F$2156,2,FALSE)</f>
        <v>25</v>
      </c>
      <c r="M116" t="str">
        <f>VLOOKUP(L116,[1]!Products,2,FALSE)</f>
        <v>NuNuCa Nuß-Nougat-Creme</v>
      </c>
      <c r="N116">
        <f>VLOOKUP(L116,[1]!Products,4,FALSE)</f>
        <v>3</v>
      </c>
      <c r="O116" s="6" t="str">
        <f>VLOOKUP(N116,[1]!Categories,2,FALSE)</f>
        <v>Confections</v>
      </c>
      <c r="P116" s="6">
        <f>VLOOKUP(A116,[1]Order_Details!$A$1:$F$2156,3,FALSE)</f>
        <v>11.2</v>
      </c>
      <c r="Q116">
        <f>VLOOKUP(A116,[1]Order_Details!$A$1:$F$2156,4,FALSE)</f>
        <v>50</v>
      </c>
      <c r="R116">
        <f>VLOOKUP(A116,[1]Order_Details!$A$1:$F$2156,5,FALSE)</f>
        <v>0</v>
      </c>
      <c r="S116" s="6">
        <f>VLOOKUP(A116,[1]Order_Details!$A$1:$F$2156,6,FALSE)</f>
        <v>560</v>
      </c>
      <c r="T116" s="6">
        <f>VLOOKUP(A116,[1]!Orders,8,FALSE)</f>
        <v>96.04</v>
      </c>
    </row>
    <row r="117" spans="1:20" x14ac:dyDescent="0.3">
      <c r="A117" s="2">
        <v>10363</v>
      </c>
      <c r="B117" s="2" t="s">
        <v>61</v>
      </c>
      <c r="C117" s="2">
        <v>4</v>
      </c>
      <c r="D117" s="3">
        <v>35395</v>
      </c>
      <c r="E117" t="str">
        <f>VLOOKUP(C117,[1]Employees!$A$1:$O$10,4,FALSE)</f>
        <v>Peacock Margaret</v>
      </c>
      <c r="F117">
        <f>VLOOKUP(A117,[1]!Orders,7,FALSE)</f>
        <v>3</v>
      </c>
      <c r="G117" t="str">
        <f>VLOOKUP(F117,[1]!Shippers,2,FALSE)</f>
        <v>Federal Shipping</v>
      </c>
      <c r="H117" t="str">
        <f>VLOOKUP(C117,[1]EmployeeTerritories!$A$1:$B$50,2,FALSE)</f>
        <v>20852</v>
      </c>
      <c r="I117">
        <f>VLOOKUP(C117,[1]EmployeeTerritories!$A$1:$B$50,1,FALSE)</f>
        <v>4</v>
      </c>
      <c r="J117">
        <f>VLOOKUP(H117,[1]!Territories,3,FALSE)</f>
        <v>1</v>
      </c>
      <c r="K117" t="str">
        <f>VLOOKUP(J117,[1]!Region,2,FALSE)</f>
        <v>Eastern</v>
      </c>
      <c r="L117">
        <f>VLOOKUP(A117,[1]Order_Details!$A$1:$F$2156,2,FALSE)</f>
        <v>31</v>
      </c>
      <c r="M117" t="str">
        <f>VLOOKUP(L117,[1]!Products,2,FALSE)</f>
        <v>Gorgonzola Telino</v>
      </c>
      <c r="N117">
        <f>VLOOKUP(L117,[1]!Products,4,FALSE)</f>
        <v>4</v>
      </c>
      <c r="O117" s="6" t="str">
        <f>VLOOKUP(N117,[1]!Categories,2,FALSE)</f>
        <v>Dairy Products</v>
      </c>
      <c r="P117" s="6">
        <f>VLOOKUP(A117,[1]Order_Details!$A$1:$F$2156,3,FALSE)</f>
        <v>10</v>
      </c>
      <c r="Q117">
        <f>VLOOKUP(A117,[1]Order_Details!$A$1:$F$2156,4,FALSE)</f>
        <v>20</v>
      </c>
      <c r="R117">
        <f>VLOOKUP(A117,[1]Order_Details!$A$1:$F$2156,5,FALSE)</f>
        <v>0</v>
      </c>
      <c r="S117" s="6">
        <f>VLOOKUP(A117,[1]Order_Details!$A$1:$F$2156,6,FALSE)</f>
        <v>200</v>
      </c>
      <c r="T117" s="6">
        <f>VLOOKUP(A117,[1]!Orders,8,FALSE)</f>
        <v>30.54</v>
      </c>
    </row>
    <row r="118" spans="1:20" x14ac:dyDescent="0.3">
      <c r="A118" s="2">
        <v>10364</v>
      </c>
      <c r="B118" s="2" t="s">
        <v>62</v>
      </c>
      <c r="C118" s="2">
        <v>1</v>
      </c>
      <c r="D118" s="3">
        <v>35395</v>
      </c>
      <c r="E118" t="str">
        <f>VLOOKUP(C118,[1]Employees!$A$1:$O$10,4,FALSE)</f>
        <v>Davolio Nancy</v>
      </c>
      <c r="F118">
        <f>VLOOKUP(A118,[1]!Orders,7,FALSE)</f>
        <v>1</v>
      </c>
      <c r="G118" t="str">
        <f>VLOOKUP(F118,[1]!Shippers,2,FALSE)</f>
        <v>Speedy Express</v>
      </c>
      <c r="H118" t="str">
        <f>VLOOKUP(C118,[1]EmployeeTerritories!$A$1:$B$50,2,FALSE)</f>
        <v>06897</v>
      </c>
      <c r="I118">
        <f>VLOOKUP(C118,[1]EmployeeTerritories!$A$1:$B$50,1,FALSE)</f>
        <v>1</v>
      </c>
      <c r="J118">
        <f>VLOOKUP(H118,[1]!Territories,3,FALSE)</f>
        <v>1</v>
      </c>
      <c r="K118" t="str">
        <f>VLOOKUP(J118,[1]!Region,2,FALSE)</f>
        <v>Eastern</v>
      </c>
      <c r="L118">
        <f>VLOOKUP(A118,[1]Order_Details!$A$1:$F$2156,2,FALSE)</f>
        <v>69</v>
      </c>
      <c r="M118" t="str">
        <f>VLOOKUP(L118,[1]!Products,2,FALSE)</f>
        <v>Gudbrandsdalsost</v>
      </c>
      <c r="N118">
        <f>VLOOKUP(L118,[1]!Products,4,FALSE)</f>
        <v>4</v>
      </c>
      <c r="O118" s="6" t="str">
        <f>VLOOKUP(N118,[1]!Categories,2,FALSE)</f>
        <v>Dairy Products</v>
      </c>
      <c r="P118" s="6">
        <f>VLOOKUP(A118,[1]Order_Details!$A$1:$F$2156,3,FALSE)</f>
        <v>28.8</v>
      </c>
      <c r="Q118">
        <f>VLOOKUP(A118,[1]Order_Details!$A$1:$F$2156,4,FALSE)</f>
        <v>30</v>
      </c>
      <c r="R118">
        <f>VLOOKUP(A118,[1]Order_Details!$A$1:$F$2156,5,FALSE)</f>
        <v>0</v>
      </c>
      <c r="S118" s="6">
        <f>VLOOKUP(A118,[1]Order_Details!$A$1:$F$2156,6,FALSE)</f>
        <v>864</v>
      </c>
      <c r="T118" s="6">
        <f>VLOOKUP(A118,[1]!Orders,8,FALSE)</f>
        <v>71.97</v>
      </c>
    </row>
    <row r="119" spans="1:20" x14ac:dyDescent="0.3">
      <c r="A119" s="2">
        <v>10365</v>
      </c>
      <c r="B119" s="2" t="s">
        <v>63</v>
      </c>
      <c r="C119" s="2">
        <v>3</v>
      </c>
      <c r="D119" s="3">
        <v>35396</v>
      </c>
      <c r="E119" t="str">
        <f>VLOOKUP(C119,[1]Employees!$A$1:$O$10,4,FALSE)</f>
        <v>Leverling Janet</v>
      </c>
      <c r="F119">
        <f>VLOOKUP(A119,[1]!Orders,7,FALSE)</f>
        <v>2</v>
      </c>
      <c r="G119" t="str">
        <f>VLOOKUP(F119,[1]!Shippers,2,FALSE)</f>
        <v>United Package</v>
      </c>
      <c r="H119" t="str">
        <f>VLOOKUP(C119,[1]EmployeeTerritories!$A$1:$B$50,2,FALSE)</f>
        <v>30346</v>
      </c>
      <c r="I119">
        <f>VLOOKUP(C119,[1]EmployeeTerritories!$A$1:$B$50,1,FALSE)</f>
        <v>3</v>
      </c>
      <c r="J119">
        <f>VLOOKUP(H119,[1]!Territories,3,FALSE)</f>
        <v>4</v>
      </c>
      <c r="K119" t="str">
        <f>VLOOKUP(J119,[1]!Region,2,FALSE)</f>
        <v>Southern</v>
      </c>
      <c r="L119">
        <f>VLOOKUP(A119,[1]Order_Details!$A$1:$F$2156,2,FALSE)</f>
        <v>11</v>
      </c>
      <c r="M119" t="str">
        <f>VLOOKUP(L119,[1]!Products,2,FALSE)</f>
        <v>Queso Cabrales</v>
      </c>
      <c r="N119">
        <f>VLOOKUP(L119,[1]!Products,4,FALSE)</f>
        <v>4</v>
      </c>
      <c r="O119" s="6" t="str">
        <f>VLOOKUP(N119,[1]!Categories,2,FALSE)</f>
        <v>Dairy Products</v>
      </c>
      <c r="P119" s="6">
        <f>VLOOKUP(A119,[1]Order_Details!$A$1:$F$2156,3,FALSE)</f>
        <v>16.8</v>
      </c>
      <c r="Q119">
        <f>VLOOKUP(A119,[1]Order_Details!$A$1:$F$2156,4,FALSE)</f>
        <v>24</v>
      </c>
      <c r="R119">
        <f>VLOOKUP(A119,[1]Order_Details!$A$1:$F$2156,5,FALSE)</f>
        <v>0</v>
      </c>
      <c r="S119" s="6">
        <f>VLOOKUP(A119,[1]Order_Details!$A$1:$F$2156,6,FALSE)</f>
        <v>403.20000000000005</v>
      </c>
      <c r="T119" s="6">
        <f>VLOOKUP(A119,[1]!Orders,8,FALSE)</f>
        <v>22</v>
      </c>
    </row>
    <row r="120" spans="1:20" x14ac:dyDescent="0.3">
      <c r="A120" s="2">
        <v>10366</v>
      </c>
      <c r="B120" s="2" t="s">
        <v>64</v>
      </c>
      <c r="C120" s="2">
        <v>8</v>
      </c>
      <c r="D120" s="3">
        <v>35397</v>
      </c>
      <c r="E120" t="str">
        <f>VLOOKUP(C120,[1]Employees!$A$1:$O$10,4,FALSE)</f>
        <v>Callahan Laura</v>
      </c>
      <c r="F120">
        <f>VLOOKUP(A120,[1]!Orders,7,FALSE)</f>
        <v>2</v>
      </c>
      <c r="G120" t="str">
        <f>VLOOKUP(F120,[1]!Shippers,2,FALSE)</f>
        <v>United Package</v>
      </c>
      <c r="H120" t="str">
        <f>VLOOKUP(C120,[1]EmployeeTerritories!$A$1:$B$50,2,FALSE)</f>
        <v>19428</v>
      </c>
      <c r="I120">
        <f>VLOOKUP(C120,[1]EmployeeTerritories!$A$1:$B$50,1,FALSE)</f>
        <v>8</v>
      </c>
      <c r="J120">
        <f>VLOOKUP(H120,[1]!Territories,3,FALSE)</f>
        <v>3</v>
      </c>
      <c r="K120" t="str">
        <f>VLOOKUP(J120,[1]!Region,2,FALSE)</f>
        <v>Northern</v>
      </c>
      <c r="L120">
        <f>VLOOKUP(A120,[1]Order_Details!$A$1:$F$2156,2,FALSE)</f>
        <v>65</v>
      </c>
      <c r="M120" t="str">
        <f>VLOOKUP(L120,[1]!Products,2,FALSE)</f>
        <v>Louisiana Fiery Hot Pepper Sauce</v>
      </c>
      <c r="N120">
        <f>VLOOKUP(L120,[1]!Products,4,FALSE)</f>
        <v>2</v>
      </c>
      <c r="O120" s="6" t="str">
        <f>VLOOKUP(N120,[1]!Categories,2,FALSE)</f>
        <v>Condiments</v>
      </c>
      <c r="P120" s="6">
        <f>VLOOKUP(A120,[1]Order_Details!$A$1:$F$2156,3,FALSE)</f>
        <v>16.8</v>
      </c>
      <c r="Q120">
        <f>VLOOKUP(A120,[1]Order_Details!$A$1:$F$2156,4,FALSE)</f>
        <v>5</v>
      </c>
      <c r="R120">
        <f>VLOOKUP(A120,[1]Order_Details!$A$1:$F$2156,5,FALSE)</f>
        <v>0</v>
      </c>
      <c r="S120" s="6">
        <f>VLOOKUP(A120,[1]Order_Details!$A$1:$F$2156,6,FALSE)</f>
        <v>84</v>
      </c>
      <c r="T120" s="6">
        <f>VLOOKUP(A120,[1]!Orders,8,FALSE)</f>
        <v>10.14</v>
      </c>
    </row>
    <row r="121" spans="1:20" x14ac:dyDescent="0.3">
      <c r="A121" s="2">
        <v>10367</v>
      </c>
      <c r="B121" s="2" t="s">
        <v>65</v>
      </c>
      <c r="C121" s="2">
        <v>7</v>
      </c>
      <c r="D121" s="3">
        <v>35397</v>
      </c>
      <c r="E121" t="str">
        <f>VLOOKUP(C121,[1]Employees!$A$1:$O$10,4,FALSE)</f>
        <v>King Robert</v>
      </c>
      <c r="F121">
        <f>VLOOKUP(A121,[1]!Orders,7,FALSE)</f>
        <v>3</v>
      </c>
      <c r="G121" t="str">
        <f>VLOOKUP(F121,[1]!Shippers,2,FALSE)</f>
        <v>Federal Shipping</v>
      </c>
      <c r="H121" t="str">
        <f>VLOOKUP(C121,[1]EmployeeTerritories!$A$1:$B$50,2,FALSE)</f>
        <v>60179</v>
      </c>
      <c r="I121">
        <f>VLOOKUP(C121,[1]EmployeeTerritories!$A$1:$B$50,1,FALSE)</f>
        <v>7</v>
      </c>
      <c r="J121">
        <f>VLOOKUP(H121,[1]!Territories,3,FALSE)</f>
        <v>2</v>
      </c>
      <c r="K121" t="str">
        <f>VLOOKUP(J121,[1]!Region,2,FALSE)</f>
        <v>Western</v>
      </c>
      <c r="L121">
        <f>VLOOKUP(A121,[1]Order_Details!$A$1:$F$2156,2,FALSE)</f>
        <v>34</v>
      </c>
      <c r="M121" t="str">
        <f>VLOOKUP(L121,[1]!Products,2,FALSE)</f>
        <v>Sasquatch Ale</v>
      </c>
      <c r="N121">
        <f>VLOOKUP(L121,[1]!Products,4,FALSE)</f>
        <v>1</v>
      </c>
      <c r="O121" s="6" t="str">
        <f>VLOOKUP(N121,[1]!Categories,2,FALSE)</f>
        <v>Beverages</v>
      </c>
      <c r="P121" s="6">
        <f>VLOOKUP(A121,[1]Order_Details!$A$1:$F$2156,3,FALSE)</f>
        <v>11.2</v>
      </c>
      <c r="Q121">
        <f>VLOOKUP(A121,[1]Order_Details!$A$1:$F$2156,4,FALSE)</f>
        <v>36</v>
      </c>
      <c r="R121">
        <f>VLOOKUP(A121,[1]Order_Details!$A$1:$F$2156,5,FALSE)</f>
        <v>0</v>
      </c>
      <c r="S121" s="6">
        <f>VLOOKUP(A121,[1]Order_Details!$A$1:$F$2156,6,FALSE)</f>
        <v>403.2</v>
      </c>
      <c r="T121" s="6">
        <f>VLOOKUP(A121,[1]!Orders,8,FALSE)</f>
        <v>13.55</v>
      </c>
    </row>
    <row r="122" spans="1:20" x14ac:dyDescent="0.3">
      <c r="A122" s="2">
        <v>10368</v>
      </c>
      <c r="B122" s="2" t="s">
        <v>13</v>
      </c>
      <c r="C122" s="2">
        <v>2</v>
      </c>
      <c r="D122" s="3">
        <v>35398</v>
      </c>
      <c r="E122" t="str">
        <f>VLOOKUP(C122,[1]Employees!$A$1:$O$10,4,FALSE)</f>
        <v>Fuller Andrew</v>
      </c>
      <c r="F122">
        <f>VLOOKUP(A122,[1]!Orders,7,FALSE)</f>
        <v>2</v>
      </c>
      <c r="G122" t="str">
        <f>VLOOKUP(F122,[1]!Shippers,2,FALSE)</f>
        <v>United Package</v>
      </c>
      <c r="H122" t="str">
        <f>VLOOKUP(C122,[1]EmployeeTerritories!$A$1:$B$50,2,FALSE)</f>
        <v>01581</v>
      </c>
      <c r="I122">
        <f>VLOOKUP(C122,[1]EmployeeTerritories!$A$1:$B$50,1,FALSE)</f>
        <v>2</v>
      </c>
      <c r="J122">
        <f>VLOOKUP(H122,[1]!Territories,3,FALSE)</f>
        <v>1</v>
      </c>
      <c r="K122" t="str">
        <f>VLOOKUP(J122,[1]!Region,2,FALSE)</f>
        <v>Eastern</v>
      </c>
      <c r="L122">
        <f>VLOOKUP(A122,[1]Order_Details!$A$1:$F$2156,2,FALSE)</f>
        <v>21</v>
      </c>
      <c r="M122" t="str">
        <f>VLOOKUP(L122,[1]!Products,2,FALSE)</f>
        <v>Sir Rodney's Scones</v>
      </c>
      <c r="N122">
        <f>VLOOKUP(L122,[1]!Products,4,FALSE)</f>
        <v>3</v>
      </c>
      <c r="O122" s="6" t="str">
        <f>VLOOKUP(N122,[1]!Categories,2,FALSE)</f>
        <v>Confections</v>
      </c>
      <c r="P122" s="6">
        <f>VLOOKUP(A122,[1]Order_Details!$A$1:$F$2156,3,FALSE)</f>
        <v>8</v>
      </c>
      <c r="Q122">
        <f>VLOOKUP(A122,[1]Order_Details!$A$1:$F$2156,4,FALSE)</f>
        <v>5</v>
      </c>
      <c r="R122">
        <f>VLOOKUP(A122,[1]Order_Details!$A$1:$F$2156,5,FALSE)</f>
        <v>0.10000000149011612</v>
      </c>
      <c r="S122" s="6">
        <f>VLOOKUP(A122,[1]Order_Details!$A$1:$F$2156,6,FALSE)</f>
        <v>35.999999940395355</v>
      </c>
      <c r="T122" s="6">
        <f>VLOOKUP(A122,[1]!Orders,8,FALSE)</f>
        <v>101.95</v>
      </c>
    </row>
    <row r="123" spans="1:20" x14ac:dyDescent="0.3">
      <c r="A123" s="2">
        <v>10369</v>
      </c>
      <c r="B123" s="2" t="s">
        <v>24</v>
      </c>
      <c r="C123" s="2">
        <v>8</v>
      </c>
      <c r="D123" s="3">
        <v>35401</v>
      </c>
      <c r="E123" t="str">
        <f>VLOOKUP(C123,[1]Employees!$A$1:$O$10,4,FALSE)</f>
        <v>Callahan Laura</v>
      </c>
      <c r="F123">
        <f>VLOOKUP(A123,[1]!Orders,7,FALSE)</f>
        <v>2</v>
      </c>
      <c r="G123" t="str">
        <f>VLOOKUP(F123,[1]!Shippers,2,FALSE)</f>
        <v>United Package</v>
      </c>
      <c r="H123" t="str">
        <f>VLOOKUP(C123,[1]EmployeeTerritories!$A$1:$B$50,2,FALSE)</f>
        <v>19428</v>
      </c>
      <c r="I123">
        <f>VLOOKUP(C123,[1]EmployeeTerritories!$A$1:$B$50,1,FALSE)</f>
        <v>8</v>
      </c>
      <c r="J123">
        <f>VLOOKUP(H123,[1]!Territories,3,FALSE)</f>
        <v>3</v>
      </c>
      <c r="K123" t="str">
        <f>VLOOKUP(J123,[1]!Region,2,FALSE)</f>
        <v>Northern</v>
      </c>
      <c r="L123">
        <f>VLOOKUP(A123,[1]Order_Details!$A$1:$F$2156,2,FALSE)</f>
        <v>29</v>
      </c>
      <c r="M123" t="str">
        <f>VLOOKUP(L123,[1]!Products,2,FALSE)</f>
        <v>Thüringer Rostbratwurst</v>
      </c>
      <c r="N123">
        <f>VLOOKUP(L123,[1]!Products,4,FALSE)</f>
        <v>6</v>
      </c>
      <c r="O123" s="6" t="str">
        <f>VLOOKUP(N123,[1]!Categories,2,FALSE)</f>
        <v>Meat/Poultry</v>
      </c>
      <c r="P123" s="6">
        <f>VLOOKUP(A123,[1]Order_Details!$A$1:$F$2156,3,FALSE)</f>
        <v>99</v>
      </c>
      <c r="Q123">
        <f>VLOOKUP(A123,[1]Order_Details!$A$1:$F$2156,4,FALSE)</f>
        <v>20</v>
      </c>
      <c r="R123">
        <f>VLOOKUP(A123,[1]Order_Details!$A$1:$F$2156,5,FALSE)</f>
        <v>0</v>
      </c>
      <c r="S123" s="6">
        <f>VLOOKUP(A123,[1]Order_Details!$A$1:$F$2156,6,FALSE)</f>
        <v>1980</v>
      </c>
      <c r="T123" s="6">
        <f>VLOOKUP(A123,[1]!Orders,8,FALSE)</f>
        <v>195.68</v>
      </c>
    </row>
    <row r="124" spans="1:20" x14ac:dyDescent="0.3">
      <c r="A124" s="2">
        <v>10370</v>
      </c>
      <c r="B124" s="2" t="s">
        <v>9</v>
      </c>
      <c r="C124" s="2">
        <v>6</v>
      </c>
      <c r="D124" s="3">
        <v>35402</v>
      </c>
      <c r="E124" t="str">
        <f>VLOOKUP(C124,[1]Employees!$A$1:$O$10,4,FALSE)</f>
        <v>Suyama Michael</v>
      </c>
      <c r="F124">
        <f>VLOOKUP(A124,[1]!Orders,7,FALSE)</f>
        <v>2</v>
      </c>
      <c r="G124" t="str">
        <f>VLOOKUP(F124,[1]!Shippers,2,FALSE)</f>
        <v>United Package</v>
      </c>
      <c r="H124" t="str">
        <f>VLOOKUP(C124,[1]EmployeeTerritories!$A$1:$B$50,2,FALSE)</f>
        <v>85014</v>
      </c>
      <c r="I124">
        <f>VLOOKUP(C124,[1]EmployeeTerritories!$A$1:$B$50,1,FALSE)</f>
        <v>6</v>
      </c>
      <c r="J124">
        <f>VLOOKUP(H124,[1]!Territories,3,FALSE)</f>
        <v>2</v>
      </c>
      <c r="K124" t="str">
        <f>VLOOKUP(J124,[1]!Region,2,FALSE)</f>
        <v>Western</v>
      </c>
      <c r="L124">
        <f>VLOOKUP(A124,[1]Order_Details!$A$1:$F$2156,2,FALSE)</f>
        <v>1</v>
      </c>
      <c r="M124" t="str">
        <f>VLOOKUP(L124,[1]!Products,2,FALSE)</f>
        <v>Chai</v>
      </c>
      <c r="N124">
        <f>VLOOKUP(L124,[1]!Products,4,FALSE)</f>
        <v>1</v>
      </c>
      <c r="O124" s="6" t="str">
        <f>VLOOKUP(N124,[1]!Categories,2,FALSE)</f>
        <v>Beverages</v>
      </c>
      <c r="P124" s="6">
        <f>VLOOKUP(A124,[1]Order_Details!$A$1:$F$2156,3,FALSE)</f>
        <v>14.4</v>
      </c>
      <c r="Q124">
        <f>VLOOKUP(A124,[1]Order_Details!$A$1:$F$2156,4,FALSE)</f>
        <v>15</v>
      </c>
      <c r="R124">
        <f>VLOOKUP(A124,[1]Order_Details!$A$1:$F$2156,5,FALSE)</f>
        <v>0.15000000596046448</v>
      </c>
      <c r="S124" s="6">
        <f>VLOOKUP(A124,[1]Order_Details!$A$1:$F$2156,6,FALSE)</f>
        <v>183.59999871253967</v>
      </c>
      <c r="T124" s="6">
        <f>VLOOKUP(A124,[1]!Orders,8,FALSE)</f>
        <v>1.17</v>
      </c>
    </row>
    <row r="125" spans="1:20" x14ac:dyDescent="0.3">
      <c r="A125" s="2">
        <v>10371</v>
      </c>
      <c r="B125" s="2" t="s">
        <v>57</v>
      </c>
      <c r="C125" s="2">
        <v>1</v>
      </c>
      <c r="D125" s="3">
        <v>35402</v>
      </c>
      <c r="E125" t="str">
        <f>VLOOKUP(C125,[1]Employees!$A$1:$O$10,4,FALSE)</f>
        <v>Davolio Nancy</v>
      </c>
      <c r="F125">
        <f>VLOOKUP(A125,[1]!Orders,7,FALSE)</f>
        <v>1</v>
      </c>
      <c r="G125" t="str">
        <f>VLOOKUP(F125,[1]!Shippers,2,FALSE)</f>
        <v>Speedy Express</v>
      </c>
      <c r="H125" t="str">
        <f>VLOOKUP(C125,[1]EmployeeTerritories!$A$1:$B$50,2,FALSE)</f>
        <v>06897</v>
      </c>
      <c r="I125">
        <f>VLOOKUP(C125,[1]EmployeeTerritories!$A$1:$B$50,1,FALSE)</f>
        <v>1</v>
      </c>
      <c r="J125">
        <f>VLOOKUP(H125,[1]!Territories,3,FALSE)</f>
        <v>1</v>
      </c>
      <c r="K125" t="str">
        <f>VLOOKUP(J125,[1]!Region,2,FALSE)</f>
        <v>Eastern</v>
      </c>
      <c r="L125">
        <f>VLOOKUP(A125,[1]Order_Details!$A$1:$F$2156,2,FALSE)</f>
        <v>36</v>
      </c>
      <c r="M125" t="str">
        <f>VLOOKUP(L125,[1]!Products,2,FALSE)</f>
        <v>Inlagd Sill</v>
      </c>
      <c r="N125">
        <f>VLOOKUP(L125,[1]!Products,4,FALSE)</f>
        <v>8</v>
      </c>
      <c r="O125" s="6" t="str">
        <f>VLOOKUP(N125,[1]!Categories,2,FALSE)</f>
        <v>Seafood</v>
      </c>
      <c r="P125" s="6">
        <f>VLOOKUP(A125,[1]Order_Details!$A$1:$F$2156,3,FALSE)</f>
        <v>15.2</v>
      </c>
      <c r="Q125">
        <f>VLOOKUP(A125,[1]Order_Details!$A$1:$F$2156,4,FALSE)</f>
        <v>6</v>
      </c>
      <c r="R125">
        <f>VLOOKUP(A125,[1]Order_Details!$A$1:$F$2156,5,FALSE)</f>
        <v>0.20000000298023224</v>
      </c>
      <c r="S125" s="6">
        <f>VLOOKUP(A125,[1]Order_Details!$A$1:$F$2156,6,FALSE)</f>
        <v>72.959999728202817</v>
      </c>
      <c r="T125" s="6">
        <f>VLOOKUP(A125,[1]!Orders,8,FALSE)</f>
        <v>0.45</v>
      </c>
    </row>
    <row r="126" spans="1:20" x14ac:dyDescent="0.3">
      <c r="A126" s="2">
        <v>10372</v>
      </c>
      <c r="B126" s="2" t="s">
        <v>66</v>
      </c>
      <c r="C126" s="2">
        <v>5</v>
      </c>
      <c r="D126" s="3">
        <v>35403</v>
      </c>
      <c r="E126" t="str">
        <f>VLOOKUP(C126,[1]Employees!$A$1:$O$10,4,FALSE)</f>
        <v>Buchanan Steven</v>
      </c>
      <c r="F126">
        <f>VLOOKUP(A126,[1]!Orders,7,FALSE)</f>
        <v>2</v>
      </c>
      <c r="G126" t="str">
        <f>VLOOKUP(F126,[1]!Shippers,2,FALSE)</f>
        <v>United Package</v>
      </c>
      <c r="H126" t="str">
        <f>VLOOKUP(C126,[1]EmployeeTerritories!$A$1:$B$50,2,FALSE)</f>
        <v>02903</v>
      </c>
      <c r="I126">
        <f>VLOOKUP(C126,[1]EmployeeTerritories!$A$1:$B$50,1,FALSE)</f>
        <v>5</v>
      </c>
      <c r="J126">
        <f>VLOOKUP(H126,[1]!Territories,3,FALSE)</f>
        <v>1</v>
      </c>
      <c r="K126" t="str">
        <f>VLOOKUP(J126,[1]!Region,2,FALSE)</f>
        <v>Eastern</v>
      </c>
      <c r="L126">
        <f>VLOOKUP(A126,[1]Order_Details!$A$1:$F$2156,2,FALSE)</f>
        <v>20</v>
      </c>
      <c r="M126" t="str">
        <f>VLOOKUP(L126,[1]!Products,2,FALSE)</f>
        <v>Sir Rodney's Marmalade</v>
      </c>
      <c r="N126">
        <f>VLOOKUP(L126,[1]!Products,4,FALSE)</f>
        <v>3</v>
      </c>
      <c r="O126" s="6" t="str">
        <f>VLOOKUP(N126,[1]!Categories,2,FALSE)</f>
        <v>Confections</v>
      </c>
      <c r="P126" s="6">
        <f>VLOOKUP(A126,[1]Order_Details!$A$1:$F$2156,3,FALSE)</f>
        <v>64.8</v>
      </c>
      <c r="Q126">
        <f>VLOOKUP(A126,[1]Order_Details!$A$1:$F$2156,4,FALSE)</f>
        <v>12</v>
      </c>
      <c r="R126">
        <f>VLOOKUP(A126,[1]Order_Details!$A$1:$F$2156,5,FALSE)</f>
        <v>0.25</v>
      </c>
      <c r="S126" s="6">
        <f>VLOOKUP(A126,[1]Order_Details!$A$1:$F$2156,6,FALSE)</f>
        <v>583.19999999999993</v>
      </c>
      <c r="T126" s="6">
        <f>VLOOKUP(A126,[1]!Orders,8,FALSE)</f>
        <v>890.78</v>
      </c>
    </row>
    <row r="127" spans="1:20" x14ac:dyDescent="0.3">
      <c r="A127" s="2">
        <v>10373</v>
      </c>
      <c r="B127" s="2" t="s">
        <v>38</v>
      </c>
      <c r="C127" s="2">
        <v>4</v>
      </c>
      <c r="D127" s="3">
        <v>35404</v>
      </c>
      <c r="E127" t="str">
        <f>VLOOKUP(C127,[1]Employees!$A$1:$O$10,4,FALSE)</f>
        <v>Peacock Margaret</v>
      </c>
      <c r="F127">
        <f>VLOOKUP(A127,[1]!Orders,7,FALSE)</f>
        <v>3</v>
      </c>
      <c r="G127" t="str">
        <f>VLOOKUP(F127,[1]!Shippers,2,FALSE)</f>
        <v>Federal Shipping</v>
      </c>
      <c r="H127" t="str">
        <f>VLOOKUP(C127,[1]EmployeeTerritories!$A$1:$B$50,2,FALSE)</f>
        <v>20852</v>
      </c>
      <c r="I127">
        <f>VLOOKUP(C127,[1]EmployeeTerritories!$A$1:$B$50,1,FALSE)</f>
        <v>4</v>
      </c>
      <c r="J127">
        <f>VLOOKUP(H127,[1]!Territories,3,FALSE)</f>
        <v>1</v>
      </c>
      <c r="K127" t="str">
        <f>VLOOKUP(J127,[1]!Region,2,FALSE)</f>
        <v>Eastern</v>
      </c>
      <c r="L127">
        <f>VLOOKUP(A127,[1]Order_Details!$A$1:$F$2156,2,FALSE)</f>
        <v>58</v>
      </c>
      <c r="M127" t="str">
        <f>VLOOKUP(L127,[1]!Products,2,FALSE)</f>
        <v>Escargots de Bourgogne</v>
      </c>
      <c r="N127">
        <f>VLOOKUP(L127,[1]!Products,4,FALSE)</f>
        <v>8</v>
      </c>
      <c r="O127" s="6" t="str">
        <f>VLOOKUP(N127,[1]!Categories,2,FALSE)</f>
        <v>Seafood</v>
      </c>
      <c r="P127" s="6">
        <f>VLOOKUP(A127,[1]Order_Details!$A$1:$F$2156,3,FALSE)</f>
        <v>10.6</v>
      </c>
      <c r="Q127">
        <f>VLOOKUP(A127,[1]Order_Details!$A$1:$F$2156,4,FALSE)</f>
        <v>80</v>
      </c>
      <c r="R127">
        <f>VLOOKUP(A127,[1]Order_Details!$A$1:$F$2156,5,FALSE)</f>
        <v>0.20000000298023224</v>
      </c>
      <c r="S127" s="6">
        <f>VLOOKUP(A127,[1]Order_Details!$A$1:$F$2156,6,FALSE)</f>
        <v>678.39999747276306</v>
      </c>
      <c r="T127" s="6">
        <f>VLOOKUP(A127,[1]!Orders,8,FALSE)</f>
        <v>124.12</v>
      </c>
    </row>
    <row r="128" spans="1:20" x14ac:dyDescent="0.3">
      <c r="A128" s="2">
        <v>10374</v>
      </c>
      <c r="B128" s="2" t="s">
        <v>67</v>
      </c>
      <c r="C128" s="2">
        <v>1</v>
      </c>
      <c r="D128" s="3">
        <v>35404</v>
      </c>
      <c r="E128" t="str">
        <f>VLOOKUP(C128,[1]Employees!$A$1:$O$10,4,FALSE)</f>
        <v>Davolio Nancy</v>
      </c>
      <c r="F128">
        <f>VLOOKUP(A128,[1]!Orders,7,FALSE)</f>
        <v>3</v>
      </c>
      <c r="G128" t="str">
        <f>VLOOKUP(F128,[1]!Shippers,2,FALSE)</f>
        <v>Federal Shipping</v>
      </c>
      <c r="H128" t="str">
        <f>VLOOKUP(C128,[1]EmployeeTerritories!$A$1:$B$50,2,FALSE)</f>
        <v>06897</v>
      </c>
      <c r="I128">
        <f>VLOOKUP(C128,[1]EmployeeTerritories!$A$1:$B$50,1,FALSE)</f>
        <v>1</v>
      </c>
      <c r="J128">
        <f>VLOOKUP(H128,[1]!Territories,3,FALSE)</f>
        <v>1</v>
      </c>
      <c r="K128" t="str">
        <f>VLOOKUP(J128,[1]!Region,2,FALSE)</f>
        <v>Eastern</v>
      </c>
      <c r="L128">
        <f>VLOOKUP(A128,[1]Order_Details!$A$1:$F$2156,2,FALSE)</f>
        <v>31</v>
      </c>
      <c r="M128" t="str">
        <f>VLOOKUP(L128,[1]!Products,2,FALSE)</f>
        <v>Gorgonzola Telino</v>
      </c>
      <c r="N128">
        <f>VLOOKUP(L128,[1]!Products,4,FALSE)</f>
        <v>4</v>
      </c>
      <c r="O128" s="6" t="str">
        <f>VLOOKUP(N128,[1]!Categories,2,FALSE)</f>
        <v>Dairy Products</v>
      </c>
      <c r="P128" s="6">
        <f>VLOOKUP(A128,[1]Order_Details!$A$1:$F$2156,3,FALSE)</f>
        <v>10</v>
      </c>
      <c r="Q128">
        <f>VLOOKUP(A128,[1]Order_Details!$A$1:$F$2156,4,FALSE)</f>
        <v>30</v>
      </c>
      <c r="R128">
        <f>VLOOKUP(A128,[1]Order_Details!$A$1:$F$2156,5,FALSE)</f>
        <v>0</v>
      </c>
      <c r="S128" s="6">
        <f>VLOOKUP(A128,[1]Order_Details!$A$1:$F$2156,6,FALSE)</f>
        <v>300</v>
      </c>
      <c r="T128" s="6">
        <f>VLOOKUP(A128,[1]!Orders,8,FALSE)</f>
        <v>3.94</v>
      </c>
    </row>
    <row r="129" spans="1:20" x14ac:dyDescent="0.3">
      <c r="A129" s="2">
        <v>10375</v>
      </c>
      <c r="B129" s="2" t="s">
        <v>68</v>
      </c>
      <c r="C129" s="2">
        <v>3</v>
      </c>
      <c r="D129" s="3">
        <v>35405</v>
      </c>
      <c r="E129" t="str">
        <f>VLOOKUP(C129,[1]Employees!$A$1:$O$10,4,FALSE)</f>
        <v>Leverling Janet</v>
      </c>
      <c r="F129">
        <f>VLOOKUP(A129,[1]!Orders,7,FALSE)</f>
        <v>2</v>
      </c>
      <c r="G129" t="str">
        <f>VLOOKUP(F129,[1]!Shippers,2,FALSE)</f>
        <v>United Package</v>
      </c>
      <c r="H129" t="str">
        <f>VLOOKUP(C129,[1]EmployeeTerritories!$A$1:$B$50,2,FALSE)</f>
        <v>30346</v>
      </c>
      <c r="I129">
        <f>VLOOKUP(C129,[1]EmployeeTerritories!$A$1:$B$50,1,FALSE)</f>
        <v>3</v>
      </c>
      <c r="J129">
        <f>VLOOKUP(H129,[1]!Territories,3,FALSE)</f>
        <v>4</v>
      </c>
      <c r="K129" t="str">
        <f>VLOOKUP(J129,[1]!Region,2,FALSE)</f>
        <v>Southern</v>
      </c>
      <c r="L129">
        <f>VLOOKUP(A129,[1]Order_Details!$A$1:$F$2156,2,FALSE)</f>
        <v>14</v>
      </c>
      <c r="M129" t="str">
        <f>VLOOKUP(L129,[1]!Products,2,FALSE)</f>
        <v>Tofu</v>
      </c>
      <c r="N129">
        <f>VLOOKUP(L129,[1]!Products,4,FALSE)</f>
        <v>7</v>
      </c>
      <c r="O129" s="6" t="str">
        <f>VLOOKUP(N129,[1]!Categories,2,FALSE)</f>
        <v>Produce</v>
      </c>
      <c r="P129" s="6">
        <f>VLOOKUP(A129,[1]Order_Details!$A$1:$F$2156,3,FALSE)</f>
        <v>18.600000000000001</v>
      </c>
      <c r="Q129">
        <f>VLOOKUP(A129,[1]Order_Details!$A$1:$F$2156,4,FALSE)</f>
        <v>15</v>
      </c>
      <c r="R129">
        <f>VLOOKUP(A129,[1]Order_Details!$A$1:$F$2156,5,FALSE)</f>
        <v>0</v>
      </c>
      <c r="S129" s="6">
        <f>VLOOKUP(A129,[1]Order_Details!$A$1:$F$2156,6,FALSE)</f>
        <v>279</v>
      </c>
      <c r="T129" s="6">
        <f>VLOOKUP(A129,[1]!Orders,8,FALSE)</f>
        <v>20.12</v>
      </c>
    </row>
    <row r="130" spans="1:20" x14ac:dyDescent="0.3">
      <c r="A130" s="2">
        <v>10376</v>
      </c>
      <c r="B130" s="2" t="s">
        <v>53</v>
      </c>
      <c r="C130" s="2">
        <v>1</v>
      </c>
      <c r="D130" s="3">
        <v>35408</v>
      </c>
      <c r="E130" t="str">
        <f>VLOOKUP(C130,[1]Employees!$A$1:$O$10,4,FALSE)</f>
        <v>Davolio Nancy</v>
      </c>
      <c r="F130">
        <f>VLOOKUP(A130,[1]!Orders,7,FALSE)</f>
        <v>2</v>
      </c>
      <c r="G130" t="str">
        <f>VLOOKUP(F130,[1]!Shippers,2,FALSE)</f>
        <v>United Package</v>
      </c>
      <c r="H130" t="str">
        <f>VLOOKUP(C130,[1]EmployeeTerritories!$A$1:$B$50,2,FALSE)</f>
        <v>06897</v>
      </c>
      <c r="I130">
        <f>VLOOKUP(C130,[1]EmployeeTerritories!$A$1:$B$50,1,FALSE)</f>
        <v>1</v>
      </c>
      <c r="J130">
        <f>VLOOKUP(H130,[1]!Territories,3,FALSE)</f>
        <v>1</v>
      </c>
      <c r="K130" t="str">
        <f>VLOOKUP(J130,[1]!Region,2,FALSE)</f>
        <v>Eastern</v>
      </c>
      <c r="L130">
        <f>VLOOKUP(A130,[1]Order_Details!$A$1:$F$2156,2,FALSE)</f>
        <v>31</v>
      </c>
      <c r="M130" t="str">
        <f>VLOOKUP(L130,[1]!Products,2,FALSE)</f>
        <v>Gorgonzola Telino</v>
      </c>
      <c r="N130">
        <f>VLOOKUP(L130,[1]!Products,4,FALSE)</f>
        <v>4</v>
      </c>
      <c r="O130" s="6" t="str">
        <f>VLOOKUP(N130,[1]!Categories,2,FALSE)</f>
        <v>Dairy Products</v>
      </c>
      <c r="P130" s="6">
        <f>VLOOKUP(A130,[1]Order_Details!$A$1:$F$2156,3,FALSE)</f>
        <v>10</v>
      </c>
      <c r="Q130">
        <f>VLOOKUP(A130,[1]Order_Details!$A$1:$F$2156,4,FALSE)</f>
        <v>42</v>
      </c>
      <c r="R130">
        <f>VLOOKUP(A130,[1]Order_Details!$A$1:$F$2156,5,FALSE)</f>
        <v>5.000000074505806E-2</v>
      </c>
      <c r="S130" s="6">
        <f>VLOOKUP(A130,[1]Order_Details!$A$1:$F$2156,6,FALSE)</f>
        <v>398.99999968707561</v>
      </c>
      <c r="T130" s="6">
        <f>VLOOKUP(A130,[1]!Orders,8,FALSE)</f>
        <v>20.39</v>
      </c>
    </row>
    <row r="131" spans="1:20" x14ac:dyDescent="0.3">
      <c r="A131" s="2">
        <v>10377</v>
      </c>
      <c r="B131" s="2" t="s">
        <v>60</v>
      </c>
      <c r="C131" s="2">
        <v>1</v>
      </c>
      <c r="D131" s="3">
        <v>35408</v>
      </c>
      <c r="E131" t="str">
        <f>VLOOKUP(C131,[1]Employees!$A$1:$O$10,4,FALSE)</f>
        <v>Davolio Nancy</v>
      </c>
      <c r="F131">
        <f>VLOOKUP(A131,[1]!Orders,7,FALSE)</f>
        <v>3</v>
      </c>
      <c r="G131" t="str">
        <f>VLOOKUP(F131,[1]!Shippers,2,FALSE)</f>
        <v>Federal Shipping</v>
      </c>
      <c r="H131" t="str">
        <f>VLOOKUP(C131,[1]EmployeeTerritories!$A$1:$B$50,2,FALSE)</f>
        <v>06897</v>
      </c>
      <c r="I131">
        <f>VLOOKUP(C131,[1]EmployeeTerritories!$A$1:$B$50,1,FALSE)</f>
        <v>1</v>
      </c>
      <c r="J131">
        <f>VLOOKUP(H131,[1]!Territories,3,FALSE)</f>
        <v>1</v>
      </c>
      <c r="K131" t="str">
        <f>VLOOKUP(J131,[1]!Region,2,FALSE)</f>
        <v>Eastern</v>
      </c>
      <c r="L131">
        <f>VLOOKUP(A131,[1]Order_Details!$A$1:$F$2156,2,FALSE)</f>
        <v>28</v>
      </c>
      <c r="M131" t="str">
        <f>VLOOKUP(L131,[1]!Products,2,FALSE)</f>
        <v>Rössle Sauerkraut</v>
      </c>
      <c r="N131">
        <f>VLOOKUP(L131,[1]!Products,4,FALSE)</f>
        <v>7</v>
      </c>
      <c r="O131" s="6" t="str">
        <f>VLOOKUP(N131,[1]!Categories,2,FALSE)</f>
        <v>Produce</v>
      </c>
      <c r="P131" s="6">
        <f>VLOOKUP(A131,[1]Order_Details!$A$1:$F$2156,3,FALSE)</f>
        <v>36.4</v>
      </c>
      <c r="Q131">
        <f>VLOOKUP(A131,[1]Order_Details!$A$1:$F$2156,4,FALSE)</f>
        <v>20</v>
      </c>
      <c r="R131">
        <f>VLOOKUP(A131,[1]Order_Details!$A$1:$F$2156,5,FALSE)</f>
        <v>0.15000000596046448</v>
      </c>
      <c r="S131" s="6">
        <f>VLOOKUP(A131,[1]Order_Details!$A$1:$F$2156,6,FALSE)</f>
        <v>618.79999566078186</v>
      </c>
      <c r="T131" s="6">
        <f>VLOOKUP(A131,[1]!Orders,8,FALSE)</f>
        <v>22.21</v>
      </c>
    </row>
    <row r="132" spans="1:20" x14ac:dyDescent="0.3">
      <c r="A132" s="2">
        <v>10378</v>
      </c>
      <c r="B132" s="2" t="s">
        <v>18</v>
      </c>
      <c r="C132" s="2">
        <v>5</v>
      </c>
      <c r="D132" s="3">
        <v>35409</v>
      </c>
      <c r="E132" t="str">
        <f>VLOOKUP(C132,[1]Employees!$A$1:$O$10,4,FALSE)</f>
        <v>Buchanan Steven</v>
      </c>
      <c r="F132">
        <f>VLOOKUP(A132,[1]!Orders,7,FALSE)</f>
        <v>3</v>
      </c>
      <c r="G132" t="str">
        <f>VLOOKUP(F132,[1]!Shippers,2,FALSE)</f>
        <v>Federal Shipping</v>
      </c>
      <c r="H132" t="str">
        <f>VLOOKUP(C132,[1]EmployeeTerritories!$A$1:$B$50,2,FALSE)</f>
        <v>02903</v>
      </c>
      <c r="I132">
        <f>VLOOKUP(C132,[1]EmployeeTerritories!$A$1:$B$50,1,FALSE)</f>
        <v>5</v>
      </c>
      <c r="J132">
        <f>VLOOKUP(H132,[1]!Territories,3,FALSE)</f>
        <v>1</v>
      </c>
      <c r="K132" t="str">
        <f>VLOOKUP(J132,[1]!Region,2,FALSE)</f>
        <v>Eastern</v>
      </c>
      <c r="L132">
        <f>VLOOKUP(A132,[1]Order_Details!$A$1:$F$2156,2,FALSE)</f>
        <v>71</v>
      </c>
      <c r="M132" t="str">
        <f>VLOOKUP(L132,[1]!Products,2,FALSE)</f>
        <v>Flotemysost</v>
      </c>
      <c r="N132">
        <f>VLOOKUP(L132,[1]!Products,4,FALSE)</f>
        <v>4</v>
      </c>
      <c r="O132" s="6" t="str">
        <f>VLOOKUP(N132,[1]!Categories,2,FALSE)</f>
        <v>Dairy Products</v>
      </c>
      <c r="P132" s="6">
        <f>VLOOKUP(A132,[1]Order_Details!$A$1:$F$2156,3,FALSE)</f>
        <v>17.2</v>
      </c>
      <c r="Q132">
        <f>VLOOKUP(A132,[1]Order_Details!$A$1:$F$2156,4,FALSE)</f>
        <v>6</v>
      </c>
      <c r="R132">
        <f>VLOOKUP(A132,[1]Order_Details!$A$1:$F$2156,5,FALSE)</f>
        <v>0</v>
      </c>
      <c r="S132" s="6">
        <f>VLOOKUP(A132,[1]Order_Details!$A$1:$F$2156,6,FALSE)</f>
        <v>103.19999999999999</v>
      </c>
      <c r="T132" s="6">
        <f>VLOOKUP(A132,[1]!Orders,8,FALSE)</f>
        <v>5.44</v>
      </c>
    </row>
    <row r="133" spans="1:20" x14ac:dyDescent="0.3">
      <c r="A133" s="2">
        <v>10379</v>
      </c>
      <c r="B133" s="2" t="s">
        <v>16</v>
      </c>
      <c r="C133" s="2">
        <v>2</v>
      </c>
      <c r="D133" s="3">
        <v>35410</v>
      </c>
      <c r="E133" t="str">
        <f>VLOOKUP(C133,[1]Employees!$A$1:$O$10,4,FALSE)</f>
        <v>Fuller Andrew</v>
      </c>
      <c r="F133">
        <f>VLOOKUP(A133,[1]!Orders,7,FALSE)</f>
        <v>1</v>
      </c>
      <c r="G133" t="str">
        <f>VLOOKUP(F133,[1]!Shippers,2,FALSE)</f>
        <v>Speedy Express</v>
      </c>
      <c r="H133" t="str">
        <f>VLOOKUP(C133,[1]EmployeeTerritories!$A$1:$B$50,2,FALSE)</f>
        <v>01581</v>
      </c>
      <c r="I133">
        <f>VLOOKUP(C133,[1]EmployeeTerritories!$A$1:$B$50,1,FALSE)</f>
        <v>2</v>
      </c>
      <c r="J133">
        <f>VLOOKUP(H133,[1]!Territories,3,FALSE)</f>
        <v>1</v>
      </c>
      <c r="K133" t="str">
        <f>VLOOKUP(J133,[1]!Region,2,FALSE)</f>
        <v>Eastern</v>
      </c>
      <c r="L133">
        <f>VLOOKUP(A133,[1]Order_Details!$A$1:$F$2156,2,FALSE)</f>
        <v>41</v>
      </c>
      <c r="M133" t="str">
        <f>VLOOKUP(L133,[1]!Products,2,FALSE)</f>
        <v>Jack's New England Clam Chowder</v>
      </c>
      <c r="N133">
        <f>VLOOKUP(L133,[1]!Products,4,FALSE)</f>
        <v>8</v>
      </c>
      <c r="O133" s="6" t="str">
        <f>VLOOKUP(N133,[1]!Categories,2,FALSE)</f>
        <v>Seafood</v>
      </c>
      <c r="P133" s="6">
        <f>VLOOKUP(A133,[1]Order_Details!$A$1:$F$2156,3,FALSE)</f>
        <v>7.7</v>
      </c>
      <c r="Q133">
        <f>VLOOKUP(A133,[1]Order_Details!$A$1:$F$2156,4,FALSE)</f>
        <v>8</v>
      </c>
      <c r="R133">
        <f>VLOOKUP(A133,[1]Order_Details!$A$1:$F$2156,5,FALSE)</f>
        <v>0.10000000149011612</v>
      </c>
      <c r="S133" s="6">
        <f>VLOOKUP(A133,[1]Order_Details!$A$1:$F$2156,6,FALSE)</f>
        <v>55.439999908208847</v>
      </c>
      <c r="T133" s="6">
        <f>VLOOKUP(A133,[1]!Orders,8,FALSE)</f>
        <v>45.03</v>
      </c>
    </row>
    <row r="134" spans="1:20" x14ac:dyDescent="0.3">
      <c r="A134" s="2">
        <v>10380</v>
      </c>
      <c r="B134" s="2" t="s">
        <v>38</v>
      </c>
      <c r="C134" s="2">
        <v>8</v>
      </c>
      <c r="D134" s="3">
        <v>35411</v>
      </c>
      <c r="E134" t="str">
        <f>VLOOKUP(C134,[1]Employees!$A$1:$O$10,4,FALSE)</f>
        <v>Callahan Laura</v>
      </c>
      <c r="F134">
        <f>VLOOKUP(A134,[1]!Orders,7,FALSE)</f>
        <v>3</v>
      </c>
      <c r="G134" t="str">
        <f>VLOOKUP(F134,[1]!Shippers,2,FALSE)</f>
        <v>Federal Shipping</v>
      </c>
      <c r="H134" t="str">
        <f>VLOOKUP(C134,[1]EmployeeTerritories!$A$1:$B$50,2,FALSE)</f>
        <v>19428</v>
      </c>
      <c r="I134">
        <f>VLOOKUP(C134,[1]EmployeeTerritories!$A$1:$B$50,1,FALSE)</f>
        <v>8</v>
      </c>
      <c r="J134">
        <f>VLOOKUP(H134,[1]!Territories,3,FALSE)</f>
        <v>3</v>
      </c>
      <c r="K134" t="str">
        <f>VLOOKUP(J134,[1]!Region,2,FALSE)</f>
        <v>Northern</v>
      </c>
      <c r="L134">
        <f>VLOOKUP(A134,[1]Order_Details!$A$1:$F$2156,2,FALSE)</f>
        <v>30</v>
      </c>
      <c r="M134" t="str">
        <f>VLOOKUP(L134,[1]!Products,2,FALSE)</f>
        <v>Nord-Ost Matjeshering</v>
      </c>
      <c r="N134">
        <f>VLOOKUP(L134,[1]!Products,4,FALSE)</f>
        <v>8</v>
      </c>
      <c r="O134" s="6" t="str">
        <f>VLOOKUP(N134,[1]!Categories,2,FALSE)</f>
        <v>Seafood</v>
      </c>
      <c r="P134" s="6">
        <f>VLOOKUP(A134,[1]Order_Details!$A$1:$F$2156,3,FALSE)</f>
        <v>20.7</v>
      </c>
      <c r="Q134">
        <f>VLOOKUP(A134,[1]Order_Details!$A$1:$F$2156,4,FALSE)</f>
        <v>18</v>
      </c>
      <c r="R134">
        <f>VLOOKUP(A134,[1]Order_Details!$A$1:$F$2156,5,FALSE)</f>
        <v>0.10000000149011612</v>
      </c>
      <c r="S134" s="6">
        <f>VLOOKUP(A134,[1]Order_Details!$A$1:$F$2156,6,FALSE)</f>
        <v>335.33999944478268</v>
      </c>
      <c r="T134" s="6">
        <f>VLOOKUP(A134,[1]!Orders,8,FALSE)</f>
        <v>35.03</v>
      </c>
    </row>
    <row r="135" spans="1:20" x14ac:dyDescent="0.3">
      <c r="A135" s="2">
        <v>10381</v>
      </c>
      <c r="B135" s="2" t="s">
        <v>32</v>
      </c>
      <c r="C135" s="2">
        <v>3</v>
      </c>
      <c r="D135" s="3">
        <v>35411</v>
      </c>
      <c r="E135" t="str">
        <f>VLOOKUP(C135,[1]Employees!$A$1:$O$10,4,FALSE)</f>
        <v>Leverling Janet</v>
      </c>
      <c r="F135">
        <f>VLOOKUP(A135,[1]!Orders,7,FALSE)</f>
        <v>3</v>
      </c>
      <c r="G135" t="str">
        <f>VLOOKUP(F135,[1]!Shippers,2,FALSE)</f>
        <v>Federal Shipping</v>
      </c>
      <c r="H135" t="str">
        <f>VLOOKUP(C135,[1]EmployeeTerritories!$A$1:$B$50,2,FALSE)</f>
        <v>30346</v>
      </c>
      <c r="I135">
        <f>VLOOKUP(C135,[1]EmployeeTerritories!$A$1:$B$50,1,FALSE)</f>
        <v>3</v>
      </c>
      <c r="J135">
        <f>VLOOKUP(H135,[1]!Territories,3,FALSE)</f>
        <v>4</v>
      </c>
      <c r="K135" t="str">
        <f>VLOOKUP(J135,[1]!Region,2,FALSE)</f>
        <v>Southern</v>
      </c>
      <c r="L135">
        <f>VLOOKUP(A135,[1]Order_Details!$A$1:$F$2156,2,FALSE)</f>
        <v>74</v>
      </c>
      <c r="M135" t="str">
        <f>VLOOKUP(L135,[1]!Products,2,FALSE)</f>
        <v>Longlife Tofu</v>
      </c>
      <c r="N135">
        <f>VLOOKUP(L135,[1]!Products,4,FALSE)</f>
        <v>7</v>
      </c>
      <c r="O135" s="6" t="str">
        <f>VLOOKUP(N135,[1]!Categories,2,FALSE)</f>
        <v>Produce</v>
      </c>
      <c r="P135" s="6">
        <f>VLOOKUP(A135,[1]Order_Details!$A$1:$F$2156,3,FALSE)</f>
        <v>8</v>
      </c>
      <c r="Q135">
        <f>VLOOKUP(A135,[1]Order_Details!$A$1:$F$2156,4,FALSE)</f>
        <v>14</v>
      </c>
      <c r="R135">
        <f>VLOOKUP(A135,[1]Order_Details!$A$1:$F$2156,5,FALSE)</f>
        <v>0</v>
      </c>
      <c r="S135" s="6">
        <f>VLOOKUP(A135,[1]Order_Details!$A$1:$F$2156,6,FALSE)</f>
        <v>112</v>
      </c>
      <c r="T135" s="6">
        <f>VLOOKUP(A135,[1]!Orders,8,FALSE)</f>
        <v>7.99</v>
      </c>
    </row>
    <row r="136" spans="1:20" x14ac:dyDescent="0.3">
      <c r="A136" s="2">
        <v>10382</v>
      </c>
      <c r="B136" s="2" t="s">
        <v>13</v>
      </c>
      <c r="C136" s="2">
        <v>4</v>
      </c>
      <c r="D136" s="3">
        <v>35412</v>
      </c>
      <c r="E136" t="str">
        <f>VLOOKUP(C136,[1]Employees!$A$1:$O$10,4,FALSE)</f>
        <v>Peacock Margaret</v>
      </c>
      <c r="F136">
        <f>VLOOKUP(A136,[1]!Orders,7,FALSE)</f>
        <v>1</v>
      </c>
      <c r="G136" t="str">
        <f>VLOOKUP(F136,[1]!Shippers,2,FALSE)</f>
        <v>Speedy Express</v>
      </c>
      <c r="H136" t="str">
        <f>VLOOKUP(C136,[1]EmployeeTerritories!$A$1:$B$50,2,FALSE)</f>
        <v>20852</v>
      </c>
      <c r="I136">
        <f>VLOOKUP(C136,[1]EmployeeTerritories!$A$1:$B$50,1,FALSE)</f>
        <v>4</v>
      </c>
      <c r="J136">
        <f>VLOOKUP(H136,[1]!Territories,3,FALSE)</f>
        <v>1</v>
      </c>
      <c r="K136" t="str">
        <f>VLOOKUP(J136,[1]!Region,2,FALSE)</f>
        <v>Eastern</v>
      </c>
      <c r="L136">
        <f>VLOOKUP(A136,[1]Order_Details!$A$1:$F$2156,2,FALSE)</f>
        <v>5</v>
      </c>
      <c r="M136" t="str">
        <f>VLOOKUP(L136,[1]!Products,2,FALSE)</f>
        <v>Chef Anton's Gumbo Mix</v>
      </c>
      <c r="N136">
        <f>VLOOKUP(L136,[1]!Products,4,FALSE)</f>
        <v>2</v>
      </c>
      <c r="O136" s="6" t="str">
        <f>VLOOKUP(N136,[1]!Categories,2,FALSE)</f>
        <v>Condiments</v>
      </c>
      <c r="P136" s="6">
        <f>VLOOKUP(A136,[1]Order_Details!$A$1:$F$2156,3,FALSE)</f>
        <v>17</v>
      </c>
      <c r="Q136">
        <f>VLOOKUP(A136,[1]Order_Details!$A$1:$F$2156,4,FALSE)</f>
        <v>32</v>
      </c>
      <c r="R136">
        <f>VLOOKUP(A136,[1]Order_Details!$A$1:$F$2156,5,FALSE)</f>
        <v>0</v>
      </c>
      <c r="S136" s="6">
        <f>VLOOKUP(A136,[1]Order_Details!$A$1:$F$2156,6,FALSE)</f>
        <v>544</v>
      </c>
      <c r="T136" s="6">
        <f>VLOOKUP(A136,[1]!Orders,8,FALSE)</f>
        <v>94.77</v>
      </c>
    </row>
    <row r="137" spans="1:20" x14ac:dyDescent="0.3">
      <c r="A137" s="2">
        <v>10383</v>
      </c>
      <c r="B137" s="2" t="s">
        <v>59</v>
      </c>
      <c r="C137" s="2">
        <v>8</v>
      </c>
      <c r="D137" s="3">
        <v>35415</v>
      </c>
      <c r="E137" t="str">
        <f>VLOOKUP(C137,[1]Employees!$A$1:$O$10,4,FALSE)</f>
        <v>Callahan Laura</v>
      </c>
      <c r="F137">
        <f>VLOOKUP(A137,[1]!Orders,7,FALSE)</f>
        <v>3</v>
      </c>
      <c r="G137" t="str">
        <f>VLOOKUP(F137,[1]!Shippers,2,FALSE)</f>
        <v>Federal Shipping</v>
      </c>
      <c r="H137" t="str">
        <f>VLOOKUP(C137,[1]EmployeeTerritories!$A$1:$B$50,2,FALSE)</f>
        <v>19428</v>
      </c>
      <c r="I137">
        <f>VLOOKUP(C137,[1]EmployeeTerritories!$A$1:$B$50,1,FALSE)</f>
        <v>8</v>
      </c>
      <c r="J137">
        <f>VLOOKUP(H137,[1]!Territories,3,FALSE)</f>
        <v>3</v>
      </c>
      <c r="K137" t="str">
        <f>VLOOKUP(J137,[1]!Region,2,FALSE)</f>
        <v>Northern</v>
      </c>
      <c r="L137">
        <f>VLOOKUP(A137,[1]Order_Details!$A$1:$F$2156,2,FALSE)</f>
        <v>13</v>
      </c>
      <c r="M137" t="str">
        <f>VLOOKUP(L137,[1]!Products,2,FALSE)</f>
        <v>Konbu</v>
      </c>
      <c r="N137">
        <f>VLOOKUP(L137,[1]!Products,4,FALSE)</f>
        <v>8</v>
      </c>
      <c r="O137" s="6" t="str">
        <f>VLOOKUP(N137,[1]!Categories,2,FALSE)</f>
        <v>Seafood</v>
      </c>
      <c r="P137" s="6">
        <f>VLOOKUP(A137,[1]Order_Details!$A$1:$F$2156,3,FALSE)</f>
        <v>4.8</v>
      </c>
      <c r="Q137">
        <f>VLOOKUP(A137,[1]Order_Details!$A$1:$F$2156,4,FALSE)</f>
        <v>20</v>
      </c>
      <c r="R137">
        <f>VLOOKUP(A137,[1]Order_Details!$A$1:$F$2156,5,FALSE)</f>
        <v>0</v>
      </c>
      <c r="S137" s="6">
        <f>VLOOKUP(A137,[1]Order_Details!$A$1:$F$2156,6,FALSE)</f>
        <v>96</v>
      </c>
      <c r="T137" s="6">
        <f>VLOOKUP(A137,[1]!Orders,8,FALSE)</f>
        <v>34.24</v>
      </c>
    </row>
    <row r="138" spans="1:20" x14ac:dyDescent="0.3">
      <c r="A138" s="2">
        <v>10384</v>
      </c>
      <c r="B138" s="2" t="s">
        <v>29</v>
      </c>
      <c r="C138" s="2">
        <v>3</v>
      </c>
      <c r="D138" s="3">
        <v>35415</v>
      </c>
      <c r="E138" t="str">
        <f>VLOOKUP(C138,[1]Employees!$A$1:$O$10,4,FALSE)</f>
        <v>Leverling Janet</v>
      </c>
      <c r="F138">
        <f>VLOOKUP(A138,[1]!Orders,7,FALSE)</f>
        <v>3</v>
      </c>
      <c r="G138" t="str">
        <f>VLOOKUP(F138,[1]!Shippers,2,FALSE)</f>
        <v>Federal Shipping</v>
      </c>
      <c r="H138" t="str">
        <f>VLOOKUP(C138,[1]EmployeeTerritories!$A$1:$B$50,2,FALSE)</f>
        <v>30346</v>
      </c>
      <c r="I138">
        <f>VLOOKUP(C138,[1]EmployeeTerritories!$A$1:$B$50,1,FALSE)</f>
        <v>3</v>
      </c>
      <c r="J138">
        <f>VLOOKUP(H138,[1]!Territories,3,FALSE)</f>
        <v>4</v>
      </c>
      <c r="K138" t="str">
        <f>VLOOKUP(J138,[1]!Region,2,FALSE)</f>
        <v>Southern</v>
      </c>
      <c r="L138">
        <f>VLOOKUP(A138,[1]Order_Details!$A$1:$F$2156,2,FALSE)</f>
        <v>20</v>
      </c>
      <c r="M138" t="str">
        <f>VLOOKUP(L138,[1]!Products,2,FALSE)</f>
        <v>Sir Rodney's Marmalade</v>
      </c>
      <c r="N138">
        <f>VLOOKUP(L138,[1]!Products,4,FALSE)</f>
        <v>3</v>
      </c>
      <c r="O138" s="6" t="str">
        <f>VLOOKUP(N138,[1]!Categories,2,FALSE)</f>
        <v>Confections</v>
      </c>
      <c r="P138" s="6">
        <f>VLOOKUP(A138,[1]Order_Details!$A$1:$F$2156,3,FALSE)</f>
        <v>64.8</v>
      </c>
      <c r="Q138">
        <f>VLOOKUP(A138,[1]Order_Details!$A$1:$F$2156,4,FALSE)</f>
        <v>28</v>
      </c>
      <c r="R138">
        <f>VLOOKUP(A138,[1]Order_Details!$A$1:$F$2156,5,FALSE)</f>
        <v>0</v>
      </c>
      <c r="S138" s="6">
        <f>VLOOKUP(A138,[1]Order_Details!$A$1:$F$2156,6,FALSE)</f>
        <v>1814.3999999999999</v>
      </c>
      <c r="T138" s="6">
        <f>VLOOKUP(A138,[1]!Orders,8,FALSE)</f>
        <v>168.64</v>
      </c>
    </row>
    <row r="139" spans="1:20" x14ac:dyDescent="0.3">
      <c r="A139" s="2">
        <v>10385</v>
      </c>
      <c r="B139" s="2" t="s">
        <v>24</v>
      </c>
      <c r="C139" s="2">
        <v>1</v>
      </c>
      <c r="D139" s="3">
        <v>35416</v>
      </c>
      <c r="E139" t="str">
        <f>VLOOKUP(C139,[1]Employees!$A$1:$O$10,4,FALSE)</f>
        <v>Davolio Nancy</v>
      </c>
      <c r="F139">
        <f>VLOOKUP(A139,[1]!Orders,7,FALSE)</f>
        <v>2</v>
      </c>
      <c r="G139" t="str">
        <f>VLOOKUP(F139,[1]!Shippers,2,FALSE)</f>
        <v>United Package</v>
      </c>
      <c r="H139" t="str">
        <f>VLOOKUP(C139,[1]EmployeeTerritories!$A$1:$B$50,2,FALSE)</f>
        <v>06897</v>
      </c>
      <c r="I139">
        <f>VLOOKUP(C139,[1]EmployeeTerritories!$A$1:$B$50,1,FALSE)</f>
        <v>1</v>
      </c>
      <c r="J139">
        <f>VLOOKUP(H139,[1]!Territories,3,FALSE)</f>
        <v>1</v>
      </c>
      <c r="K139" t="str">
        <f>VLOOKUP(J139,[1]!Region,2,FALSE)</f>
        <v>Eastern</v>
      </c>
      <c r="L139">
        <f>VLOOKUP(A139,[1]Order_Details!$A$1:$F$2156,2,FALSE)</f>
        <v>7</v>
      </c>
      <c r="M139" t="str">
        <f>VLOOKUP(L139,[1]!Products,2,FALSE)</f>
        <v>Uncle Bob's Organic Dried Pears</v>
      </c>
      <c r="N139">
        <f>VLOOKUP(L139,[1]!Products,4,FALSE)</f>
        <v>7</v>
      </c>
      <c r="O139" s="6" t="str">
        <f>VLOOKUP(N139,[1]!Categories,2,FALSE)</f>
        <v>Produce</v>
      </c>
      <c r="P139" s="6">
        <f>VLOOKUP(A139,[1]Order_Details!$A$1:$F$2156,3,FALSE)</f>
        <v>24</v>
      </c>
      <c r="Q139">
        <f>VLOOKUP(A139,[1]Order_Details!$A$1:$F$2156,4,FALSE)</f>
        <v>10</v>
      </c>
      <c r="R139">
        <f>VLOOKUP(A139,[1]Order_Details!$A$1:$F$2156,5,FALSE)</f>
        <v>0.20000000298023224</v>
      </c>
      <c r="S139" s="6">
        <f>VLOOKUP(A139,[1]Order_Details!$A$1:$F$2156,6,FALSE)</f>
        <v>191.99999928474426</v>
      </c>
      <c r="T139" s="6">
        <f>VLOOKUP(A139,[1]!Orders,8,FALSE)</f>
        <v>30.96</v>
      </c>
    </row>
    <row r="140" spans="1:20" x14ac:dyDescent="0.3">
      <c r="A140" s="2">
        <v>10386</v>
      </c>
      <c r="B140" s="2" t="s">
        <v>56</v>
      </c>
      <c r="C140" s="2">
        <v>9</v>
      </c>
      <c r="D140" s="3">
        <v>35417</v>
      </c>
      <c r="E140" t="str">
        <f>VLOOKUP(C140,[1]Employees!$A$1:$O$10,4,FALSE)</f>
        <v>Dodsworth Anne</v>
      </c>
      <c r="F140">
        <f>VLOOKUP(A140,[1]!Orders,7,FALSE)</f>
        <v>3</v>
      </c>
      <c r="G140" t="str">
        <f>VLOOKUP(F140,[1]!Shippers,2,FALSE)</f>
        <v>Federal Shipping</v>
      </c>
      <c r="H140" t="str">
        <f>VLOOKUP(C140,[1]EmployeeTerritories!$A$1:$B$50,2,FALSE)</f>
        <v>03049</v>
      </c>
      <c r="I140">
        <f>VLOOKUP(C140,[1]EmployeeTerritories!$A$1:$B$50,1,FALSE)</f>
        <v>9</v>
      </c>
      <c r="J140">
        <f>VLOOKUP(H140,[1]!Territories,3,FALSE)</f>
        <v>3</v>
      </c>
      <c r="K140" t="str">
        <f>VLOOKUP(J140,[1]!Region,2,FALSE)</f>
        <v>Northern</v>
      </c>
      <c r="L140">
        <f>VLOOKUP(A140,[1]Order_Details!$A$1:$F$2156,2,FALSE)</f>
        <v>24</v>
      </c>
      <c r="M140" t="str">
        <f>VLOOKUP(L140,[1]!Products,2,FALSE)</f>
        <v>Guaraná Fantástica</v>
      </c>
      <c r="N140">
        <f>VLOOKUP(L140,[1]!Products,4,FALSE)</f>
        <v>1</v>
      </c>
      <c r="O140" s="6" t="str">
        <f>VLOOKUP(N140,[1]!Categories,2,FALSE)</f>
        <v>Beverages</v>
      </c>
      <c r="P140" s="6">
        <f>VLOOKUP(A140,[1]Order_Details!$A$1:$F$2156,3,FALSE)</f>
        <v>3.6</v>
      </c>
      <c r="Q140">
        <f>VLOOKUP(A140,[1]Order_Details!$A$1:$F$2156,4,FALSE)</f>
        <v>15</v>
      </c>
      <c r="R140">
        <f>VLOOKUP(A140,[1]Order_Details!$A$1:$F$2156,5,FALSE)</f>
        <v>0</v>
      </c>
      <c r="S140" s="6">
        <f>VLOOKUP(A140,[1]Order_Details!$A$1:$F$2156,6,FALSE)</f>
        <v>54</v>
      </c>
      <c r="T140" s="6">
        <f>VLOOKUP(A140,[1]!Orders,8,FALSE)</f>
        <v>13.99</v>
      </c>
    </row>
    <row r="141" spans="1:20" x14ac:dyDescent="0.3">
      <c r="A141" s="2">
        <v>10387</v>
      </c>
      <c r="B141" s="2" t="s">
        <v>69</v>
      </c>
      <c r="C141" s="2">
        <v>1</v>
      </c>
      <c r="D141" s="3">
        <v>35417</v>
      </c>
      <c r="E141" t="str">
        <f>VLOOKUP(C141,[1]Employees!$A$1:$O$10,4,FALSE)</f>
        <v>Davolio Nancy</v>
      </c>
      <c r="F141">
        <f>VLOOKUP(A141,[1]!Orders,7,FALSE)</f>
        <v>2</v>
      </c>
      <c r="G141" t="str">
        <f>VLOOKUP(F141,[1]!Shippers,2,FALSE)</f>
        <v>United Package</v>
      </c>
      <c r="H141" t="str">
        <f>VLOOKUP(C141,[1]EmployeeTerritories!$A$1:$B$50,2,FALSE)</f>
        <v>06897</v>
      </c>
      <c r="I141">
        <f>VLOOKUP(C141,[1]EmployeeTerritories!$A$1:$B$50,1,FALSE)</f>
        <v>1</v>
      </c>
      <c r="J141">
        <f>VLOOKUP(H141,[1]!Territories,3,FALSE)</f>
        <v>1</v>
      </c>
      <c r="K141" t="str">
        <f>VLOOKUP(J141,[1]!Region,2,FALSE)</f>
        <v>Eastern</v>
      </c>
      <c r="L141">
        <f>VLOOKUP(A141,[1]Order_Details!$A$1:$F$2156,2,FALSE)</f>
        <v>24</v>
      </c>
      <c r="M141" t="str">
        <f>VLOOKUP(L141,[1]!Products,2,FALSE)</f>
        <v>Guaraná Fantástica</v>
      </c>
      <c r="N141">
        <f>VLOOKUP(L141,[1]!Products,4,FALSE)</f>
        <v>1</v>
      </c>
      <c r="O141" s="6" t="str">
        <f>VLOOKUP(N141,[1]!Categories,2,FALSE)</f>
        <v>Beverages</v>
      </c>
      <c r="P141" s="6">
        <f>VLOOKUP(A141,[1]Order_Details!$A$1:$F$2156,3,FALSE)</f>
        <v>3.6</v>
      </c>
      <c r="Q141">
        <f>VLOOKUP(A141,[1]Order_Details!$A$1:$F$2156,4,FALSE)</f>
        <v>15</v>
      </c>
      <c r="R141">
        <f>VLOOKUP(A141,[1]Order_Details!$A$1:$F$2156,5,FALSE)</f>
        <v>0</v>
      </c>
      <c r="S141" s="6">
        <f>VLOOKUP(A141,[1]Order_Details!$A$1:$F$2156,6,FALSE)</f>
        <v>54</v>
      </c>
      <c r="T141" s="6">
        <f>VLOOKUP(A141,[1]!Orders,8,FALSE)</f>
        <v>93.63</v>
      </c>
    </row>
    <row r="142" spans="1:20" x14ac:dyDescent="0.3">
      <c r="A142" s="2">
        <v>10388</v>
      </c>
      <c r="B142" s="2" t="s">
        <v>60</v>
      </c>
      <c r="C142" s="2">
        <v>2</v>
      </c>
      <c r="D142" s="3">
        <v>35418</v>
      </c>
      <c r="E142" t="str">
        <f>VLOOKUP(C142,[1]Employees!$A$1:$O$10,4,FALSE)</f>
        <v>Fuller Andrew</v>
      </c>
      <c r="F142">
        <f>VLOOKUP(A142,[1]!Orders,7,FALSE)</f>
        <v>1</v>
      </c>
      <c r="G142" t="str">
        <f>VLOOKUP(F142,[1]!Shippers,2,FALSE)</f>
        <v>Speedy Express</v>
      </c>
      <c r="H142" t="str">
        <f>VLOOKUP(C142,[1]EmployeeTerritories!$A$1:$B$50,2,FALSE)</f>
        <v>01581</v>
      </c>
      <c r="I142">
        <f>VLOOKUP(C142,[1]EmployeeTerritories!$A$1:$B$50,1,FALSE)</f>
        <v>2</v>
      </c>
      <c r="J142">
        <f>VLOOKUP(H142,[1]!Territories,3,FALSE)</f>
        <v>1</v>
      </c>
      <c r="K142" t="str">
        <f>VLOOKUP(J142,[1]!Region,2,FALSE)</f>
        <v>Eastern</v>
      </c>
      <c r="L142">
        <f>VLOOKUP(A142,[1]Order_Details!$A$1:$F$2156,2,FALSE)</f>
        <v>45</v>
      </c>
      <c r="M142" t="str">
        <f>VLOOKUP(L142,[1]!Products,2,FALSE)</f>
        <v>Rogede sild</v>
      </c>
      <c r="N142">
        <f>VLOOKUP(L142,[1]!Products,4,FALSE)</f>
        <v>8</v>
      </c>
      <c r="O142" s="6" t="str">
        <f>VLOOKUP(N142,[1]!Categories,2,FALSE)</f>
        <v>Seafood</v>
      </c>
      <c r="P142" s="6">
        <f>VLOOKUP(A142,[1]Order_Details!$A$1:$F$2156,3,FALSE)</f>
        <v>7.6</v>
      </c>
      <c r="Q142">
        <f>VLOOKUP(A142,[1]Order_Details!$A$1:$F$2156,4,FALSE)</f>
        <v>15</v>
      </c>
      <c r="R142">
        <f>VLOOKUP(A142,[1]Order_Details!$A$1:$F$2156,5,FALSE)</f>
        <v>0.20000000298023224</v>
      </c>
      <c r="S142" s="6">
        <f>VLOOKUP(A142,[1]Order_Details!$A$1:$F$2156,6,FALSE)</f>
        <v>91.199999660253525</v>
      </c>
      <c r="T142" s="6">
        <f>VLOOKUP(A142,[1]!Orders,8,FALSE)</f>
        <v>34.86</v>
      </c>
    </row>
    <row r="143" spans="1:20" x14ac:dyDescent="0.3">
      <c r="A143" s="2">
        <v>10389</v>
      </c>
      <c r="B143" s="2" t="s">
        <v>70</v>
      </c>
      <c r="C143" s="2">
        <v>4</v>
      </c>
      <c r="D143" s="3">
        <v>35419</v>
      </c>
      <c r="E143" t="str">
        <f>VLOOKUP(C143,[1]Employees!$A$1:$O$10,4,FALSE)</f>
        <v>Peacock Margaret</v>
      </c>
      <c r="F143">
        <f>VLOOKUP(A143,[1]!Orders,7,FALSE)</f>
        <v>2</v>
      </c>
      <c r="G143" t="str">
        <f>VLOOKUP(F143,[1]!Shippers,2,FALSE)</f>
        <v>United Package</v>
      </c>
      <c r="H143" t="str">
        <f>VLOOKUP(C143,[1]EmployeeTerritories!$A$1:$B$50,2,FALSE)</f>
        <v>20852</v>
      </c>
      <c r="I143">
        <f>VLOOKUP(C143,[1]EmployeeTerritories!$A$1:$B$50,1,FALSE)</f>
        <v>4</v>
      </c>
      <c r="J143">
        <f>VLOOKUP(H143,[1]!Territories,3,FALSE)</f>
        <v>1</v>
      </c>
      <c r="K143" t="str">
        <f>VLOOKUP(J143,[1]!Region,2,FALSE)</f>
        <v>Eastern</v>
      </c>
      <c r="L143">
        <f>VLOOKUP(A143,[1]Order_Details!$A$1:$F$2156,2,FALSE)</f>
        <v>10</v>
      </c>
      <c r="M143" t="str">
        <f>VLOOKUP(L143,[1]!Products,2,FALSE)</f>
        <v>Ikura</v>
      </c>
      <c r="N143">
        <f>VLOOKUP(L143,[1]!Products,4,FALSE)</f>
        <v>8</v>
      </c>
      <c r="O143" s="6" t="str">
        <f>VLOOKUP(N143,[1]!Categories,2,FALSE)</f>
        <v>Seafood</v>
      </c>
      <c r="P143" s="6">
        <f>VLOOKUP(A143,[1]Order_Details!$A$1:$F$2156,3,FALSE)</f>
        <v>24.8</v>
      </c>
      <c r="Q143">
        <f>VLOOKUP(A143,[1]Order_Details!$A$1:$F$2156,4,FALSE)</f>
        <v>16</v>
      </c>
      <c r="R143">
        <f>VLOOKUP(A143,[1]Order_Details!$A$1:$F$2156,5,FALSE)</f>
        <v>0</v>
      </c>
      <c r="S143" s="6">
        <f>VLOOKUP(A143,[1]Order_Details!$A$1:$F$2156,6,FALSE)</f>
        <v>396.8</v>
      </c>
      <c r="T143" s="6">
        <f>VLOOKUP(A143,[1]!Orders,8,FALSE)</f>
        <v>47.42</v>
      </c>
    </row>
    <row r="144" spans="1:20" x14ac:dyDescent="0.3">
      <c r="A144" s="2">
        <v>10390</v>
      </c>
      <c r="B144" s="2" t="s">
        <v>13</v>
      </c>
      <c r="C144" s="2">
        <v>6</v>
      </c>
      <c r="D144" s="3">
        <v>35422</v>
      </c>
      <c r="E144" t="str">
        <f>VLOOKUP(C144,[1]Employees!$A$1:$O$10,4,FALSE)</f>
        <v>Suyama Michael</v>
      </c>
      <c r="F144">
        <f>VLOOKUP(A144,[1]!Orders,7,FALSE)</f>
        <v>1</v>
      </c>
      <c r="G144" t="str">
        <f>VLOOKUP(F144,[1]!Shippers,2,FALSE)</f>
        <v>Speedy Express</v>
      </c>
      <c r="H144" t="str">
        <f>VLOOKUP(C144,[1]EmployeeTerritories!$A$1:$B$50,2,FALSE)</f>
        <v>85014</v>
      </c>
      <c r="I144">
        <f>VLOOKUP(C144,[1]EmployeeTerritories!$A$1:$B$50,1,FALSE)</f>
        <v>6</v>
      </c>
      <c r="J144">
        <f>VLOOKUP(H144,[1]!Territories,3,FALSE)</f>
        <v>2</v>
      </c>
      <c r="K144" t="str">
        <f>VLOOKUP(J144,[1]!Region,2,FALSE)</f>
        <v>Western</v>
      </c>
      <c r="L144">
        <f>VLOOKUP(A144,[1]Order_Details!$A$1:$F$2156,2,FALSE)</f>
        <v>31</v>
      </c>
      <c r="M144" t="str">
        <f>VLOOKUP(L144,[1]!Products,2,FALSE)</f>
        <v>Gorgonzola Telino</v>
      </c>
      <c r="N144">
        <f>VLOOKUP(L144,[1]!Products,4,FALSE)</f>
        <v>4</v>
      </c>
      <c r="O144" s="6" t="str">
        <f>VLOOKUP(N144,[1]!Categories,2,FALSE)</f>
        <v>Dairy Products</v>
      </c>
      <c r="P144" s="6">
        <f>VLOOKUP(A144,[1]Order_Details!$A$1:$F$2156,3,FALSE)</f>
        <v>10</v>
      </c>
      <c r="Q144">
        <f>VLOOKUP(A144,[1]Order_Details!$A$1:$F$2156,4,FALSE)</f>
        <v>60</v>
      </c>
      <c r="R144">
        <f>VLOOKUP(A144,[1]Order_Details!$A$1:$F$2156,5,FALSE)</f>
        <v>0.10000000149011612</v>
      </c>
      <c r="S144" s="6">
        <f>VLOOKUP(A144,[1]Order_Details!$A$1:$F$2156,6,FALSE)</f>
        <v>539.99999910593033</v>
      </c>
      <c r="T144" s="6">
        <f>VLOOKUP(A144,[1]!Orders,8,FALSE)</f>
        <v>126.38</v>
      </c>
    </row>
    <row r="145" spans="1:20" x14ac:dyDescent="0.3">
      <c r="A145" s="2">
        <v>10391</v>
      </c>
      <c r="B145" s="2" t="s">
        <v>61</v>
      </c>
      <c r="C145" s="2">
        <v>3</v>
      </c>
      <c r="D145" s="3">
        <v>35422</v>
      </c>
      <c r="E145" t="str">
        <f>VLOOKUP(C145,[1]Employees!$A$1:$O$10,4,FALSE)</f>
        <v>Leverling Janet</v>
      </c>
      <c r="F145">
        <f>VLOOKUP(A145,[1]!Orders,7,FALSE)</f>
        <v>3</v>
      </c>
      <c r="G145" t="str">
        <f>VLOOKUP(F145,[1]!Shippers,2,FALSE)</f>
        <v>Federal Shipping</v>
      </c>
      <c r="H145" t="str">
        <f>VLOOKUP(C145,[1]EmployeeTerritories!$A$1:$B$50,2,FALSE)</f>
        <v>30346</v>
      </c>
      <c r="I145">
        <f>VLOOKUP(C145,[1]EmployeeTerritories!$A$1:$B$50,1,FALSE)</f>
        <v>3</v>
      </c>
      <c r="J145">
        <f>VLOOKUP(H145,[1]!Territories,3,FALSE)</f>
        <v>4</v>
      </c>
      <c r="K145" t="str">
        <f>VLOOKUP(J145,[1]!Region,2,FALSE)</f>
        <v>Southern</v>
      </c>
      <c r="L145">
        <f>VLOOKUP(A145,[1]Order_Details!$A$1:$F$2156,2,FALSE)</f>
        <v>13</v>
      </c>
      <c r="M145" t="str">
        <f>VLOOKUP(L145,[1]!Products,2,FALSE)</f>
        <v>Konbu</v>
      </c>
      <c r="N145">
        <f>VLOOKUP(L145,[1]!Products,4,FALSE)</f>
        <v>8</v>
      </c>
      <c r="O145" s="6" t="str">
        <f>VLOOKUP(N145,[1]!Categories,2,FALSE)</f>
        <v>Seafood</v>
      </c>
      <c r="P145" s="6">
        <f>VLOOKUP(A145,[1]Order_Details!$A$1:$F$2156,3,FALSE)</f>
        <v>4.8</v>
      </c>
      <c r="Q145">
        <f>VLOOKUP(A145,[1]Order_Details!$A$1:$F$2156,4,FALSE)</f>
        <v>18</v>
      </c>
      <c r="R145">
        <f>VLOOKUP(A145,[1]Order_Details!$A$1:$F$2156,5,FALSE)</f>
        <v>0</v>
      </c>
      <c r="S145" s="6">
        <f>VLOOKUP(A145,[1]Order_Details!$A$1:$F$2156,6,FALSE)</f>
        <v>86.399999999999991</v>
      </c>
      <c r="T145" s="6">
        <f>VLOOKUP(A145,[1]!Orders,8,FALSE)</f>
        <v>5.45</v>
      </c>
    </row>
    <row r="146" spans="1:20" x14ac:dyDescent="0.3">
      <c r="A146" s="2">
        <v>10392</v>
      </c>
      <c r="B146" s="2" t="s">
        <v>58</v>
      </c>
      <c r="C146" s="2">
        <v>2</v>
      </c>
      <c r="D146" s="3">
        <v>35423</v>
      </c>
      <c r="E146" t="str">
        <f>VLOOKUP(C146,[1]Employees!$A$1:$O$10,4,FALSE)</f>
        <v>Fuller Andrew</v>
      </c>
      <c r="F146">
        <f>VLOOKUP(A146,[1]!Orders,7,FALSE)</f>
        <v>3</v>
      </c>
      <c r="G146" t="str">
        <f>VLOOKUP(F146,[1]!Shippers,2,FALSE)</f>
        <v>Federal Shipping</v>
      </c>
      <c r="H146" t="str">
        <f>VLOOKUP(C146,[1]EmployeeTerritories!$A$1:$B$50,2,FALSE)</f>
        <v>01581</v>
      </c>
      <c r="I146">
        <f>VLOOKUP(C146,[1]EmployeeTerritories!$A$1:$B$50,1,FALSE)</f>
        <v>2</v>
      </c>
      <c r="J146">
        <f>VLOOKUP(H146,[1]!Territories,3,FALSE)</f>
        <v>1</v>
      </c>
      <c r="K146" t="str">
        <f>VLOOKUP(J146,[1]!Region,2,FALSE)</f>
        <v>Eastern</v>
      </c>
      <c r="L146">
        <f>VLOOKUP(A146,[1]Order_Details!$A$1:$F$2156,2,FALSE)</f>
        <v>69</v>
      </c>
      <c r="M146" t="str">
        <f>VLOOKUP(L146,[1]!Products,2,FALSE)</f>
        <v>Gudbrandsdalsost</v>
      </c>
      <c r="N146">
        <f>VLOOKUP(L146,[1]!Products,4,FALSE)</f>
        <v>4</v>
      </c>
      <c r="O146" s="6" t="str">
        <f>VLOOKUP(N146,[1]!Categories,2,FALSE)</f>
        <v>Dairy Products</v>
      </c>
      <c r="P146" s="6">
        <f>VLOOKUP(A146,[1]Order_Details!$A$1:$F$2156,3,FALSE)</f>
        <v>28.8</v>
      </c>
      <c r="Q146">
        <f>VLOOKUP(A146,[1]Order_Details!$A$1:$F$2156,4,FALSE)</f>
        <v>50</v>
      </c>
      <c r="R146">
        <f>VLOOKUP(A146,[1]Order_Details!$A$1:$F$2156,5,FALSE)</f>
        <v>0</v>
      </c>
      <c r="S146" s="6">
        <f>VLOOKUP(A146,[1]Order_Details!$A$1:$F$2156,6,FALSE)</f>
        <v>1440</v>
      </c>
      <c r="T146" s="6">
        <f>VLOOKUP(A146,[1]!Orders,8,FALSE)</f>
        <v>122.46</v>
      </c>
    </row>
    <row r="147" spans="1:20" x14ac:dyDescent="0.3">
      <c r="A147" s="2">
        <v>10393</v>
      </c>
      <c r="B147" s="2" t="s">
        <v>49</v>
      </c>
      <c r="C147" s="2">
        <v>1</v>
      </c>
      <c r="D147" s="3">
        <v>35424</v>
      </c>
      <c r="E147" t="str">
        <f>VLOOKUP(C147,[1]Employees!$A$1:$O$10,4,FALSE)</f>
        <v>Davolio Nancy</v>
      </c>
      <c r="F147">
        <f>VLOOKUP(A147,[1]!Orders,7,FALSE)</f>
        <v>3</v>
      </c>
      <c r="G147" t="str">
        <f>VLOOKUP(F147,[1]!Shippers,2,FALSE)</f>
        <v>Federal Shipping</v>
      </c>
      <c r="H147" t="str">
        <f>VLOOKUP(C147,[1]EmployeeTerritories!$A$1:$B$50,2,FALSE)</f>
        <v>06897</v>
      </c>
      <c r="I147">
        <f>VLOOKUP(C147,[1]EmployeeTerritories!$A$1:$B$50,1,FALSE)</f>
        <v>1</v>
      </c>
      <c r="J147">
        <f>VLOOKUP(H147,[1]!Territories,3,FALSE)</f>
        <v>1</v>
      </c>
      <c r="K147" t="str">
        <f>VLOOKUP(J147,[1]!Region,2,FALSE)</f>
        <v>Eastern</v>
      </c>
      <c r="L147">
        <f>VLOOKUP(A147,[1]Order_Details!$A$1:$F$2156,2,FALSE)</f>
        <v>2</v>
      </c>
      <c r="M147" t="str">
        <f>VLOOKUP(L147,[1]!Products,2,FALSE)</f>
        <v>Chang</v>
      </c>
      <c r="N147">
        <f>VLOOKUP(L147,[1]!Products,4,FALSE)</f>
        <v>1</v>
      </c>
      <c r="O147" s="6" t="str">
        <f>VLOOKUP(N147,[1]!Categories,2,FALSE)</f>
        <v>Beverages</v>
      </c>
      <c r="P147" s="6">
        <f>VLOOKUP(A147,[1]Order_Details!$A$1:$F$2156,3,FALSE)</f>
        <v>15.2</v>
      </c>
      <c r="Q147">
        <f>VLOOKUP(A147,[1]Order_Details!$A$1:$F$2156,4,FALSE)</f>
        <v>25</v>
      </c>
      <c r="R147">
        <f>VLOOKUP(A147,[1]Order_Details!$A$1:$F$2156,5,FALSE)</f>
        <v>0.25</v>
      </c>
      <c r="S147" s="6">
        <f>VLOOKUP(A147,[1]Order_Details!$A$1:$F$2156,6,FALSE)</f>
        <v>285</v>
      </c>
      <c r="T147" s="6">
        <f>VLOOKUP(A147,[1]!Orders,8,FALSE)</f>
        <v>126.56</v>
      </c>
    </row>
    <row r="148" spans="1:20" x14ac:dyDescent="0.3">
      <c r="A148" s="2">
        <v>10394</v>
      </c>
      <c r="B148" s="2" t="s">
        <v>68</v>
      </c>
      <c r="C148" s="2">
        <v>1</v>
      </c>
      <c r="D148" s="3">
        <v>35424</v>
      </c>
      <c r="E148" t="str">
        <f>VLOOKUP(C148,[1]Employees!$A$1:$O$10,4,FALSE)</f>
        <v>Davolio Nancy</v>
      </c>
      <c r="F148">
        <f>VLOOKUP(A148,[1]!Orders,7,FALSE)</f>
        <v>3</v>
      </c>
      <c r="G148" t="str">
        <f>VLOOKUP(F148,[1]!Shippers,2,FALSE)</f>
        <v>Federal Shipping</v>
      </c>
      <c r="H148" t="str">
        <f>VLOOKUP(C148,[1]EmployeeTerritories!$A$1:$B$50,2,FALSE)</f>
        <v>06897</v>
      </c>
      <c r="I148">
        <f>VLOOKUP(C148,[1]EmployeeTerritories!$A$1:$B$50,1,FALSE)</f>
        <v>1</v>
      </c>
      <c r="J148">
        <f>VLOOKUP(H148,[1]!Territories,3,FALSE)</f>
        <v>1</v>
      </c>
      <c r="K148" t="str">
        <f>VLOOKUP(J148,[1]!Region,2,FALSE)</f>
        <v>Eastern</v>
      </c>
      <c r="L148">
        <f>VLOOKUP(A148,[1]Order_Details!$A$1:$F$2156,2,FALSE)</f>
        <v>13</v>
      </c>
      <c r="M148" t="str">
        <f>VLOOKUP(L148,[1]!Products,2,FALSE)</f>
        <v>Konbu</v>
      </c>
      <c r="N148">
        <f>VLOOKUP(L148,[1]!Products,4,FALSE)</f>
        <v>8</v>
      </c>
      <c r="O148" s="6" t="str">
        <f>VLOOKUP(N148,[1]!Categories,2,FALSE)</f>
        <v>Seafood</v>
      </c>
      <c r="P148" s="6">
        <f>VLOOKUP(A148,[1]Order_Details!$A$1:$F$2156,3,FALSE)</f>
        <v>4.8</v>
      </c>
      <c r="Q148">
        <f>VLOOKUP(A148,[1]Order_Details!$A$1:$F$2156,4,FALSE)</f>
        <v>10</v>
      </c>
      <c r="R148">
        <f>VLOOKUP(A148,[1]Order_Details!$A$1:$F$2156,5,FALSE)</f>
        <v>0</v>
      </c>
      <c r="S148" s="6">
        <f>VLOOKUP(A148,[1]Order_Details!$A$1:$F$2156,6,FALSE)</f>
        <v>48</v>
      </c>
      <c r="T148" s="6">
        <f>VLOOKUP(A148,[1]!Orders,8,FALSE)</f>
        <v>30.34</v>
      </c>
    </row>
    <row r="149" spans="1:20" x14ac:dyDescent="0.3">
      <c r="A149" s="2">
        <v>10395</v>
      </c>
      <c r="B149" s="2" t="s">
        <v>12</v>
      </c>
      <c r="C149" s="2">
        <v>6</v>
      </c>
      <c r="D149" s="3">
        <v>35425</v>
      </c>
      <c r="E149" t="str">
        <f>VLOOKUP(C149,[1]Employees!$A$1:$O$10,4,FALSE)</f>
        <v>Suyama Michael</v>
      </c>
      <c r="F149">
        <f>VLOOKUP(A149,[1]!Orders,7,FALSE)</f>
        <v>1</v>
      </c>
      <c r="G149" t="str">
        <f>VLOOKUP(F149,[1]!Shippers,2,FALSE)</f>
        <v>Speedy Express</v>
      </c>
      <c r="H149" t="str">
        <f>VLOOKUP(C149,[1]EmployeeTerritories!$A$1:$B$50,2,FALSE)</f>
        <v>85014</v>
      </c>
      <c r="I149">
        <f>VLOOKUP(C149,[1]EmployeeTerritories!$A$1:$B$50,1,FALSE)</f>
        <v>6</v>
      </c>
      <c r="J149">
        <f>VLOOKUP(H149,[1]!Territories,3,FALSE)</f>
        <v>2</v>
      </c>
      <c r="K149" t="str">
        <f>VLOOKUP(J149,[1]!Region,2,FALSE)</f>
        <v>Western</v>
      </c>
      <c r="L149">
        <f>VLOOKUP(A149,[1]Order_Details!$A$1:$F$2156,2,FALSE)</f>
        <v>46</v>
      </c>
      <c r="M149" t="str">
        <f>VLOOKUP(L149,[1]!Products,2,FALSE)</f>
        <v>Spegesild</v>
      </c>
      <c r="N149">
        <f>VLOOKUP(L149,[1]!Products,4,FALSE)</f>
        <v>8</v>
      </c>
      <c r="O149" s="6" t="str">
        <f>VLOOKUP(N149,[1]!Categories,2,FALSE)</f>
        <v>Seafood</v>
      </c>
      <c r="P149" s="6">
        <f>VLOOKUP(A149,[1]Order_Details!$A$1:$F$2156,3,FALSE)</f>
        <v>9.6</v>
      </c>
      <c r="Q149">
        <f>VLOOKUP(A149,[1]Order_Details!$A$1:$F$2156,4,FALSE)</f>
        <v>28</v>
      </c>
      <c r="R149">
        <f>VLOOKUP(A149,[1]Order_Details!$A$1:$F$2156,5,FALSE)</f>
        <v>0.10000000149011612</v>
      </c>
      <c r="S149" s="6">
        <f>VLOOKUP(A149,[1]Order_Details!$A$1:$F$2156,6,FALSE)</f>
        <v>241.91999959945679</v>
      </c>
      <c r="T149" s="6">
        <f>VLOOKUP(A149,[1]!Orders,8,FALSE)</f>
        <v>184.41</v>
      </c>
    </row>
    <row r="150" spans="1:20" x14ac:dyDescent="0.3">
      <c r="A150" s="2">
        <v>10396</v>
      </c>
      <c r="B150" s="2" t="s">
        <v>21</v>
      </c>
      <c r="C150" s="2">
        <v>1</v>
      </c>
      <c r="D150" s="3">
        <v>35426</v>
      </c>
      <c r="E150" t="str">
        <f>VLOOKUP(C150,[1]Employees!$A$1:$O$10,4,FALSE)</f>
        <v>Davolio Nancy</v>
      </c>
      <c r="F150">
        <f>VLOOKUP(A150,[1]!Orders,7,FALSE)</f>
        <v>3</v>
      </c>
      <c r="G150" t="str">
        <f>VLOOKUP(F150,[1]!Shippers,2,FALSE)</f>
        <v>Federal Shipping</v>
      </c>
      <c r="H150" t="str">
        <f>VLOOKUP(C150,[1]EmployeeTerritories!$A$1:$B$50,2,FALSE)</f>
        <v>06897</v>
      </c>
      <c r="I150">
        <f>VLOOKUP(C150,[1]EmployeeTerritories!$A$1:$B$50,1,FALSE)</f>
        <v>1</v>
      </c>
      <c r="J150">
        <f>VLOOKUP(H150,[1]!Territories,3,FALSE)</f>
        <v>1</v>
      </c>
      <c r="K150" t="str">
        <f>VLOOKUP(J150,[1]!Region,2,FALSE)</f>
        <v>Eastern</v>
      </c>
      <c r="L150">
        <f>VLOOKUP(A150,[1]Order_Details!$A$1:$F$2156,2,FALSE)</f>
        <v>23</v>
      </c>
      <c r="M150" t="str">
        <f>VLOOKUP(L150,[1]!Products,2,FALSE)</f>
        <v>Tunnbröd</v>
      </c>
      <c r="N150">
        <f>VLOOKUP(L150,[1]!Products,4,FALSE)</f>
        <v>5</v>
      </c>
      <c r="O150" s="6" t="str">
        <f>VLOOKUP(N150,[1]!Categories,2,FALSE)</f>
        <v>Grains/Cereals</v>
      </c>
      <c r="P150" s="6">
        <f>VLOOKUP(A150,[1]Order_Details!$A$1:$F$2156,3,FALSE)</f>
        <v>7.2</v>
      </c>
      <c r="Q150">
        <f>VLOOKUP(A150,[1]Order_Details!$A$1:$F$2156,4,FALSE)</f>
        <v>40</v>
      </c>
      <c r="R150">
        <f>VLOOKUP(A150,[1]Order_Details!$A$1:$F$2156,5,FALSE)</f>
        <v>0</v>
      </c>
      <c r="S150" s="6">
        <f>VLOOKUP(A150,[1]Order_Details!$A$1:$F$2156,6,FALSE)</f>
        <v>288</v>
      </c>
      <c r="T150" s="6">
        <f>VLOOKUP(A150,[1]!Orders,8,FALSE)</f>
        <v>135.35</v>
      </c>
    </row>
    <row r="151" spans="1:20" x14ac:dyDescent="0.3">
      <c r="A151" s="2">
        <v>10397</v>
      </c>
      <c r="B151" s="2" t="s">
        <v>54</v>
      </c>
      <c r="C151" s="2">
        <v>5</v>
      </c>
      <c r="D151" s="3">
        <v>35426</v>
      </c>
      <c r="E151" t="str">
        <f>VLOOKUP(C151,[1]Employees!$A$1:$O$10,4,FALSE)</f>
        <v>Buchanan Steven</v>
      </c>
      <c r="F151">
        <f>VLOOKUP(A151,[1]!Orders,7,FALSE)</f>
        <v>1</v>
      </c>
      <c r="G151" t="str">
        <f>VLOOKUP(F151,[1]!Shippers,2,FALSE)</f>
        <v>Speedy Express</v>
      </c>
      <c r="H151" t="str">
        <f>VLOOKUP(C151,[1]EmployeeTerritories!$A$1:$B$50,2,FALSE)</f>
        <v>02903</v>
      </c>
      <c r="I151">
        <f>VLOOKUP(C151,[1]EmployeeTerritories!$A$1:$B$50,1,FALSE)</f>
        <v>5</v>
      </c>
      <c r="J151">
        <f>VLOOKUP(H151,[1]!Territories,3,FALSE)</f>
        <v>1</v>
      </c>
      <c r="K151" t="str">
        <f>VLOOKUP(J151,[1]!Region,2,FALSE)</f>
        <v>Eastern</v>
      </c>
      <c r="L151">
        <f>VLOOKUP(A151,[1]Order_Details!$A$1:$F$2156,2,FALSE)</f>
        <v>21</v>
      </c>
      <c r="M151" t="str">
        <f>VLOOKUP(L151,[1]!Products,2,FALSE)</f>
        <v>Sir Rodney's Scones</v>
      </c>
      <c r="N151">
        <f>VLOOKUP(L151,[1]!Products,4,FALSE)</f>
        <v>3</v>
      </c>
      <c r="O151" s="6" t="str">
        <f>VLOOKUP(N151,[1]!Categories,2,FALSE)</f>
        <v>Confections</v>
      </c>
      <c r="P151" s="6">
        <f>VLOOKUP(A151,[1]Order_Details!$A$1:$F$2156,3,FALSE)</f>
        <v>8</v>
      </c>
      <c r="Q151">
        <f>VLOOKUP(A151,[1]Order_Details!$A$1:$F$2156,4,FALSE)</f>
        <v>10</v>
      </c>
      <c r="R151">
        <f>VLOOKUP(A151,[1]Order_Details!$A$1:$F$2156,5,FALSE)</f>
        <v>0.15000000596046448</v>
      </c>
      <c r="S151" s="6">
        <f>VLOOKUP(A151,[1]Order_Details!$A$1:$F$2156,6,FALSE)</f>
        <v>67.999999523162842</v>
      </c>
      <c r="T151" s="6">
        <f>VLOOKUP(A151,[1]!Orders,8,FALSE)</f>
        <v>60.26</v>
      </c>
    </row>
    <row r="152" spans="1:20" x14ac:dyDescent="0.3">
      <c r="A152" s="2">
        <v>10398</v>
      </c>
      <c r="B152" s="2" t="s">
        <v>49</v>
      </c>
      <c r="C152" s="2">
        <v>2</v>
      </c>
      <c r="D152" s="3">
        <v>35429</v>
      </c>
      <c r="E152" t="str">
        <f>VLOOKUP(C152,[1]Employees!$A$1:$O$10,4,FALSE)</f>
        <v>Fuller Andrew</v>
      </c>
      <c r="F152">
        <f>VLOOKUP(A152,[1]!Orders,7,FALSE)</f>
        <v>3</v>
      </c>
      <c r="G152" t="str">
        <f>VLOOKUP(F152,[1]!Shippers,2,FALSE)</f>
        <v>Federal Shipping</v>
      </c>
      <c r="H152" t="str">
        <f>VLOOKUP(C152,[1]EmployeeTerritories!$A$1:$B$50,2,FALSE)</f>
        <v>01581</v>
      </c>
      <c r="I152">
        <f>VLOOKUP(C152,[1]EmployeeTerritories!$A$1:$B$50,1,FALSE)</f>
        <v>2</v>
      </c>
      <c r="J152">
        <f>VLOOKUP(H152,[1]!Territories,3,FALSE)</f>
        <v>1</v>
      </c>
      <c r="K152" t="str">
        <f>VLOOKUP(J152,[1]!Region,2,FALSE)</f>
        <v>Eastern</v>
      </c>
      <c r="L152">
        <f>VLOOKUP(A152,[1]Order_Details!$A$1:$F$2156,2,FALSE)</f>
        <v>35</v>
      </c>
      <c r="M152" t="str">
        <f>VLOOKUP(L152,[1]!Products,2,FALSE)</f>
        <v>Steeleye Stout</v>
      </c>
      <c r="N152">
        <f>VLOOKUP(L152,[1]!Products,4,FALSE)</f>
        <v>1</v>
      </c>
      <c r="O152" s="6" t="str">
        <f>VLOOKUP(N152,[1]!Categories,2,FALSE)</f>
        <v>Beverages</v>
      </c>
      <c r="P152" s="6">
        <f>VLOOKUP(A152,[1]Order_Details!$A$1:$F$2156,3,FALSE)</f>
        <v>14.4</v>
      </c>
      <c r="Q152">
        <f>VLOOKUP(A152,[1]Order_Details!$A$1:$F$2156,4,FALSE)</f>
        <v>30</v>
      </c>
      <c r="R152">
        <f>VLOOKUP(A152,[1]Order_Details!$A$1:$F$2156,5,FALSE)</f>
        <v>0</v>
      </c>
      <c r="S152" s="6">
        <f>VLOOKUP(A152,[1]Order_Details!$A$1:$F$2156,6,FALSE)</f>
        <v>432</v>
      </c>
      <c r="T152" s="6">
        <f>VLOOKUP(A152,[1]!Orders,8,FALSE)</f>
        <v>89.16</v>
      </c>
    </row>
    <row r="153" spans="1:20" x14ac:dyDescent="0.3">
      <c r="A153" s="2">
        <v>10399</v>
      </c>
      <c r="B153" s="2" t="s">
        <v>65</v>
      </c>
      <c r="C153" s="2">
        <v>8</v>
      </c>
      <c r="D153" s="3">
        <v>35430</v>
      </c>
      <c r="E153" t="str">
        <f>VLOOKUP(C153,[1]Employees!$A$1:$O$10,4,FALSE)</f>
        <v>Callahan Laura</v>
      </c>
      <c r="F153">
        <f>VLOOKUP(A153,[1]!Orders,7,FALSE)</f>
        <v>3</v>
      </c>
      <c r="G153" t="str">
        <f>VLOOKUP(F153,[1]!Shippers,2,FALSE)</f>
        <v>Federal Shipping</v>
      </c>
      <c r="H153" t="str">
        <f>VLOOKUP(C153,[1]EmployeeTerritories!$A$1:$B$50,2,FALSE)</f>
        <v>19428</v>
      </c>
      <c r="I153">
        <f>VLOOKUP(C153,[1]EmployeeTerritories!$A$1:$B$50,1,FALSE)</f>
        <v>8</v>
      </c>
      <c r="J153">
        <f>VLOOKUP(H153,[1]!Territories,3,FALSE)</f>
        <v>3</v>
      </c>
      <c r="K153" t="str">
        <f>VLOOKUP(J153,[1]!Region,2,FALSE)</f>
        <v>Northern</v>
      </c>
      <c r="L153">
        <f>VLOOKUP(A153,[1]Order_Details!$A$1:$F$2156,2,FALSE)</f>
        <v>68</v>
      </c>
      <c r="M153" t="str">
        <f>VLOOKUP(L153,[1]!Products,2,FALSE)</f>
        <v>Scottish Longbreads</v>
      </c>
      <c r="N153">
        <f>VLOOKUP(L153,[1]!Products,4,FALSE)</f>
        <v>3</v>
      </c>
      <c r="O153" s="6" t="str">
        <f>VLOOKUP(N153,[1]!Categories,2,FALSE)</f>
        <v>Confections</v>
      </c>
      <c r="P153" s="6">
        <f>VLOOKUP(A153,[1]Order_Details!$A$1:$F$2156,3,FALSE)</f>
        <v>10</v>
      </c>
      <c r="Q153">
        <f>VLOOKUP(A153,[1]Order_Details!$A$1:$F$2156,4,FALSE)</f>
        <v>60</v>
      </c>
      <c r="R153">
        <f>VLOOKUP(A153,[1]Order_Details!$A$1:$F$2156,5,FALSE)</f>
        <v>0</v>
      </c>
      <c r="S153" s="6">
        <f>VLOOKUP(A153,[1]Order_Details!$A$1:$F$2156,6,FALSE)</f>
        <v>600</v>
      </c>
      <c r="T153" s="6">
        <f>VLOOKUP(A153,[1]!Orders,8,FALSE)</f>
        <v>27.36</v>
      </c>
    </row>
    <row r="154" spans="1:20" x14ac:dyDescent="0.3">
      <c r="A154" s="2">
        <v>10400</v>
      </c>
      <c r="B154" s="2" t="s">
        <v>62</v>
      </c>
      <c r="C154" s="2">
        <v>1</v>
      </c>
      <c r="D154" s="3">
        <v>35431</v>
      </c>
      <c r="E154" t="str">
        <f>VLOOKUP(C154,[1]Employees!$A$1:$O$10,4,FALSE)</f>
        <v>Davolio Nancy</v>
      </c>
      <c r="F154">
        <f>VLOOKUP(A154,[1]!Orders,7,FALSE)</f>
        <v>3</v>
      </c>
      <c r="G154" t="str">
        <f>VLOOKUP(F154,[1]!Shippers,2,FALSE)</f>
        <v>Federal Shipping</v>
      </c>
      <c r="H154" t="str">
        <f>VLOOKUP(C154,[1]EmployeeTerritories!$A$1:$B$50,2,FALSE)</f>
        <v>06897</v>
      </c>
      <c r="I154">
        <f>VLOOKUP(C154,[1]EmployeeTerritories!$A$1:$B$50,1,FALSE)</f>
        <v>1</v>
      </c>
      <c r="J154">
        <f>VLOOKUP(H154,[1]!Territories,3,FALSE)</f>
        <v>1</v>
      </c>
      <c r="K154" t="str">
        <f>VLOOKUP(J154,[1]!Region,2,FALSE)</f>
        <v>Eastern</v>
      </c>
      <c r="L154">
        <f>VLOOKUP(A154,[1]Order_Details!$A$1:$F$2156,2,FALSE)</f>
        <v>29</v>
      </c>
      <c r="M154" t="str">
        <f>VLOOKUP(L154,[1]!Products,2,FALSE)</f>
        <v>Thüringer Rostbratwurst</v>
      </c>
      <c r="N154">
        <f>VLOOKUP(L154,[1]!Products,4,FALSE)</f>
        <v>6</v>
      </c>
      <c r="O154" s="6" t="str">
        <f>VLOOKUP(N154,[1]!Categories,2,FALSE)</f>
        <v>Meat/Poultry</v>
      </c>
      <c r="P154" s="6">
        <f>VLOOKUP(A154,[1]Order_Details!$A$1:$F$2156,3,FALSE)</f>
        <v>99</v>
      </c>
      <c r="Q154">
        <f>VLOOKUP(A154,[1]Order_Details!$A$1:$F$2156,4,FALSE)</f>
        <v>21</v>
      </c>
      <c r="R154">
        <f>VLOOKUP(A154,[1]Order_Details!$A$1:$F$2156,5,FALSE)</f>
        <v>0</v>
      </c>
      <c r="S154" s="6">
        <f>VLOOKUP(A154,[1]Order_Details!$A$1:$F$2156,6,FALSE)</f>
        <v>2079</v>
      </c>
      <c r="T154" s="6">
        <f>VLOOKUP(A154,[1]!Orders,8,FALSE)</f>
        <v>83.93</v>
      </c>
    </row>
    <row r="155" spans="1:20" x14ac:dyDescent="0.3">
      <c r="A155" s="2">
        <v>10401</v>
      </c>
      <c r="B155" s="2" t="s">
        <v>17</v>
      </c>
      <c r="C155" s="2">
        <v>1</v>
      </c>
      <c r="D155" s="3">
        <v>35431</v>
      </c>
      <c r="E155" t="str">
        <f>VLOOKUP(C155,[1]Employees!$A$1:$O$10,4,FALSE)</f>
        <v>Davolio Nancy</v>
      </c>
      <c r="F155">
        <f>VLOOKUP(A155,[1]!Orders,7,FALSE)</f>
        <v>1</v>
      </c>
      <c r="G155" t="str">
        <f>VLOOKUP(F155,[1]!Shippers,2,FALSE)</f>
        <v>Speedy Express</v>
      </c>
      <c r="H155" t="str">
        <f>VLOOKUP(C155,[1]EmployeeTerritories!$A$1:$B$50,2,FALSE)</f>
        <v>06897</v>
      </c>
      <c r="I155">
        <f>VLOOKUP(C155,[1]EmployeeTerritories!$A$1:$B$50,1,FALSE)</f>
        <v>1</v>
      </c>
      <c r="J155">
        <f>VLOOKUP(H155,[1]!Territories,3,FALSE)</f>
        <v>1</v>
      </c>
      <c r="K155" t="str">
        <f>VLOOKUP(J155,[1]!Region,2,FALSE)</f>
        <v>Eastern</v>
      </c>
      <c r="L155">
        <f>VLOOKUP(A155,[1]Order_Details!$A$1:$F$2156,2,FALSE)</f>
        <v>30</v>
      </c>
      <c r="M155" t="str">
        <f>VLOOKUP(L155,[1]!Products,2,FALSE)</f>
        <v>Nord-Ost Matjeshering</v>
      </c>
      <c r="N155">
        <f>VLOOKUP(L155,[1]!Products,4,FALSE)</f>
        <v>8</v>
      </c>
      <c r="O155" s="6" t="str">
        <f>VLOOKUP(N155,[1]!Categories,2,FALSE)</f>
        <v>Seafood</v>
      </c>
      <c r="P155" s="6">
        <f>VLOOKUP(A155,[1]Order_Details!$A$1:$F$2156,3,FALSE)</f>
        <v>20.7</v>
      </c>
      <c r="Q155">
        <f>VLOOKUP(A155,[1]Order_Details!$A$1:$F$2156,4,FALSE)</f>
        <v>18</v>
      </c>
      <c r="R155">
        <f>VLOOKUP(A155,[1]Order_Details!$A$1:$F$2156,5,FALSE)</f>
        <v>0</v>
      </c>
      <c r="S155" s="6">
        <f>VLOOKUP(A155,[1]Order_Details!$A$1:$F$2156,6,FALSE)</f>
        <v>372.59999999999997</v>
      </c>
      <c r="T155" s="6">
        <f>VLOOKUP(A155,[1]!Orders,8,FALSE)</f>
        <v>12.51</v>
      </c>
    </row>
    <row r="156" spans="1:20" x14ac:dyDescent="0.3">
      <c r="A156" s="2">
        <v>10402</v>
      </c>
      <c r="B156" s="2" t="s">
        <v>13</v>
      </c>
      <c r="C156" s="2">
        <v>8</v>
      </c>
      <c r="D156" s="3">
        <v>35432</v>
      </c>
      <c r="E156" t="str">
        <f>VLOOKUP(C156,[1]Employees!$A$1:$O$10,4,FALSE)</f>
        <v>Callahan Laura</v>
      </c>
      <c r="F156">
        <f>VLOOKUP(A156,[1]!Orders,7,FALSE)</f>
        <v>2</v>
      </c>
      <c r="G156" t="str">
        <f>VLOOKUP(F156,[1]!Shippers,2,FALSE)</f>
        <v>United Package</v>
      </c>
      <c r="H156" t="str">
        <f>VLOOKUP(C156,[1]EmployeeTerritories!$A$1:$B$50,2,FALSE)</f>
        <v>19428</v>
      </c>
      <c r="I156">
        <f>VLOOKUP(C156,[1]EmployeeTerritories!$A$1:$B$50,1,FALSE)</f>
        <v>8</v>
      </c>
      <c r="J156">
        <f>VLOOKUP(H156,[1]!Territories,3,FALSE)</f>
        <v>3</v>
      </c>
      <c r="K156" t="str">
        <f>VLOOKUP(J156,[1]!Region,2,FALSE)</f>
        <v>Northern</v>
      </c>
      <c r="L156">
        <f>VLOOKUP(A156,[1]Order_Details!$A$1:$F$2156,2,FALSE)</f>
        <v>23</v>
      </c>
      <c r="M156" t="str">
        <f>VLOOKUP(L156,[1]!Products,2,FALSE)</f>
        <v>Tunnbröd</v>
      </c>
      <c r="N156">
        <f>VLOOKUP(L156,[1]!Products,4,FALSE)</f>
        <v>5</v>
      </c>
      <c r="O156" s="6" t="str">
        <f>VLOOKUP(N156,[1]!Categories,2,FALSE)</f>
        <v>Grains/Cereals</v>
      </c>
      <c r="P156" s="6">
        <f>VLOOKUP(A156,[1]Order_Details!$A$1:$F$2156,3,FALSE)</f>
        <v>7.2</v>
      </c>
      <c r="Q156">
        <f>VLOOKUP(A156,[1]Order_Details!$A$1:$F$2156,4,FALSE)</f>
        <v>60</v>
      </c>
      <c r="R156">
        <f>VLOOKUP(A156,[1]Order_Details!$A$1:$F$2156,5,FALSE)</f>
        <v>0</v>
      </c>
      <c r="S156" s="6">
        <f>VLOOKUP(A156,[1]Order_Details!$A$1:$F$2156,6,FALSE)</f>
        <v>432</v>
      </c>
      <c r="T156" s="6">
        <f>VLOOKUP(A156,[1]!Orders,8,FALSE)</f>
        <v>67.88</v>
      </c>
    </row>
    <row r="157" spans="1:20" x14ac:dyDescent="0.3">
      <c r="A157" s="2">
        <v>10403</v>
      </c>
      <c r="B157" s="2" t="s">
        <v>13</v>
      </c>
      <c r="C157" s="2">
        <v>4</v>
      </c>
      <c r="D157" s="3">
        <v>35433</v>
      </c>
      <c r="E157" t="str">
        <f>VLOOKUP(C157,[1]Employees!$A$1:$O$10,4,FALSE)</f>
        <v>Peacock Margaret</v>
      </c>
      <c r="F157">
        <f>VLOOKUP(A157,[1]!Orders,7,FALSE)</f>
        <v>3</v>
      </c>
      <c r="G157" t="str">
        <f>VLOOKUP(F157,[1]!Shippers,2,FALSE)</f>
        <v>Federal Shipping</v>
      </c>
      <c r="H157" t="str">
        <f>VLOOKUP(C157,[1]EmployeeTerritories!$A$1:$B$50,2,FALSE)</f>
        <v>20852</v>
      </c>
      <c r="I157">
        <f>VLOOKUP(C157,[1]EmployeeTerritories!$A$1:$B$50,1,FALSE)</f>
        <v>4</v>
      </c>
      <c r="J157">
        <f>VLOOKUP(H157,[1]!Territories,3,FALSE)</f>
        <v>1</v>
      </c>
      <c r="K157" t="str">
        <f>VLOOKUP(J157,[1]!Region,2,FALSE)</f>
        <v>Eastern</v>
      </c>
      <c r="L157">
        <f>VLOOKUP(A157,[1]Order_Details!$A$1:$F$2156,2,FALSE)</f>
        <v>16</v>
      </c>
      <c r="M157" t="str">
        <f>VLOOKUP(L157,[1]!Products,2,FALSE)</f>
        <v>Pavlova</v>
      </c>
      <c r="N157">
        <f>VLOOKUP(L157,[1]!Products,4,FALSE)</f>
        <v>3</v>
      </c>
      <c r="O157" s="6" t="str">
        <f>VLOOKUP(N157,[1]!Categories,2,FALSE)</f>
        <v>Confections</v>
      </c>
      <c r="P157" s="6">
        <f>VLOOKUP(A157,[1]Order_Details!$A$1:$F$2156,3,FALSE)</f>
        <v>13.9</v>
      </c>
      <c r="Q157">
        <f>VLOOKUP(A157,[1]Order_Details!$A$1:$F$2156,4,FALSE)</f>
        <v>21</v>
      </c>
      <c r="R157">
        <f>VLOOKUP(A157,[1]Order_Details!$A$1:$F$2156,5,FALSE)</f>
        <v>0.15000000596046448</v>
      </c>
      <c r="S157" s="6">
        <f>VLOOKUP(A157,[1]Order_Details!$A$1:$F$2156,6,FALSE)</f>
        <v>248.11499826014045</v>
      </c>
      <c r="T157" s="6">
        <f>VLOOKUP(A157,[1]!Orders,8,FALSE)</f>
        <v>73.790000000000006</v>
      </c>
    </row>
    <row r="158" spans="1:20" x14ac:dyDescent="0.3">
      <c r="A158" s="2">
        <v>10404</v>
      </c>
      <c r="B158" s="2" t="s">
        <v>26</v>
      </c>
      <c r="C158" s="2">
        <v>2</v>
      </c>
      <c r="D158" s="3">
        <v>35433</v>
      </c>
      <c r="E158" t="str">
        <f>VLOOKUP(C158,[1]Employees!$A$1:$O$10,4,FALSE)</f>
        <v>Fuller Andrew</v>
      </c>
      <c r="F158">
        <f>VLOOKUP(A158,[1]!Orders,7,FALSE)</f>
        <v>1</v>
      </c>
      <c r="G158" t="str">
        <f>VLOOKUP(F158,[1]!Shippers,2,FALSE)</f>
        <v>Speedy Express</v>
      </c>
      <c r="H158" t="str">
        <f>VLOOKUP(C158,[1]EmployeeTerritories!$A$1:$B$50,2,FALSE)</f>
        <v>01581</v>
      </c>
      <c r="I158">
        <f>VLOOKUP(C158,[1]EmployeeTerritories!$A$1:$B$50,1,FALSE)</f>
        <v>2</v>
      </c>
      <c r="J158">
        <f>VLOOKUP(H158,[1]!Territories,3,FALSE)</f>
        <v>1</v>
      </c>
      <c r="K158" t="str">
        <f>VLOOKUP(J158,[1]!Region,2,FALSE)</f>
        <v>Eastern</v>
      </c>
      <c r="L158">
        <f>VLOOKUP(A158,[1]Order_Details!$A$1:$F$2156,2,FALSE)</f>
        <v>26</v>
      </c>
      <c r="M158" t="str">
        <f>VLOOKUP(L158,[1]!Products,2,FALSE)</f>
        <v>Gumbär Gummibärchen</v>
      </c>
      <c r="N158">
        <f>VLOOKUP(L158,[1]!Products,4,FALSE)</f>
        <v>3</v>
      </c>
      <c r="O158" s="6" t="str">
        <f>VLOOKUP(N158,[1]!Categories,2,FALSE)</f>
        <v>Confections</v>
      </c>
      <c r="P158" s="6">
        <f>VLOOKUP(A158,[1]Order_Details!$A$1:$F$2156,3,FALSE)</f>
        <v>24.9</v>
      </c>
      <c r="Q158">
        <f>VLOOKUP(A158,[1]Order_Details!$A$1:$F$2156,4,FALSE)</f>
        <v>30</v>
      </c>
      <c r="R158">
        <f>VLOOKUP(A158,[1]Order_Details!$A$1:$F$2156,5,FALSE)</f>
        <v>5.000000074505806E-2</v>
      </c>
      <c r="S158" s="6">
        <f>VLOOKUP(A158,[1]Order_Details!$A$1:$F$2156,6,FALSE)</f>
        <v>709.64999944344163</v>
      </c>
      <c r="T158" s="6">
        <f>VLOOKUP(A158,[1]!Orders,8,FALSE)</f>
        <v>155.97</v>
      </c>
    </row>
    <row r="159" spans="1:20" x14ac:dyDescent="0.3">
      <c r="A159" s="2">
        <v>10405</v>
      </c>
      <c r="B159" s="2" t="s">
        <v>71</v>
      </c>
      <c r="C159" s="2">
        <v>1</v>
      </c>
      <c r="D159" s="3">
        <v>35436</v>
      </c>
      <c r="E159" t="str">
        <f>VLOOKUP(C159,[1]Employees!$A$1:$O$10,4,FALSE)</f>
        <v>Davolio Nancy</v>
      </c>
      <c r="F159">
        <f>VLOOKUP(A159,[1]!Orders,7,FALSE)</f>
        <v>1</v>
      </c>
      <c r="G159" t="str">
        <f>VLOOKUP(F159,[1]!Shippers,2,FALSE)</f>
        <v>Speedy Express</v>
      </c>
      <c r="H159" t="str">
        <f>VLOOKUP(C159,[1]EmployeeTerritories!$A$1:$B$50,2,FALSE)</f>
        <v>06897</v>
      </c>
      <c r="I159">
        <f>VLOOKUP(C159,[1]EmployeeTerritories!$A$1:$B$50,1,FALSE)</f>
        <v>1</v>
      </c>
      <c r="J159">
        <f>VLOOKUP(H159,[1]!Territories,3,FALSE)</f>
        <v>1</v>
      </c>
      <c r="K159" t="str">
        <f>VLOOKUP(J159,[1]!Region,2,FALSE)</f>
        <v>Eastern</v>
      </c>
      <c r="L159">
        <f>VLOOKUP(A159,[1]Order_Details!$A$1:$F$2156,2,FALSE)</f>
        <v>3</v>
      </c>
      <c r="M159" t="str">
        <f>VLOOKUP(L159,[1]!Products,2,FALSE)</f>
        <v>Aniseed Syrup</v>
      </c>
      <c r="N159">
        <f>VLOOKUP(L159,[1]!Products,4,FALSE)</f>
        <v>2</v>
      </c>
      <c r="O159" s="6" t="str">
        <f>VLOOKUP(N159,[1]!Categories,2,FALSE)</f>
        <v>Condiments</v>
      </c>
      <c r="P159" s="6">
        <f>VLOOKUP(A159,[1]Order_Details!$A$1:$F$2156,3,FALSE)</f>
        <v>8</v>
      </c>
      <c r="Q159">
        <f>VLOOKUP(A159,[1]Order_Details!$A$1:$F$2156,4,FALSE)</f>
        <v>50</v>
      </c>
      <c r="R159">
        <f>VLOOKUP(A159,[1]Order_Details!$A$1:$F$2156,5,FALSE)</f>
        <v>0</v>
      </c>
      <c r="S159" s="6">
        <f>VLOOKUP(A159,[1]Order_Details!$A$1:$F$2156,6,FALSE)</f>
        <v>400</v>
      </c>
      <c r="T159" s="6">
        <f>VLOOKUP(A159,[1]!Orders,8,FALSE)</f>
        <v>34.82</v>
      </c>
    </row>
    <row r="160" spans="1:20" x14ac:dyDescent="0.3">
      <c r="A160" s="2">
        <v>10406</v>
      </c>
      <c r="B160" s="2" t="s">
        <v>66</v>
      </c>
      <c r="C160" s="2">
        <v>7</v>
      </c>
      <c r="D160" s="3">
        <v>35437</v>
      </c>
      <c r="E160" t="str">
        <f>VLOOKUP(C160,[1]Employees!$A$1:$O$10,4,FALSE)</f>
        <v>King Robert</v>
      </c>
      <c r="F160">
        <f>VLOOKUP(A160,[1]!Orders,7,FALSE)</f>
        <v>1</v>
      </c>
      <c r="G160" t="str">
        <f>VLOOKUP(F160,[1]!Shippers,2,FALSE)</f>
        <v>Speedy Express</v>
      </c>
      <c r="H160" t="str">
        <f>VLOOKUP(C160,[1]EmployeeTerritories!$A$1:$B$50,2,FALSE)</f>
        <v>60179</v>
      </c>
      <c r="I160">
        <f>VLOOKUP(C160,[1]EmployeeTerritories!$A$1:$B$50,1,FALSE)</f>
        <v>7</v>
      </c>
      <c r="J160">
        <f>VLOOKUP(H160,[1]!Territories,3,FALSE)</f>
        <v>2</v>
      </c>
      <c r="K160" t="str">
        <f>VLOOKUP(J160,[1]!Region,2,FALSE)</f>
        <v>Western</v>
      </c>
      <c r="L160">
        <f>VLOOKUP(A160,[1]Order_Details!$A$1:$F$2156,2,FALSE)</f>
        <v>1</v>
      </c>
      <c r="M160" t="str">
        <f>VLOOKUP(L160,[1]!Products,2,FALSE)</f>
        <v>Chai</v>
      </c>
      <c r="N160">
        <f>VLOOKUP(L160,[1]!Products,4,FALSE)</f>
        <v>1</v>
      </c>
      <c r="O160" s="6" t="str">
        <f>VLOOKUP(N160,[1]!Categories,2,FALSE)</f>
        <v>Beverages</v>
      </c>
      <c r="P160" s="6">
        <f>VLOOKUP(A160,[1]Order_Details!$A$1:$F$2156,3,FALSE)</f>
        <v>14.4</v>
      </c>
      <c r="Q160">
        <f>VLOOKUP(A160,[1]Order_Details!$A$1:$F$2156,4,FALSE)</f>
        <v>10</v>
      </c>
      <c r="R160">
        <f>VLOOKUP(A160,[1]Order_Details!$A$1:$F$2156,5,FALSE)</f>
        <v>0</v>
      </c>
      <c r="S160" s="6">
        <f>VLOOKUP(A160,[1]Order_Details!$A$1:$F$2156,6,FALSE)</f>
        <v>144</v>
      </c>
      <c r="T160" s="6">
        <f>VLOOKUP(A160,[1]!Orders,8,FALSE)</f>
        <v>108.04</v>
      </c>
    </row>
    <row r="161" spans="1:20" x14ac:dyDescent="0.3">
      <c r="A161" s="2">
        <v>10407</v>
      </c>
      <c r="B161" s="2" t="s">
        <v>15</v>
      </c>
      <c r="C161" s="2">
        <v>2</v>
      </c>
      <c r="D161" s="3">
        <v>35437</v>
      </c>
      <c r="E161" t="str">
        <f>VLOOKUP(C161,[1]Employees!$A$1:$O$10,4,FALSE)</f>
        <v>Fuller Andrew</v>
      </c>
      <c r="F161">
        <f>VLOOKUP(A161,[1]!Orders,7,FALSE)</f>
        <v>2</v>
      </c>
      <c r="G161" t="str">
        <f>VLOOKUP(F161,[1]!Shippers,2,FALSE)</f>
        <v>United Package</v>
      </c>
      <c r="H161" t="str">
        <f>VLOOKUP(C161,[1]EmployeeTerritories!$A$1:$B$50,2,FALSE)</f>
        <v>01581</v>
      </c>
      <c r="I161">
        <f>VLOOKUP(C161,[1]EmployeeTerritories!$A$1:$B$50,1,FALSE)</f>
        <v>2</v>
      </c>
      <c r="J161">
        <f>VLOOKUP(H161,[1]!Territories,3,FALSE)</f>
        <v>1</v>
      </c>
      <c r="K161" t="str">
        <f>VLOOKUP(J161,[1]!Region,2,FALSE)</f>
        <v>Eastern</v>
      </c>
      <c r="L161">
        <f>VLOOKUP(A161,[1]Order_Details!$A$1:$F$2156,2,FALSE)</f>
        <v>11</v>
      </c>
      <c r="M161" t="str">
        <f>VLOOKUP(L161,[1]!Products,2,FALSE)</f>
        <v>Queso Cabrales</v>
      </c>
      <c r="N161">
        <f>VLOOKUP(L161,[1]!Products,4,FALSE)</f>
        <v>4</v>
      </c>
      <c r="O161" s="6" t="str">
        <f>VLOOKUP(N161,[1]!Categories,2,FALSE)</f>
        <v>Dairy Products</v>
      </c>
      <c r="P161" s="6">
        <f>VLOOKUP(A161,[1]Order_Details!$A$1:$F$2156,3,FALSE)</f>
        <v>16.8</v>
      </c>
      <c r="Q161">
        <f>VLOOKUP(A161,[1]Order_Details!$A$1:$F$2156,4,FALSE)</f>
        <v>30</v>
      </c>
      <c r="R161">
        <f>VLOOKUP(A161,[1]Order_Details!$A$1:$F$2156,5,FALSE)</f>
        <v>0</v>
      </c>
      <c r="S161" s="6">
        <f>VLOOKUP(A161,[1]Order_Details!$A$1:$F$2156,6,FALSE)</f>
        <v>504</v>
      </c>
      <c r="T161" s="6">
        <f>VLOOKUP(A161,[1]!Orders,8,FALSE)</f>
        <v>91.48</v>
      </c>
    </row>
    <row r="162" spans="1:20" x14ac:dyDescent="0.3">
      <c r="A162" s="2">
        <v>10408</v>
      </c>
      <c r="B162" s="2" t="s">
        <v>72</v>
      </c>
      <c r="C162" s="2">
        <v>8</v>
      </c>
      <c r="D162" s="3">
        <v>35438</v>
      </c>
      <c r="E162" t="str">
        <f>VLOOKUP(C162,[1]Employees!$A$1:$O$10,4,FALSE)</f>
        <v>Callahan Laura</v>
      </c>
      <c r="F162">
        <f>VLOOKUP(A162,[1]!Orders,7,FALSE)</f>
        <v>1</v>
      </c>
      <c r="G162" t="str">
        <f>VLOOKUP(F162,[1]!Shippers,2,FALSE)</f>
        <v>Speedy Express</v>
      </c>
      <c r="H162" t="str">
        <f>VLOOKUP(C162,[1]EmployeeTerritories!$A$1:$B$50,2,FALSE)</f>
        <v>19428</v>
      </c>
      <c r="I162">
        <f>VLOOKUP(C162,[1]EmployeeTerritories!$A$1:$B$50,1,FALSE)</f>
        <v>8</v>
      </c>
      <c r="J162">
        <f>VLOOKUP(H162,[1]!Territories,3,FALSE)</f>
        <v>3</v>
      </c>
      <c r="K162" t="str">
        <f>VLOOKUP(J162,[1]!Region,2,FALSE)</f>
        <v>Northern</v>
      </c>
      <c r="L162">
        <f>VLOOKUP(A162,[1]Order_Details!$A$1:$F$2156,2,FALSE)</f>
        <v>37</v>
      </c>
      <c r="M162" t="str">
        <f>VLOOKUP(L162,[1]!Products,2,FALSE)</f>
        <v>Gravad lax</v>
      </c>
      <c r="N162">
        <f>VLOOKUP(L162,[1]!Products,4,FALSE)</f>
        <v>8</v>
      </c>
      <c r="O162" s="6" t="str">
        <f>VLOOKUP(N162,[1]!Categories,2,FALSE)</f>
        <v>Seafood</v>
      </c>
      <c r="P162" s="6">
        <f>VLOOKUP(A162,[1]Order_Details!$A$1:$F$2156,3,FALSE)</f>
        <v>20.8</v>
      </c>
      <c r="Q162">
        <f>VLOOKUP(A162,[1]Order_Details!$A$1:$F$2156,4,FALSE)</f>
        <v>10</v>
      </c>
      <c r="R162">
        <f>VLOOKUP(A162,[1]Order_Details!$A$1:$F$2156,5,FALSE)</f>
        <v>0</v>
      </c>
      <c r="S162" s="6">
        <f>VLOOKUP(A162,[1]Order_Details!$A$1:$F$2156,6,FALSE)</f>
        <v>208</v>
      </c>
      <c r="T162" s="6">
        <f>VLOOKUP(A162,[1]!Orders,8,FALSE)</f>
        <v>11.26</v>
      </c>
    </row>
    <row r="163" spans="1:20" x14ac:dyDescent="0.3">
      <c r="A163" s="2">
        <v>10409</v>
      </c>
      <c r="B163" s="2" t="s">
        <v>73</v>
      </c>
      <c r="C163" s="2">
        <v>3</v>
      </c>
      <c r="D163" s="3">
        <v>35439</v>
      </c>
      <c r="E163" t="str">
        <f>VLOOKUP(C163,[1]Employees!$A$1:$O$10,4,FALSE)</f>
        <v>Leverling Janet</v>
      </c>
      <c r="F163">
        <f>VLOOKUP(A163,[1]!Orders,7,FALSE)</f>
        <v>1</v>
      </c>
      <c r="G163" t="str">
        <f>VLOOKUP(F163,[1]!Shippers,2,FALSE)</f>
        <v>Speedy Express</v>
      </c>
      <c r="H163" t="str">
        <f>VLOOKUP(C163,[1]EmployeeTerritories!$A$1:$B$50,2,FALSE)</f>
        <v>30346</v>
      </c>
      <c r="I163">
        <f>VLOOKUP(C163,[1]EmployeeTerritories!$A$1:$B$50,1,FALSE)</f>
        <v>3</v>
      </c>
      <c r="J163">
        <f>VLOOKUP(H163,[1]!Territories,3,FALSE)</f>
        <v>4</v>
      </c>
      <c r="K163" t="str">
        <f>VLOOKUP(J163,[1]!Region,2,FALSE)</f>
        <v>Southern</v>
      </c>
      <c r="L163">
        <f>VLOOKUP(A163,[1]Order_Details!$A$1:$F$2156,2,FALSE)</f>
        <v>14</v>
      </c>
      <c r="M163" t="str">
        <f>VLOOKUP(L163,[1]!Products,2,FALSE)</f>
        <v>Tofu</v>
      </c>
      <c r="N163">
        <f>VLOOKUP(L163,[1]!Products,4,FALSE)</f>
        <v>7</v>
      </c>
      <c r="O163" s="6" t="str">
        <f>VLOOKUP(N163,[1]!Categories,2,FALSE)</f>
        <v>Produce</v>
      </c>
      <c r="P163" s="6">
        <f>VLOOKUP(A163,[1]Order_Details!$A$1:$F$2156,3,FALSE)</f>
        <v>18.600000000000001</v>
      </c>
      <c r="Q163">
        <f>VLOOKUP(A163,[1]Order_Details!$A$1:$F$2156,4,FALSE)</f>
        <v>12</v>
      </c>
      <c r="R163">
        <f>VLOOKUP(A163,[1]Order_Details!$A$1:$F$2156,5,FALSE)</f>
        <v>0</v>
      </c>
      <c r="S163" s="6">
        <f>VLOOKUP(A163,[1]Order_Details!$A$1:$F$2156,6,FALSE)</f>
        <v>223.20000000000002</v>
      </c>
      <c r="T163" s="6">
        <f>VLOOKUP(A163,[1]!Orders,8,FALSE)</f>
        <v>29.83</v>
      </c>
    </row>
    <row r="164" spans="1:20" x14ac:dyDescent="0.3">
      <c r="A164" s="2">
        <v>10410</v>
      </c>
      <c r="B164" s="2" t="s">
        <v>70</v>
      </c>
      <c r="C164" s="2">
        <v>3</v>
      </c>
      <c r="D164" s="3">
        <v>35440</v>
      </c>
      <c r="E164" t="str">
        <f>VLOOKUP(C164,[1]Employees!$A$1:$O$10,4,FALSE)</f>
        <v>Leverling Janet</v>
      </c>
      <c r="F164">
        <f>VLOOKUP(A164,[1]!Orders,7,FALSE)</f>
        <v>3</v>
      </c>
      <c r="G164" t="str">
        <f>VLOOKUP(F164,[1]!Shippers,2,FALSE)</f>
        <v>Federal Shipping</v>
      </c>
      <c r="H164" t="str">
        <f>VLOOKUP(C164,[1]EmployeeTerritories!$A$1:$B$50,2,FALSE)</f>
        <v>30346</v>
      </c>
      <c r="I164">
        <f>VLOOKUP(C164,[1]EmployeeTerritories!$A$1:$B$50,1,FALSE)</f>
        <v>3</v>
      </c>
      <c r="J164">
        <f>VLOOKUP(H164,[1]!Territories,3,FALSE)</f>
        <v>4</v>
      </c>
      <c r="K164" t="str">
        <f>VLOOKUP(J164,[1]!Region,2,FALSE)</f>
        <v>Southern</v>
      </c>
      <c r="L164">
        <f>VLOOKUP(A164,[1]Order_Details!$A$1:$F$2156,2,FALSE)</f>
        <v>33</v>
      </c>
      <c r="M164" t="str">
        <f>VLOOKUP(L164,[1]!Products,2,FALSE)</f>
        <v>Geitost</v>
      </c>
      <c r="N164">
        <f>VLOOKUP(L164,[1]!Products,4,FALSE)</f>
        <v>4</v>
      </c>
      <c r="O164" s="6" t="str">
        <f>VLOOKUP(N164,[1]!Categories,2,FALSE)</f>
        <v>Dairy Products</v>
      </c>
      <c r="P164" s="6">
        <f>VLOOKUP(A164,[1]Order_Details!$A$1:$F$2156,3,FALSE)</f>
        <v>2</v>
      </c>
      <c r="Q164">
        <f>VLOOKUP(A164,[1]Order_Details!$A$1:$F$2156,4,FALSE)</f>
        <v>49</v>
      </c>
      <c r="R164">
        <f>VLOOKUP(A164,[1]Order_Details!$A$1:$F$2156,5,FALSE)</f>
        <v>0</v>
      </c>
      <c r="S164" s="6">
        <f>VLOOKUP(A164,[1]Order_Details!$A$1:$F$2156,6,FALSE)</f>
        <v>98</v>
      </c>
      <c r="T164" s="6">
        <f>VLOOKUP(A164,[1]!Orders,8,FALSE)</f>
        <v>2.4</v>
      </c>
    </row>
    <row r="165" spans="1:20" x14ac:dyDescent="0.3">
      <c r="A165" s="2">
        <v>10411</v>
      </c>
      <c r="B165" s="2" t="s">
        <v>70</v>
      </c>
      <c r="C165" s="2">
        <v>9</v>
      </c>
      <c r="D165" s="3">
        <v>35440</v>
      </c>
      <c r="E165" t="str">
        <f>VLOOKUP(C165,[1]Employees!$A$1:$O$10,4,FALSE)</f>
        <v>Dodsworth Anne</v>
      </c>
      <c r="F165">
        <f>VLOOKUP(A165,[1]!Orders,7,FALSE)</f>
        <v>3</v>
      </c>
      <c r="G165" t="str">
        <f>VLOOKUP(F165,[1]!Shippers,2,FALSE)</f>
        <v>Federal Shipping</v>
      </c>
      <c r="H165" t="str">
        <f>VLOOKUP(C165,[1]EmployeeTerritories!$A$1:$B$50,2,FALSE)</f>
        <v>03049</v>
      </c>
      <c r="I165">
        <f>VLOOKUP(C165,[1]EmployeeTerritories!$A$1:$B$50,1,FALSE)</f>
        <v>9</v>
      </c>
      <c r="J165">
        <f>VLOOKUP(H165,[1]!Territories,3,FALSE)</f>
        <v>3</v>
      </c>
      <c r="K165" t="str">
        <f>VLOOKUP(J165,[1]!Region,2,FALSE)</f>
        <v>Northern</v>
      </c>
      <c r="L165">
        <f>VLOOKUP(A165,[1]Order_Details!$A$1:$F$2156,2,FALSE)</f>
        <v>41</v>
      </c>
      <c r="M165" t="str">
        <f>VLOOKUP(L165,[1]!Products,2,FALSE)</f>
        <v>Jack's New England Clam Chowder</v>
      </c>
      <c r="N165">
        <f>VLOOKUP(L165,[1]!Products,4,FALSE)</f>
        <v>8</v>
      </c>
      <c r="O165" s="6" t="str">
        <f>VLOOKUP(N165,[1]!Categories,2,FALSE)</f>
        <v>Seafood</v>
      </c>
      <c r="P165" s="6">
        <f>VLOOKUP(A165,[1]Order_Details!$A$1:$F$2156,3,FALSE)</f>
        <v>7.7</v>
      </c>
      <c r="Q165">
        <f>VLOOKUP(A165,[1]Order_Details!$A$1:$F$2156,4,FALSE)</f>
        <v>25</v>
      </c>
      <c r="R165">
        <f>VLOOKUP(A165,[1]Order_Details!$A$1:$F$2156,5,FALSE)</f>
        <v>0.20000000298023224</v>
      </c>
      <c r="S165" s="6">
        <f>VLOOKUP(A165,[1]Order_Details!$A$1:$F$2156,6,FALSE)</f>
        <v>153.99999942630529</v>
      </c>
      <c r="T165" s="6">
        <f>VLOOKUP(A165,[1]!Orders,8,FALSE)</f>
        <v>23.65</v>
      </c>
    </row>
    <row r="166" spans="1:20" x14ac:dyDescent="0.3">
      <c r="A166" s="2">
        <v>10412</v>
      </c>
      <c r="B166" s="2" t="s">
        <v>20</v>
      </c>
      <c r="C166" s="2">
        <v>8</v>
      </c>
      <c r="D166" s="3">
        <v>35443</v>
      </c>
      <c r="E166" t="str">
        <f>VLOOKUP(C166,[1]Employees!$A$1:$O$10,4,FALSE)</f>
        <v>Callahan Laura</v>
      </c>
      <c r="F166">
        <f>VLOOKUP(A166,[1]!Orders,7,FALSE)</f>
        <v>2</v>
      </c>
      <c r="G166" t="str">
        <f>VLOOKUP(F166,[1]!Shippers,2,FALSE)</f>
        <v>United Package</v>
      </c>
      <c r="H166" t="str">
        <f>VLOOKUP(C166,[1]EmployeeTerritories!$A$1:$B$50,2,FALSE)</f>
        <v>19428</v>
      </c>
      <c r="I166">
        <f>VLOOKUP(C166,[1]EmployeeTerritories!$A$1:$B$50,1,FALSE)</f>
        <v>8</v>
      </c>
      <c r="J166">
        <f>VLOOKUP(H166,[1]!Territories,3,FALSE)</f>
        <v>3</v>
      </c>
      <c r="K166" t="str">
        <f>VLOOKUP(J166,[1]!Region,2,FALSE)</f>
        <v>Northern</v>
      </c>
      <c r="L166">
        <f>VLOOKUP(A166,[1]Order_Details!$A$1:$F$2156,2,FALSE)</f>
        <v>14</v>
      </c>
      <c r="M166" t="str">
        <f>VLOOKUP(L166,[1]!Products,2,FALSE)</f>
        <v>Tofu</v>
      </c>
      <c r="N166">
        <f>VLOOKUP(L166,[1]!Products,4,FALSE)</f>
        <v>7</v>
      </c>
      <c r="O166" s="6" t="str">
        <f>VLOOKUP(N166,[1]!Categories,2,FALSE)</f>
        <v>Produce</v>
      </c>
      <c r="P166" s="6">
        <f>VLOOKUP(A166,[1]Order_Details!$A$1:$F$2156,3,FALSE)</f>
        <v>18.600000000000001</v>
      </c>
      <c r="Q166">
        <f>VLOOKUP(A166,[1]Order_Details!$A$1:$F$2156,4,FALSE)</f>
        <v>20</v>
      </c>
      <c r="R166">
        <f>VLOOKUP(A166,[1]Order_Details!$A$1:$F$2156,5,FALSE)</f>
        <v>0.10000000149011612</v>
      </c>
      <c r="S166" s="6">
        <f>VLOOKUP(A166,[1]Order_Details!$A$1:$F$2156,6,FALSE)</f>
        <v>334.7999994456768</v>
      </c>
      <c r="T166" s="6">
        <f>VLOOKUP(A166,[1]!Orders,8,FALSE)</f>
        <v>3.77</v>
      </c>
    </row>
    <row r="167" spans="1:20" x14ac:dyDescent="0.3">
      <c r="A167" s="2">
        <v>10413</v>
      </c>
      <c r="B167" s="2" t="s">
        <v>57</v>
      </c>
      <c r="C167" s="2">
        <v>3</v>
      </c>
      <c r="D167" s="3">
        <v>35444</v>
      </c>
      <c r="E167" t="str">
        <f>VLOOKUP(C167,[1]Employees!$A$1:$O$10,4,FALSE)</f>
        <v>Leverling Janet</v>
      </c>
      <c r="F167">
        <f>VLOOKUP(A167,[1]!Orders,7,FALSE)</f>
        <v>2</v>
      </c>
      <c r="G167" t="str">
        <f>VLOOKUP(F167,[1]!Shippers,2,FALSE)</f>
        <v>United Package</v>
      </c>
      <c r="H167" t="str">
        <f>VLOOKUP(C167,[1]EmployeeTerritories!$A$1:$B$50,2,FALSE)</f>
        <v>30346</v>
      </c>
      <c r="I167">
        <f>VLOOKUP(C167,[1]EmployeeTerritories!$A$1:$B$50,1,FALSE)</f>
        <v>3</v>
      </c>
      <c r="J167">
        <f>VLOOKUP(H167,[1]!Territories,3,FALSE)</f>
        <v>4</v>
      </c>
      <c r="K167" t="str">
        <f>VLOOKUP(J167,[1]!Region,2,FALSE)</f>
        <v>Southern</v>
      </c>
      <c r="L167">
        <f>VLOOKUP(A167,[1]Order_Details!$A$1:$F$2156,2,FALSE)</f>
        <v>1</v>
      </c>
      <c r="M167" t="str">
        <f>VLOOKUP(L167,[1]!Products,2,FALSE)</f>
        <v>Chai</v>
      </c>
      <c r="N167">
        <f>VLOOKUP(L167,[1]!Products,4,FALSE)</f>
        <v>1</v>
      </c>
      <c r="O167" s="6" t="str">
        <f>VLOOKUP(N167,[1]!Categories,2,FALSE)</f>
        <v>Beverages</v>
      </c>
      <c r="P167" s="6">
        <f>VLOOKUP(A167,[1]Order_Details!$A$1:$F$2156,3,FALSE)</f>
        <v>14.4</v>
      </c>
      <c r="Q167">
        <f>VLOOKUP(A167,[1]Order_Details!$A$1:$F$2156,4,FALSE)</f>
        <v>24</v>
      </c>
      <c r="R167">
        <f>VLOOKUP(A167,[1]Order_Details!$A$1:$F$2156,5,FALSE)</f>
        <v>0</v>
      </c>
      <c r="S167" s="6">
        <f>VLOOKUP(A167,[1]Order_Details!$A$1:$F$2156,6,FALSE)</f>
        <v>345.6</v>
      </c>
      <c r="T167" s="6">
        <f>VLOOKUP(A167,[1]!Orders,8,FALSE)</f>
        <v>95.66</v>
      </c>
    </row>
    <row r="168" spans="1:20" x14ac:dyDescent="0.3">
      <c r="A168" s="2">
        <v>10414</v>
      </c>
      <c r="B168" s="2" t="s">
        <v>56</v>
      </c>
      <c r="C168" s="2">
        <v>2</v>
      </c>
      <c r="D168" s="3">
        <v>35444</v>
      </c>
      <c r="E168" t="str">
        <f>VLOOKUP(C168,[1]Employees!$A$1:$O$10,4,FALSE)</f>
        <v>Fuller Andrew</v>
      </c>
      <c r="F168">
        <f>VLOOKUP(A168,[1]!Orders,7,FALSE)</f>
        <v>3</v>
      </c>
      <c r="G168" t="str">
        <f>VLOOKUP(F168,[1]!Shippers,2,FALSE)</f>
        <v>Federal Shipping</v>
      </c>
      <c r="H168" t="str">
        <f>VLOOKUP(C168,[1]EmployeeTerritories!$A$1:$B$50,2,FALSE)</f>
        <v>01581</v>
      </c>
      <c r="I168">
        <f>VLOOKUP(C168,[1]EmployeeTerritories!$A$1:$B$50,1,FALSE)</f>
        <v>2</v>
      </c>
      <c r="J168">
        <f>VLOOKUP(H168,[1]!Territories,3,FALSE)</f>
        <v>1</v>
      </c>
      <c r="K168" t="str">
        <f>VLOOKUP(J168,[1]!Region,2,FALSE)</f>
        <v>Eastern</v>
      </c>
      <c r="L168">
        <f>VLOOKUP(A168,[1]Order_Details!$A$1:$F$2156,2,FALSE)</f>
        <v>19</v>
      </c>
      <c r="M168" t="str">
        <f>VLOOKUP(L168,[1]!Products,2,FALSE)</f>
        <v>Teatime Chocolate Biscuits</v>
      </c>
      <c r="N168">
        <f>VLOOKUP(L168,[1]!Products,4,FALSE)</f>
        <v>3</v>
      </c>
      <c r="O168" s="6" t="str">
        <f>VLOOKUP(N168,[1]!Categories,2,FALSE)</f>
        <v>Confections</v>
      </c>
      <c r="P168" s="6">
        <f>VLOOKUP(A168,[1]Order_Details!$A$1:$F$2156,3,FALSE)</f>
        <v>7.3</v>
      </c>
      <c r="Q168">
        <f>VLOOKUP(A168,[1]Order_Details!$A$1:$F$2156,4,FALSE)</f>
        <v>18</v>
      </c>
      <c r="R168">
        <f>VLOOKUP(A168,[1]Order_Details!$A$1:$F$2156,5,FALSE)</f>
        <v>5.000000074505806E-2</v>
      </c>
      <c r="S168" s="6">
        <f>VLOOKUP(A168,[1]Order_Details!$A$1:$F$2156,6,FALSE)</f>
        <v>124.82999990209937</v>
      </c>
      <c r="T168" s="6">
        <f>VLOOKUP(A168,[1]!Orders,8,FALSE)</f>
        <v>21.48</v>
      </c>
    </row>
    <row r="169" spans="1:20" x14ac:dyDescent="0.3">
      <c r="A169" s="2">
        <v>10415</v>
      </c>
      <c r="B169" s="2" t="s">
        <v>68</v>
      </c>
      <c r="C169" s="2">
        <v>3</v>
      </c>
      <c r="D169" s="3">
        <v>35445</v>
      </c>
      <c r="E169" t="str">
        <f>VLOOKUP(C169,[1]Employees!$A$1:$O$10,4,FALSE)</f>
        <v>Leverling Janet</v>
      </c>
      <c r="F169">
        <f>VLOOKUP(A169,[1]!Orders,7,FALSE)</f>
        <v>1</v>
      </c>
      <c r="G169" t="str">
        <f>VLOOKUP(F169,[1]!Shippers,2,FALSE)</f>
        <v>Speedy Express</v>
      </c>
      <c r="H169" t="str">
        <f>VLOOKUP(C169,[1]EmployeeTerritories!$A$1:$B$50,2,FALSE)</f>
        <v>30346</v>
      </c>
      <c r="I169">
        <f>VLOOKUP(C169,[1]EmployeeTerritories!$A$1:$B$50,1,FALSE)</f>
        <v>3</v>
      </c>
      <c r="J169">
        <f>VLOOKUP(H169,[1]!Territories,3,FALSE)</f>
        <v>4</v>
      </c>
      <c r="K169" t="str">
        <f>VLOOKUP(J169,[1]!Region,2,FALSE)</f>
        <v>Southern</v>
      </c>
      <c r="L169">
        <f>VLOOKUP(A169,[1]Order_Details!$A$1:$F$2156,2,FALSE)</f>
        <v>17</v>
      </c>
      <c r="M169" t="str">
        <f>VLOOKUP(L169,[1]!Products,2,FALSE)</f>
        <v>Alice Mutton</v>
      </c>
      <c r="N169">
        <f>VLOOKUP(L169,[1]!Products,4,FALSE)</f>
        <v>6</v>
      </c>
      <c r="O169" s="6" t="str">
        <f>VLOOKUP(N169,[1]!Categories,2,FALSE)</f>
        <v>Meat/Poultry</v>
      </c>
      <c r="P169" s="6">
        <f>VLOOKUP(A169,[1]Order_Details!$A$1:$F$2156,3,FALSE)</f>
        <v>31.2</v>
      </c>
      <c r="Q169">
        <f>VLOOKUP(A169,[1]Order_Details!$A$1:$F$2156,4,FALSE)</f>
        <v>2</v>
      </c>
      <c r="R169">
        <f>VLOOKUP(A169,[1]Order_Details!$A$1:$F$2156,5,FALSE)</f>
        <v>0</v>
      </c>
      <c r="S169" s="6">
        <f>VLOOKUP(A169,[1]Order_Details!$A$1:$F$2156,6,FALSE)</f>
        <v>62.4</v>
      </c>
      <c r="T169" s="6">
        <f>VLOOKUP(A169,[1]!Orders,8,FALSE)</f>
        <v>0.2</v>
      </c>
    </row>
    <row r="170" spans="1:20" x14ac:dyDescent="0.3">
      <c r="A170" s="2">
        <v>10416</v>
      </c>
      <c r="B170" s="2" t="s">
        <v>20</v>
      </c>
      <c r="C170" s="2">
        <v>8</v>
      </c>
      <c r="D170" s="3">
        <v>35446</v>
      </c>
      <c r="E170" t="str">
        <f>VLOOKUP(C170,[1]Employees!$A$1:$O$10,4,FALSE)</f>
        <v>Callahan Laura</v>
      </c>
      <c r="F170">
        <f>VLOOKUP(A170,[1]!Orders,7,FALSE)</f>
        <v>3</v>
      </c>
      <c r="G170" t="str">
        <f>VLOOKUP(F170,[1]!Shippers,2,FALSE)</f>
        <v>Federal Shipping</v>
      </c>
      <c r="H170" t="str">
        <f>VLOOKUP(C170,[1]EmployeeTerritories!$A$1:$B$50,2,FALSE)</f>
        <v>19428</v>
      </c>
      <c r="I170">
        <f>VLOOKUP(C170,[1]EmployeeTerritories!$A$1:$B$50,1,FALSE)</f>
        <v>8</v>
      </c>
      <c r="J170">
        <f>VLOOKUP(H170,[1]!Territories,3,FALSE)</f>
        <v>3</v>
      </c>
      <c r="K170" t="str">
        <f>VLOOKUP(J170,[1]!Region,2,FALSE)</f>
        <v>Northern</v>
      </c>
      <c r="L170">
        <f>VLOOKUP(A170,[1]Order_Details!$A$1:$F$2156,2,FALSE)</f>
        <v>19</v>
      </c>
      <c r="M170" t="str">
        <f>VLOOKUP(L170,[1]!Products,2,FALSE)</f>
        <v>Teatime Chocolate Biscuits</v>
      </c>
      <c r="N170">
        <f>VLOOKUP(L170,[1]!Products,4,FALSE)</f>
        <v>3</v>
      </c>
      <c r="O170" s="6" t="str">
        <f>VLOOKUP(N170,[1]!Categories,2,FALSE)</f>
        <v>Confections</v>
      </c>
      <c r="P170" s="6">
        <f>VLOOKUP(A170,[1]Order_Details!$A$1:$F$2156,3,FALSE)</f>
        <v>7.3</v>
      </c>
      <c r="Q170">
        <f>VLOOKUP(A170,[1]Order_Details!$A$1:$F$2156,4,FALSE)</f>
        <v>20</v>
      </c>
      <c r="R170">
        <f>VLOOKUP(A170,[1]Order_Details!$A$1:$F$2156,5,FALSE)</f>
        <v>0</v>
      </c>
      <c r="S170" s="6">
        <f>VLOOKUP(A170,[1]Order_Details!$A$1:$F$2156,6,FALSE)</f>
        <v>146</v>
      </c>
      <c r="T170" s="6">
        <f>VLOOKUP(A170,[1]!Orders,8,FALSE)</f>
        <v>22.72</v>
      </c>
    </row>
    <row r="171" spans="1:20" x14ac:dyDescent="0.3">
      <c r="A171" s="2">
        <v>10417</v>
      </c>
      <c r="B171" s="2" t="s">
        <v>55</v>
      </c>
      <c r="C171" s="2">
        <v>4</v>
      </c>
      <c r="D171" s="3">
        <v>35446</v>
      </c>
      <c r="E171" t="str">
        <f>VLOOKUP(C171,[1]Employees!$A$1:$O$10,4,FALSE)</f>
        <v>Peacock Margaret</v>
      </c>
      <c r="F171">
        <f>VLOOKUP(A171,[1]!Orders,7,FALSE)</f>
        <v>3</v>
      </c>
      <c r="G171" t="str">
        <f>VLOOKUP(F171,[1]!Shippers,2,FALSE)</f>
        <v>Federal Shipping</v>
      </c>
      <c r="H171" t="str">
        <f>VLOOKUP(C171,[1]EmployeeTerritories!$A$1:$B$50,2,FALSE)</f>
        <v>20852</v>
      </c>
      <c r="I171">
        <f>VLOOKUP(C171,[1]EmployeeTerritories!$A$1:$B$50,1,FALSE)</f>
        <v>4</v>
      </c>
      <c r="J171">
        <f>VLOOKUP(H171,[1]!Territories,3,FALSE)</f>
        <v>1</v>
      </c>
      <c r="K171" t="str">
        <f>VLOOKUP(J171,[1]!Region,2,FALSE)</f>
        <v>Eastern</v>
      </c>
      <c r="L171">
        <f>VLOOKUP(A171,[1]Order_Details!$A$1:$F$2156,2,FALSE)</f>
        <v>38</v>
      </c>
      <c r="M171" t="str">
        <f>VLOOKUP(L171,[1]!Products,2,FALSE)</f>
        <v>Côte de Blaye</v>
      </c>
      <c r="N171">
        <f>VLOOKUP(L171,[1]!Products,4,FALSE)</f>
        <v>1</v>
      </c>
      <c r="O171" s="6" t="str">
        <f>VLOOKUP(N171,[1]!Categories,2,FALSE)</f>
        <v>Beverages</v>
      </c>
      <c r="P171" s="6">
        <f>VLOOKUP(A171,[1]Order_Details!$A$1:$F$2156,3,FALSE)</f>
        <v>210.8</v>
      </c>
      <c r="Q171">
        <f>VLOOKUP(A171,[1]Order_Details!$A$1:$F$2156,4,FALSE)</f>
        <v>50</v>
      </c>
      <c r="R171">
        <f>VLOOKUP(A171,[1]Order_Details!$A$1:$F$2156,5,FALSE)</f>
        <v>0</v>
      </c>
      <c r="S171" s="6">
        <f>VLOOKUP(A171,[1]Order_Details!$A$1:$F$2156,6,FALSE)</f>
        <v>10540</v>
      </c>
      <c r="T171" s="6">
        <f>VLOOKUP(A171,[1]!Orders,8,FALSE)</f>
        <v>70.290000000000006</v>
      </c>
    </row>
    <row r="172" spans="1:20" x14ac:dyDescent="0.3">
      <c r="A172" s="2">
        <v>10418</v>
      </c>
      <c r="B172" s="2" t="s">
        <v>25</v>
      </c>
      <c r="C172" s="2">
        <v>4</v>
      </c>
      <c r="D172" s="3">
        <v>35447</v>
      </c>
      <c r="E172" t="str">
        <f>VLOOKUP(C172,[1]Employees!$A$1:$O$10,4,FALSE)</f>
        <v>Peacock Margaret</v>
      </c>
      <c r="F172">
        <f>VLOOKUP(A172,[1]!Orders,7,FALSE)</f>
        <v>1</v>
      </c>
      <c r="G172" t="str">
        <f>VLOOKUP(F172,[1]!Shippers,2,FALSE)</f>
        <v>Speedy Express</v>
      </c>
      <c r="H172" t="str">
        <f>VLOOKUP(C172,[1]EmployeeTerritories!$A$1:$B$50,2,FALSE)</f>
        <v>20852</v>
      </c>
      <c r="I172">
        <f>VLOOKUP(C172,[1]EmployeeTerritories!$A$1:$B$50,1,FALSE)</f>
        <v>4</v>
      </c>
      <c r="J172">
        <f>VLOOKUP(H172,[1]!Territories,3,FALSE)</f>
        <v>1</v>
      </c>
      <c r="K172" t="str">
        <f>VLOOKUP(J172,[1]!Region,2,FALSE)</f>
        <v>Eastern</v>
      </c>
      <c r="L172">
        <f>VLOOKUP(A172,[1]Order_Details!$A$1:$F$2156,2,FALSE)</f>
        <v>2</v>
      </c>
      <c r="M172" t="str">
        <f>VLOOKUP(L172,[1]!Products,2,FALSE)</f>
        <v>Chang</v>
      </c>
      <c r="N172">
        <f>VLOOKUP(L172,[1]!Products,4,FALSE)</f>
        <v>1</v>
      </c>
      <c r="O172" s="6" t="str">
        <f>VLOOKUP(N172,[1]!Categories,2,FALSE)</f>
        <v>Beverages</v>
      </c>
      <c r="P172" s="6">
        <f>VLOOKUP(A172,[1]Order_Details!$A$1:$F$2156,3,FALSE)</f>
        <v>15.2</v>
      </c>
      <c r="Q172">
        <f>VLOOKUP(A172,[1]Order_Details!$A$1:$F$2156,4,FALSE)</f>
        <v>60</v>
      </c>
      <c r="R172">
        <f>VLOOKUP(A172,[1]Order_Details!$A$1:$F$2156,5,FALSE)</f>
        <v>0</v>
      </c>
      <c r="S172" s="6">
        <f>VLOOKUP(A172,[1]Order_Details!$A$1:$F$2156,6,FALSE)</f>
        <v>912</v>
      </c>
      <c r="T172" s="6">
        <f>VLOOKUP(A172,[1]!Orders,8,FALSE)</f>
        <v>17.55</v>
      </c>
    </row>
    <row r="173" spans="1:20" x14ac:dyDescent="0.3">
      <c r="A173" s="2">
        <v>10419</v>
      </c>
      <c r="B173" s="2" t="s">
        <v>10</v>
      </c>
      <c r="C173" s="2">
        <v>4</v>
      </c>
      <c r="D173" s="3">
        <v>35450</v>
      </c>
      <c r="E173" t="str">
        <f>VLOOKUP(C173,[1]Employees!$A$1:$O$10,4,FALSE)</f>
        <v>Peacock Margaret</v>
      </c>
      <c r="F173">
        <f>VLOOKUP(A173,[1]!Orders,7,FALSE)</f>
        <v>2</v>
      </c>
      <c r="G173" t="str">
        <f>VLOOKUP(F173,[1]!Shippers,2,FALSE)</f>
        <v>United Package</v>
      </c>
      <c r="H173" t="str">
        <f>VLOOKUP(C173,[1]EmployeeTerritories!$A$1:$B$50,2,FALSE)</f>
        <v>20852</v>
      </c>
      <c r="I173">
        <f>VLOOKUP(C173,[1]EmployeeTerritories!$A$1:$B$50,1,FALSE)</f>
        <v>4</v>
      </c>
      <c r="J173">
        <f>VLOOKUP(H173,[1]!Territories,3,FALSE)</f>
        <v>1</v>
      </c>
      <c r="K173" t="str">
        <f>VLOOKUP(J173,[1]!Region,2,FALSE)</f>
        <v>Eastern</v>
      </c>
      <c r="L173">
        <f>VLOOKUP(A173,[1]Order_Details!$A$1:$F$2156,2,FALSE)</f>
        <v>60</v>
      </c>
      <c r="M173" t="str">
        <f>VLOOKUP(L173,[1]!Products,2,FALSE)</f>
        <v>Camembert Pierrot</v>
      </c>
      <c r="N173">
        <f>VLOOKUP(L173,[1]!Products,4,FALSE)</f>
        <v>4</v>
      </c>
      <c r="O173" s="6" t="str">
        <f>VLOOKUP(N173,[1]!Categories,2,FALSE)</f>
        <v>Dairy Products</v>
      </c>
      <c r="P173" s="6">
        <f>VLOOKUP(A173,[1]Order_Details!$A$1:$F$2156,3,FALSE)</f>
        <v>27.2</v>
      </c>
      <c r="Q173">
        <f>VLOOKUP(A173,[1]Order_Details!$A$1:$F$2156,4,FALSE)</f>
        <v>60</v>
      </c>
      <c r="R173">
        <f>VLOOKUP(A173,[1]Order_Details!$A$1:$F$2156,5,FALSE)</f>
        <v>5.000000074505806E-2</v>
      </c>
      <c r="S173" s="6">
        <f>VLOOKUP(A173,[1]Order_Details!$A$1:$F$2156,6,FALSE)</f>
        <v>1550.3999987840652</v>
      </c>
      <c r="T173" s="6">
        <f>VLOOKUP(A173,[1]!Orders,8,FALSE)</f>
        <v>137.35</v>
      </c>
    </row>
    <row r="174" spans="1:20" x14ac:dyDescent="0.3">
      <c r="A174" s="2">
        <v>10420</v>
      </c>
      <c r="B174" s="2" t="s">
        <v>11</v>
      </c>
      <c r="C174" s="2">
        <v>3</v>
      </c>
      <c r="D174" s="3">
        <v>35451</v>
      </c>
      <c r="E174" t="str">
        <f>VLOOKUP(C174,[1]Employees!$A$1:$O$10,4,FALSE)</f>
        <v>Leverling Janet</v>
      </c>
      <c r="F174">
        <f>VLOOKUP(A174,[1]!Orders,7,FALSE)</f>
        <v>1</v>
      </c>
      <c r="G174" t="str">
        <f>VLOOKUP(F174,[1]!Shippers,2,FALSE)</f>
        <v>Speedy Express</v>
      </c>
      <c r="H174" t="str">
        <f>VLOOKUP(C174,[1]EmployeeTerritories!$A$1:$B$50,2,FALSE)</f>
        <v>30346</v>
      </c>
      <c r="I174">
        <f>VLOOKUP(C174,[1]EmployeeTerritories!$A$1:$B$50,1,FALSE)</f>
        <v>3</v>
      </c>
      <c r="J174">
        <f>VLOOKUP(H174,[1]!Territories,3,FALSE)</f>
        <v>4</v>
      </c>
      <c r="K174" t="str">
        <f>VLOOKUP(J174,[1]!Region,2,FALSE)</f>
        <v>Southern</v>
      </c>
      <c r="L174">
        <f>VLOOKUP(A174,[1]Order_Details!$A$1:$F$2156,2,FALSE)</f>
        <v>9</v>
      </c>
      <c r="M174" t="str">
        <f>VLOOKUP(L174,[1]!Products,2,FALSE)</f>
        <v>Mishi Kobe Niku</v>
      </c>
      <c r="N174">
        <f>VLOOKUP(L174,[1]!Products,4,FALSE)</f>
        <v>6</v>
      </c>
      <c r="O174" s="6" t="str">
        <f>VLOOKUP(N174,[1]!Categories,2,FALSE)</f>
        <v>Meat/Poultry</v>
      </c>
      <c r="P174" s="6">
        <f>VLOOKUP(A174,[1]Order_Details!$A$1:$F$2156,3,FALSE)</f>
        <v>77.599999999999994</v>
      </c>
      <c r="Q174">
        <f>VLOOKUP(A174,[1]Order_Details!$A$1:$F$2156,4,FALSE)</f>
        <v>20</v>
      </c>
      <c r="R174">
        <f>VLOOKUP(A174,[1]Order_Details!$A$1:$F$2156,5,FALSE)</f>
        <v>0.10000000149011612</v>
      </c>
      <c r="S174" s="6">
        <f>VLOOKUP(A174,[1]Order_Details!$A$1:$F$2156,6,FALSE)</f>
        <v>1396.7999976873398</v>
      </c>
      <c r="T174" s="6">
        <f>VLOOKUP(A174,[1]!Orders,8,FALSE)</f>
        <v>44.12</v>
      </c>
    </row>
    <row r="175" spans="1:20" x14ac:dyDescent="0.3">
      <c r="A175" s="2">
        <v>10421</v>
      </c>
      <c r="B175" s="2" t="s">
        <v>16</v>
      </c>
      <c r="C175" s="2">
        <v>8</v>
      </c>
      <c r="D175" s="3">
        <v>35451</v>
      </c>
      <c r="E175" t="str">
        <f>VLOOKUP(C175,[1]Employees!$A$1:$O$10,4,FALSE)</f>
        <v>Callahan Laura</v>
      </c>
      <c r="F175">
        <f>VLOOKUP(A175,[1]!Orders,7,FALSE)</f>
        <v>1</v>
      </c>
      <c r="G175" t="str">
        <f>VLOOKUP(F175,[1]!Shippers,2,FALSE)</f>
        <v>Speedy Express</v>
      </c>
      <c r="H175" t="str">
        <f>VLOOKUP(C175,[1]EmployeeTerritories!$A$1:$B$50,2,FALSE)</f>
        <v>19428</v>
      </c>
      <c r="I175">
        <f>VLOOKUP(C175,[1]EmployeeTerritories!$A$1:$B$50,1,FALSE)</f>
        <v>8</v>
      </c>
      <c r="J175">
        <f>VLOOKUP(H175,[1]!Territories,3,FALSE)</f>
        <v>3</v>
      </c>
      <c r="K175" t="str">
        <f>VLOOKUP(J175,[1]!Region,2,FALSE)</f>
        <v>Northern</v>
      </c>
      <c r="L175">
        <f>VLOOKUP(A175,[1]Order_Details!$A$1:$F$2156,2,FALSE)</f>
        <v>19</v>
      </c>
      <c r="M175" t="str">
        <f>VLOOKUP(L175,[1]!Products,2,FALSE)</f>
        <v>Teatime Chocolate Biscuits</v>
      </c>
      <c r="N175">
        <f>VLOOKUP(L175,[1]!Products,4,FALSE)</f>
        <v>3</v>
      </c>
      <c r="O175" s="6" t="str">
        <f>VLOOKUP(N175,[1]!Categories,2,FALSE)</f>
        <v>Confections</v>
      </c>
      <c r="P175" s="6">
        <f>VLOOKUP(A175,[1]Order_Details!$A$1:$F$2156,3,FALSE)</f>
        <v>7.3</v>
      </c>
      <c r="Q175">
        <f>VLOOKUP(A175,[1]Order_Details!$A$1:$F$2156,4,FALSE)</f>
        <v>4</v>
      </c>
      <c r="R175">
        <f>VLOOKUP(A175,[1]Order_Details!$A$1:$F$2156,5,FALSE)</f>
        <v>0.15000000596046448</v>
      </c>
      <c r="S175" s="6">
        <f>VLOOKUP(A175,[1]Order_Details!$A$1:$F$2156,6,FALSE)</f>
        <v>24.819999825954437</v>
      </c>
      <c r="T175" s="6">
        <f>VLOOKUP(A175,[1]!Orders,8,FALSE)</f>
        <v>99.23</v>
      </c>
    </row>
    <row r="176" spans="1:20" x14ac:dyDescent="0.3">
      <c r="A176" s="2">
        <v>10422</v>
      </c>
      <c r="B176" s="2" t="s">
        <v>74</v>
      </c>
      <c r="C176" s="2">
        <v>2</v>
      </c>
      <c r="D176" s="3">
        <v>35452</v>
      </c>
      <c r="E176" t="str">
        <f>VLOOKUP(C176,[1]Employees!$A$1:$O$10,4,FALSE)</f>
        <v>Fuller Andrew</v>
      </c>
      <c r="F176">
        <f>VLOOKUP(A176,[1]!Orders,7,FALSE)</f>
        <v>1</v>
      </c>
      <c r="G176" t="str">
        <f>VLOOKUP(F176,[1]!Shippers,2,FALSE)</f>
        <v>Speedy Express</v>
      </c>
      <c r="H176" t="str">
        <f>VLOOKUP(C176,[1]EmployeeTerritories!$A$1:$B$50,2,FALSE)</f>
        <v>01581</v>
      </c>
      <c r="I176">
        <f>VLOOKUP(C176,[1]EmployeeTerritories!$A$1:$B$50,1,FALSE)</f>
        <v>2</v>
      </c>
      <c r="J176">
        <f>VLOOKUP(H176,[1]!Territories,3,FALSE)</f>
        <v>1</v>
      </c>
      <c r="K176" t="str">
        <f>VLOOKUP(J176,[1]!Region,2,FALSE)</f>
        <v>Eastern</v>
      </c>
      <c r="L176">
        <f>VLOOKUP(A176,[1]Order_Details!$A$1:$F$2156,2,FALSE)</f>
        <v>26</v>
      </c>
      <c r="M176" t="str">
        <f>VLOOKUP(L176,[1]!Products,2,FALSE)</f>
        <v>Gumbär Gummibärchen</v>
      </c>
      <c r="N176">
        <f>VLOOKUP(L176,[1]!Products,4,FALSE)</f>
        <v>3</v>
      </c>
      <c r="O176" s="6" t="str">
        <f>VLOOKUP(N176,[1]!Categories,2,FALSE)</f>
        <v>Confections</v>
      </c>
      <c r="P176" s="6">
        <f>VLOOKUP(A176,[1]Order_Details!$A$1:$F$2156,3,FALSE)</f>
        <v>24.9</v>
      </c>
      <c r="Q176">
        <f>VLOOKUP(A176,[1]Order_Details!$A$1:$F$2156,4,FALSE)</f>
        <v>2</v>
      </c>
      <c r="R176">
        <f>VLOOKUP(A176,[1]Order_Details!$A$1:$F$2156,5,FALSE)</f>
        <v>0</v>
      </c>
      <c r="S176" s="6">
        <f>VLOOKUP(A176,[1]Order_Details!$A$1:$F$2156,6,FALSE)</f>
        <v>49.8</v>
      </c>
      <c r="T176" s="6">
        <f>VLOOKUP(A176,[1]!Orders,8,FALSE)</f>
        <v>3.02</v>
      </c>
    </row>
    <row r="177" spans="1:20" x14ac:dyDescent="0.3">
      <c r="A177" s="2">
        <v>10423</v>
      </c>
      <c r="B177" s="2" t="s">
        <v>75</v>
      </c>
      <c r="C177" s="2">
        <v>6</v>
      </c>
      <c r="D177" s="3">
        <v>35453</v>
      </c>
      <c r="E177" t="str">
        <f>VLOOKUP(C177,[1]Employees!$A$1:$O$10,4,FALSE)</f>
        <v>Suyama Michael</v>
      </c>
      <c r="F177">
        <f>VLOOKUP(A177,[1]!Orders,7,FALSE)</f>
        <v>3</v>
      </c>
      <c r="G177" t="str">
        <f>VLOOKUP(F177,[1]!Shippers,2,FALSE)</f>
        <v>Federal Shipping</v>
      </c>
      <c r="H177" t="str">
        <f>VLOOKUP(C177,[1]EmployeeTerritories!$A$1:$B$50,2,FALSE)</f>
        <v>85014</v>
      </c>
      <c r="I177">
        <f>VLOOKUP(C177,[1]EmployeeTerritories!$A$1:$B$50,1,FALSE)</f>
        <v>6</v>
      </c>
      <c r="J177">
        <f>VLOOKUP(H177,[1]!Territories,3,FALSE)</f>
        <v>2</v>
      </c>
      <c r="K177" t="str">
        <f>VLOOKUP(J177,[1]!Region,2,FALSE)</f>
        <v>Western</v>
      </c>
      <c r="L177">
        <f>VLOOKUP(A177,[1]Order_Details!$A$1:$F$2156,2,FALSE)</f>
        <v>31</v>
      </c>
      <c r="M177" t="str">
        <f>VLOOKUP(L177,[1]!Products,2,FALSE)</f>
        <v>Gorgonzola Telino</v>
      </c>
      <c r="N177">
        <f>VLOOKUP(L177,[1]!Products,4,FALSE)</f>
        <v>4</v>
      </c>
      <c r="O177" s="6" t="str">
        <f>VLOOKUP(N177,[1]!Categories,2,FALSE)</f>
        <v>Dairy Products</v>
      </c>
      <c r="P177" s="6">
        <f>VLOOKUP(A177,[1]Order_Details!$A$1:$F$2156,3,FALSE)</f>
        <v>10</v>
      </c>
      <c r="Q177">
        <f>VLOOKUP(A177,[1]Order_Details!$A$1:$F$2156,4,FALSE)</f>
        <v>14</v>
      </c>
      <c r="R177">
        <f>VLOOKUP(A177,[1]Order_Details!$A$1:$F$2156,5,FALSE)</f>
        <v>0</v>
      </c>
      <c r="S177" s="6">
        <f>VLOOKUP(A177,[1]Order_Details!$A$1:$F$2156,6,FALSE)</f>
        <v>140</v>
      </c>
      <c r="T177" s="6">
        <f>VLOOKUP(A177,[1]!Orders,8,FALSE)</f>
        <v>24.5</v>
      </c>
    </row>
    <row r="178" spans="1:20" x14ac:dyDescent="0.3">
      <c r="A178" s="2">
        <v>10424</v>
      </c>
      <c r="B178" s="2" t="s">
        <v>53</v>
      </c>
      <c r="C178" s="2">
        <v>7</v>
      </c>
      <c r="D178" s="3">
        <v>35453</v>
      </c>
      <c r="E178" t="str">
        <f>VLOOKUP(C178,[1]Employees!$A$1:$O$10,4,FALSE)</f>
        <v>King Robert</v>
      </c>
      <c r="F178">
        <f>VLOOKUP(A178,[1]!Orders,7,FALSE)</f>
        <v>2</v>
      </c>
      <c r="G178" t="str">
        <f>VLOOKUP(F178,[1]!Shippers,2,FALSE)</f>
        <v>United Package</v>
      </c>
      <c r="H178" t="str">
        <f>VLOOKUP(C178,[1]EmployeeTerritories!$A$1:$B$50,2,FALSE)</f>
        <v>60179</v>
      </c>
      <c r="I178">
        <f>VLOOKUP(C178,[1]EmployeeTerritories!$A$1:$B$50,1,FALSE)</f>
        <v>7</v>
      </c>
      <c r="J178">
        <f>VLOOKUP(H178,[1]!Territories,3,FALSE)</f>
        <v>2</v>
      </c>
      <c r="K178" t="str">
        <f>VLOOKUP(J178,[1]!Region,2,FALSE)</f>
        <v>Western</v>
      </c>
      <c r="L178">
        <f>VLOOKUP(A178,[1]Order_Details!$A$1:$F$2156,2,FALSE)</f>
        <v>35</v>
      </c>
      <c r="M178" t="str">
        <f>VLOOKUP(L178,[1]!Products,2,FALSE)</f>
        <v>Steeleye Stout</v>
      </c>
      <c r="N178">
        <f>VLOOKUP(L178,[1]!Products,4,FALSE)</f>
        <v>1</v>
      </c>
      <c r="O178" s="6" t="str">
        <f>VLOOKUP(N178,[1]!Categories,2,FALSE)</f>
        <v>Beverages</v>
      </c>
      <c r="P178" s="6">
        <f>VLOOKUP(A178,[1]Order_Details!$A$1:$F$2156,3,FALSE)</f>
        <v>14.4</v>
      </c>
      <c r="Q178">
        <f>VLOOKUP(A178,[1]Order_Details!$A$1:$F$2156,4,FALSE)</f>
        <v>60</v>
      </c>
      <c r="R178">
        <f>VLOOKUP(A178,[1]Order_Details!$A$1:$F$2156,5,FALSE)</f>
        <v>0.20000000298023224</v>
      </c>
      <c r="S178" s="6">
        <f>VLOOKUP(A178,[1]Order_Details!$A$1:$F$2156,6,FALSE)</f>
        <v>691.19999742507935</v>
      </c>
      <c r="T178" s="6">
        <f>VLOOKUP(A178,[1]!Orders,8,FALSE)</f>
        <v>370.61</v>
      </c>
    </row>
    <row r="179" spans="1:20" x14ac:dyDescent="0.3">
      <c r="A179" s="2">
        <v>10425</v>
      </c>
      <c r="B179" s="2" t="s">
        <v>57</v>
      </c>
      <c r="C179" s="2">
        <v>6</v>
      </c>
      <c r="D179" s="3">
        <v>35454</v>
      </c>
      <c r="E179" t="str">
        <f>VLOOKUP(C179,[1]Employees!$A$1:$O$10,4,FALSE)</f>
        <v>Suyama Michael</v>
      </c>
      <c r="F179">
        <f>VLOOKUP(A179,[1]!Orders,7,FALSE)</f>
        <v>2</v>
      </c>
      <c r="G179" t="str">
        <f>VLOOKUP(F179,[1]!Shippers,2,FALSE)</f>
        <v>United Package</v>
      </c>
      <c r="H179" t="str">
        <f>VLOOKUP(C179,[1]EmployeeTerritories!$A$1:$B$50,2,FALSE)</f>
        <v>85014</v>
      </c>
      <c r="I179">
        <f>VLOOKUP(C179,[1]EmployeeTerritories!$A$1:$B$50,1,FALSE)</f>
        <v>6</v>
      </c>
      <c r="J179">
        <f>VLOOKUP(H179,[1]!Territories,3,FALSE)</f>
        <v>2</v>
      </c>
      <c r="K179" t="str">
        <f>VLOOKUP(J179,[1]!Region,2,FALSE)</f>
        <v>Western</v>
      </c>
      <c r="L179">
        <f>VLOOKUP(A179,[1]Order_Details!$A$1:$F$2156,2,FALSE)</f>
        <v>55</v>
      </c>
      <c r="M179" t="str">
        <f>VLOOKUP(L179,[1]!Products,2,FALSE)</f>
        <v>Pâté chinois</v>
      </c>
      <c r="N179">
        <f>VLOOKUP(L179,[1]!Products,4,FALSE)</f>
        <v>6</v>
      </c>
      <c r="O179" s="6" t="str">
        <f>VLOOKUP(N179,[1]!Categories,2,FALSE)</f>
        <v>Meat/Poultry</v>
      </c>
      <c r="P179" s="6">
        <f>VLOOKUP(A179,[1]Order_Details!$A$1:$F$2156,3,FALSE)</f>
        <v>19.2</v>
      </c>
      <c r="Q179">
        <f>VLOOKUP(A179,[1]Order_Details!$A$1:$F$2156,4,FALSE)</f>
        <v>10</v>
      </c>
      <c r="R179">
        <f>VLOOKUP(A179,[1]Order_Details!$A$1:$F$2156,5,FALSE)</f>
        <v>0.25</v>
      </c>
      <c r="S179" s="6">
        <f>VLOOKUP(A179,[1]Order_Details!$A$1:$F$2156,6,FALSE)</f>
        <v>144</v>
      </c>
      <c r="T179" s="6">
        <f>VLOOKUP(A179,[1]!Orders,8,FALSE)</f>
        <v>7.93</v>
      </c>
    </row>
    <row r="180" spans="1:20" x14ac:dyDescent="0.3">
      <c r="A180" s="2">
        <v>10426</v>
      </c>
      <c r="B180" s="2" t="s">
        <v>64</v>
      </c>
      <c r="C180" s="2">
        <v>4</v>
      </c>
      <c r="D180" s="3">
        <v>35457</v>
      </c>
      <c r="E180" t="str">
        <f>VLOOKUP(C180,[1]Employees!$A$1:$O$10,4,FALSE)</f>
        <v>Peacock Margaret</v>
      </c>
      <c r="F180">
        <f>VLOOKUP(A180,[1]!Orders,7,FALSE)</f>
        <v>1</v>
      </c>
      <c r="G180" t="str">
        <f>VLOOKUP(F180,[1]!Shippers,2,FALSE)</f>
        <v>Speedy Express</v>
      </c>
      <c r="H180" t="str">
        <f>VLOOKUP(C180,[1]EmployeeTerritories!$A$1:$B$50,2,FALSE)</f>
        <v>20852</v>
      </c>
      <c r="I180">
        <f>VLOOKUP(C180,[1]EmployeeTerritories!$A$1:$B$50,1,FALSE)</f>
        <v>4</v>
      </c>
      <c r="J180">
        <f>VLOOKUP(H180,[1]!Territories,3,FALSE)</f>
        <v>1</v>
      </c>
      <c r="K180" t="str">
        <f>VLOOKUP(J180,[1]!Region,2,FALSE)</f>
        <v>Eastern</v>
      </c>
      <c r="L180">
        <f>VLOOKUP(A180,[1]Order_Details!$A$1:$F$2156,2,FALSE)</f>
        <v>56</v>
      </c>
      <c r="M180" t="str">
        <f>VLOOKUP(L180,[1]!Products,2,FALSE)</f>
        <v>Gnocchi di nonna Alice</v>
      </c>
      <c r="N180">
        <f>VLOOKUP(L180,[1]!Products,4,FALSE)</f>
        <v>5</v>
      </c>
      <c r="O180" s="6" t="str">
        <f>VLOOKUP(N180,[1]!Categories,2,FALSE)</f>
        <v>Grains/Cereals</v>
      </c>
      <c r="P180" s="6">
        <f>VLOOKUP(A180,[1]Order_Details!$A$1:$F$2156,3,FALSE)</f>
        <v>30.4</v>
      </c>
      <c r="Q180">
        <f>VLOOKUP(A180,[1]Order_Details!$A$1:$F$2156,4,FALSE)</f>
        <v>5</v>
      </c>
      <c r="R180">
        <f>VLOOKUP(A180,[1]Order_Details!$A$1:$F$2156,5,FALSE)</f>
        <v>0</v>
      </c>
      <c r="S180" s="6">
        <f>VLOOKUP(A180,[1]Order_Details!$A$1:$F$2156,6,FALSE)</f>
        <v>152</v>
      </c>
      <c r="T180" s="6">
        <f>VLOOKUP(A180,[1]!Orders,8,FALSE)</f>
        <v>18.690000000000001</v>
      </c>
    </row>
    <row r="181" spans="1:20" x14ac:dyDescent="0.3">
      <c r="A181" s="2">
        <v>10427</v>
      </c>
      <c r="B181" s="2" t="s">
        <v>58</v>
      </c>
      <c r="C181" s="2">
        <v>4</v>
      </c>
      <c r="D181" s="3">
        <v>35457</v>
      </c>
      <c r="E181" t="str">
        <f>VLOOKUP(C181,[1]Employees!$A$1:$O$10,4,FALSE)</f>
        <v>Peacock Margaret</v>
      </c>
      <c r="F181">
        <f>VLOOKUP(A181,[1]!Orders,7,FALSE)</f>
        <v>2</v>
      </c>
      <c r="G181" t="str">
        <f>VLOOKUP(F181,[1]!Shippers,2,FALSE)</f>
        <v>United Package</v>
      </c>
      <c r="H181" t="str">
        <f>VLOOKUP(C181,[1]EmployeeTerritories!$A$1:$B$50,2,FALSE)</f>
        <v>20852</v>
      </c>
      <c r="I181">
        <f>VLOOKUP(C181,[1]EmployeeTerritories!$A$1:$B$50,1,FALSE)</f>
        <v>4</v>
      </c>
      <c r="J181">
        <f>VLOOKUP(H181,[1]!Territories,3,FALSE)</f>
        <v>1</v>
      </c>
      <c r="K181" t="str">
        <f>VLOOKUP(J181,[1]!Region,2,FALSE)</f>
        <v>Eastern</v>
      </c>
      <c r="L181">
        <f>VLOOKUP(A181,[1]Order_Details!$A$1:$F$2156,2,FALSE)</f>
        <v>14</v>
      </c>
      <c r="M181" t="str">
        <f>VLOOKUP(L181,[1]!Products,2,FALSE)</f>
        <v>Tofu</v>
      </c>
      <c r="N181">
        <f>VLOOKUP(L181,[1]!Products,4,FALSE)</f>
        <v>7</v>
      </c>
      <c r="O181" s="6" t="str">
        <f>VLOOKUP(N181,[1]!Categories,2,FALSE)</f>
        <v>Produce</v>
      </c>
      <c r="P181" s="6">
        <f>VLOOKUP(A181,[1]Order_Details!$A$1:$F$2156,3,FALSE)</f>
        <v>18.600000000000001</v>
      </c>
      <c r="Q181">
        <f>VLOOKUP(A181,[1]Order_Details!$A$1:$F$2156,4,FALSE)</f>
        <v>35</v>
      </c>
      <c r="R181">
        <f>VLOOKUP(A181,[1]Order_Details!$A$1:$F$2156,5,FALSE)</f>
        <v>0</v>
      </c>
      <c r="S181" s="6">
        <f>VLOOKUP(A181,[1]Order_Details!$A$1:$F$2156,6,FALSE)</f>
        <v>651</v>
      </c>
      <c r="T181" s="6">
        <f>VLOOKUP(A181,[1]!Orders,8,FALSE)</f>
        <v>31.29</v>
      </c>
    </row>
    <row r="182" spans="1:20" x14ac:dyDescent="0.3">
      <c r="A182" s="2">
        <v>10428</v>
      </c>
      <c r="B182" s="2" t="s">
        <v>34</v>
      </c>
      <c r="C182" s="2">
        <v>7</v>
      </c>
      <c r="D182" s="3">
        <v>35458</v>
      </c>
      <c r="E182" t="str">
        <f>VLOOKUP(C182,[1]Employees!$A$1:$O$10,4,FALSE)</f>
        <v>King Robert</v>
      </c>
      <c r="F182">
        <f>VLOOKUP(A182,[1]!Orders,7,FALSE)</f>
        <v>1</v>
      </c>
      <c r="G182" t="str">
        <f>VLOOKUP(F182,[1]!Shippers,2,FALSE)</f>
        <v>Speedy Express</v>
      </c>
      <c r="H182" t="str">
        <f>VLOOKUP(C182,[1]EmployeeTerritories!$A$1:$B$50,2,FALSE)</f>
        <v>60179</v>
      </c>
      <c r="I182">
        <f>VLOOKUP(C182,[1]EmployeeTerritories!$A$1:$B$50,1,FALSE)</f>
        <v>7</v>
      </c>
      <c r="J182">
        <f>VLOOKUP(H182,[1]!Territories,3,FALSE)</f>
        <v>2</v>
      </c>
      <c r="K182" t="str">
        <f>VLOOKUP(J182,[1]!Region,2,FALSE)</f>
        <v>Western</v>
      </c>
      <c r="L182">
        <f>VLOOKUP(A182,[1]Order_Details!$A$1:$F$2156,2,FALSE)</f>
        <v>46</v>
      </c>
      <c r="M182" t="str">
        <f>VLOOKUP(L182,[1]!Products,2,FALSE)</f>
        <v>Spegesild</v>
      </c>
      <c r="N182">
        <f>VLOOKUP(L182,[1]!Products,4,FALSE)</f>
        <v>8</v>
      </c>
      <c r="O182" s="6" t="str">
        <f>VLOOKUP(N182,[1]!Categories,2,FALSE)</f>
        <v>Seafood</v>
      </c>
      <c r="P182" s="6">
        <f>VLOOKUP(A182,[1]Order_Details!$A$1:$F$2156,3,FALSE)</f>
        <v>9.6</v>
      </c>
      <c r="Q182">
        <f>VLOOKUP(A182,[1]Order_Details!$A$1:$F$2156,4,FALSE)</f>
        <v>20</v>
      </c>
      <c r="R182">
        <f>VLOOKUP(A182,[1]Order_Details!$A$1:$F$2156,5,FALSE)</f>
        <v>0</v>
      </c>
      <c r="S182" s="6">
        <f>VLOOKUP(A182,[1]Order_Details!$A$1:$F$2156,6,FALSE)</f>
        <v>192</v>
      </c>
      <c r="T182" s="6">
        <f>VLOOKUP(A182,[1]!Orders,8,FALSE)</f>
        <v>11.09</v>
      </c>
    </row>
    <row r="183" spans="1:20" x14ac:dyDescent="0.3">
      <c r="A183" s="2">
        <v>10429</v>
      </c>
      <c r="B183" s="2" t="s">
        <v>38</v>
      </c>
      <c r="C183" s="2">
        <v>3</v>
      </c>
      <c r="D183" s="3">
        <v>35459</v>
      </c>
      <c r="E183" t="str">
        <f>VLOOKUP(C183,[1]Employees!$A$1:$O$10,4,FALSE)</f>
        <v>Leverling Janet</v>
      </c>
      <c r="F183">
        <f>VLOOKUP(A183,[1]!Orders,7,FALSE)</f>
        <v>2</v>
      </c>
      <c r="G183" t="str">
        <f>VLOOKUP(F183,[1]!Shippers,2,FALSE)</f>
        <v>United Package</v>
      </c>
      <c r="H183" t="str">
        <f>VLOOKUP(C183,[1]EmployeeTerritories!$A$1:$B$50,2,FALSE)</f>
        <v>30346</v>
      </c>
      <c r="I183">
        <f>VLOOKUP(C183,[1]EmployeeTerritories!$A$1:$B$50,1,FALSE)</f>
        <v>3</v>
      </c>
      <c r="J183">
        <f>VLOOKUP(H183,[1]!Territories,3,FALSE)</f>
        <v>4</v>
      </c>
      <c r="K183" t="str">
        <f>VLOOKUP(J183,[1]!Region,2,FALSE)</f>
        <v>Southern</v>
      </c>
      <c r="L183">
        <f>VLOOKUP(A183,[1]Order_Details!$A$1:$F$2156,2,FALSE)</f>
        <v>50</v>
      </c>
      <c r="M183" t="str">
        <f>VLOOKUP(L183,[1]!Products,2,FALSE)</f>
        <v>Valkoinen suklaa</v>
      </c>
      <c r="N183">
        <f>VLOOKUP(L183,[1]!Products,4,FALSE)</f>
        <v>3</v>
      </c>
      <c r="O183" s="6" t="str">
        <f>VLOOKUP(N183,[1]!Categories,2,FALSE)</f>
        <v>Confections</v>
      </c>
      <c r="P183" s="6">
        <f>VLOOKUP(A183,[1]Order_Details!$A$1:$F$2156,3,FALSE)</f>
        <v>13</v>
      </c>
      <c r="Q183">
        <f>VLOOKUP(A183,[1]Order_Details!$A$1:$F$2156,4,FALSE)</f>
        <v>40</v>
      </c>
      <c r="R183">
        <f>VLOOKUP(A183,[1]Order_Details!$A$1:$F$2156,5,FALSE)</f>
        <v>0</v>
      </c>
      <c r="S183" s="6">
        <f>VLOOKUP(A183,[1]Order_Details!$A$1:$F$2156,6,FALSE)</f>
        <v>520</v>
      </c>
      <c r="T183" s="6">
        <f>VLOOKUP(A183,[1]!Orders,8,FALSE)</f>
        <v>56.63</v>
      </c>
    </row>
    <row r="184" spans="1:20" x14ac:dyDescent="0.3">
      <c r="A184" s="2">
        <v>10430</v>
      </c>
      <c r="B184" s="2" t="s">
        <v>13</v>
      </c>
      <c r="C184" s="2">
        <v>4</v>
      </c>
      <c r="D184" s="3">
        <v>35460</v>
      </c>
      <c r="E184" t="str">
        <f>VLOOKUP(C184,[1]Employees!$A$1:$O$10,4,FALSE)</f>
        <v>Peacock Margaret</v>
      </c>
      <c r="F184">
        <f>VLOOKUP(A184,[1]!Orders,7,FALSE)</f>
        <v>1</v>
      </c>
      <c r="G184" t="str">
        <f>VLOOKUP(F184,[1]!Shippers,2,FALSE)</f>
        <v>Speedy Express</v>
      </c>
      <c r="H184" t="str">
        <f>VLOOKUP(C184,[1]EmployeeTerritories!$A$1:$B$50,2,FALSE)</f>
        <v>20852</v>
      </c>
      <c r="I184">
        <f>VLOOKUP(C184,[1]EmployeeTerritories!$A$1:$B$50,1,FALSE)</f>
        <v>4</v>
      </c>
      <c r="J184">
        <f>VLOOKUP(H184,[1]!Territories,3,FALSE)</f>
        <v>1</v>
      </c>
      <c r="K184" t="str">
        <f>VLOOKUP(J184,[1]!Region,2,FALSE)</f>
        <v>Eastern</v>
      </c>
      <c r="L184">
        <f>VLOOKUP(A184,[1]Order_Details!$A$1:$F$2156,2,FALSE)</f>
        <v>17</v>
      </c>
      <c r="M184" t="str">
        <f>VLOOKUP(L184,[1]!Products,2,FALSE)</f>
        <v>Alice Mutton</v>
      </c>
      <c r="N184">
        <f>VLOOKUP(L184,[1]!Products,4,FALSE)</f>
        <v>6</v>
      </c>
      <c r="O184" s="6" t="str">
        <f>VLOOKUP(N184,[1]!Categories,2,FALSE)</f>
        <v>Meat/Poultry</v>
      </c>
      <c r="P184" s="6">
        <f>VLOOKUP(A184,[1]Order_Details!$A$1:$F$2156,3,FALSE)</f>
        <v>31.2</v>
      </c>
      <c r="Q184">
        <f>VLOOKUP(A184,[1]Order_Details!$A$1:$F$2156,4,FALSE)</f>
        <v>45</v>
      </c>
      <c r="R184">
        <f>VLOOKUP(A184,[1]Order_Details!$A$1:$F$2156,5,FALSE)</f>
        <v>0.20000000298023224</v>
      </c>
      <c r="S184" s="6">
        <f>VLOOKUP(A184,[1]Order_Details!$A$1:$F$2156,6,FALSE)</f>
        <v>1123.1999958157539</v>
      </c>
      <c r="T184" s="6">
        <f>VLOOKUP(A184,[1]!Orders,8,FALSE)</f>
        <v>458.78</v>
      </c>
    </row>
    <row r="185" spans="1:20" x14ac:dyDescent="0.3">
      <c r="A185" s="2">
        <v>10431</v>
      </c>
      <c r="B185" s="2" t="s">
        <v>70</v>
      </c>
      <c r="C185" s="2">
        <v>4</v>
      </c>
      <c r="D185" s="3">
        <v>35460</v>
      </c>
      <c r="E185" t="str">
        <f>VLOOKUP(C185,[1]Employees!$A$1:$O$10,4,FALSE)</f>
        <v>Peacock Margaret</v>
      </c>
      <c r="F185">
        <f>VLOOKUP(A185,[1]!Orders,7,FALSE)</f>
        <v>2</v>
      </c>
      <c r="G185" t="str">
        <f>VLOOKUP(F185,[1]!Shippers,2,FALSE)</f>
        <v>United Package</v>
      </c>
      <c r="H185" t="str">
        <f>VLOOKUP(C185,[1]EmployeeTerritories!$A$1:$B$50,2,FALSE)</f>
        <v>20852</v>
      </c>
      <c r="I185">
        <f>VLOOKUP(C185,[1]EmployeeTerritories!$A$1:$B$50,1,FALSE)</f>
        <v>4</v>
      </c>
      <c r="J185">
        <f>VLOOKUP(H185,[1]!Territories,3,FALSE)</f>
        <v>1</v>
      </c>
      <c r="K185" t="str">
        <f>VLOOKUP(J185,[1]!Region,2,FALSE)</f>
        <v>Eastern</v>
      </c>
      <c r="L185">
        <f>VLOOKUP(A185,[1]Order_Details!$A$1:$F$2156,2,FALSE)</f>
        <v>17</v>
      </c>
      <c r="M185" t="str">
        <f>VLOOKUP(L185,[1]!Products,2,FALSE)</f>
        <v>Alice Mutton</v>
      </c>
      <c r="N185">
        <f>VLOOKUP(L185,[1]!Products,4,FALSE)</f>
        <v>6</v>
      </c>
      <c r="O185" s="6" t="str">
        <f>VLOOKUP(N185,[1]!Categories,2,FALSE)</f>
        <v>Meat/Poultry</v>
      </c>
      <c r="P185" s="6">
        <f>VLOOKUP(A185,[1]Order_Details!$A$1:$F$2156,3,FALSE)</f>
        <v>31.2</v>
      </c>
      <c r="Q185">
        <f>VLOOKUP(A185,[1]Order_Details!$A$1:$F$2156,4,FALSE)</f>
        <v>50</v>
      </c>
      <c r="R185">
        <f>VLOOKUP(A185,[1]Order_Details!$A$1:$F$2156,5,FALSE)</f>
        <v>0.25</v>
      </c>
      <c r="S185" s="6">
        <f>VLOOKUP(A185,[1]Order_Details!$A$1:$F$2156,6,FALSE)</f>
        <v>1170</v>
      </c>
      <c r="T185" s="6">
        <f>VLOOKUP(A185,[1]!Orders,8,FALSE)</f>
        <v>44.17</v>
      </c>
    </row>
    <row r="186" spans="1:20" x14ac:dyDescent="0.3">
      <c r="A186" s="2">
        <v>10432</v>
      </c>
      <c r="B186" s="2" t="s">
        <v>24</v>
      </c>
      <c r="C186" s="2">
        <v>3</v>
      </c>
      <c r="D186" s="3">
        <v>35461</v>
      </c>
      <c r="E186" t="str">
        <f>VLOOKUP(C186,[1]Employees!$A$1:$O$10,4,FALSE)</f>
        <v>Leverling Janet</v>
      </c>
      <c r="F186">
        <f>VLOOKUP(A186,[1]!Orders,7,FALSE)</f>
        <v>2</v>
      </c>
      <c r="G186" t="str">
        <f>VLOOKUP(F186,[1]!Shippers,2,FALSE)</f>
        <v>United Package</v>
      </c>
      <c r="H186" t="str">
        <f>VLOOKUP(C186,[1]EmployeeTerritories!$A$1:$B$50,2,FALSE)</f>
        <v>30346</v>
      </c>
      <c r="I186">
        <f>VLOOKUP(C186,[1]EmployeeTerritories!$A$1:$B$50,1,FALSE)</f>
        <v>3</v>
      </c>
      <c r="J186">
        <f>VLOOKUP(H186,[1]!Territories,3,FALSE)</f>
        <v>4</v>
      </c>
      <c r="K186" t="str">
        <f>VLOOKUP(J186,[1]!Region,2,FALSE)</f>
        <v>Southern</v>
      </c>
      <c r="L186">
        <f>VLOOKUP(A186,[1]Order_Details!$A$1:$F$2156,2,FALSE)</f>
        <v>26</v>
      </c>
      <c r="M186" t="str">
        <f>VLOOKUP(L186,[1]!Products,2,FALSE)</f>
        <v>Gumbär Gummibärchen</v>
      </c>
      <c r="N186">
        <f>VLOOKUP(L186,[1]!Products,4,FALSE)</f>
        <v>3</v>
      </c>
      <c r="O186" s="6" t="str">
        <f>VLOOKUP(N186,[1]!Categories,2,FALSE)</f>
        <v>Confections</v>
      </c>
      <c r="P186" s="6">
        <f>VLOOKUP(A186,[1]Order_Details!$A$1:$F$2156,3,FALSE)</f>
        <v>24.9</v>
      </c>
      <c r="Q186">
        <f>VLOOKUP(A186,[1]Order_Details!$A$1:$F$2156,4,FALSE)</f>
        <v>10</v>
      </c>
      <c r="R186">
        <f>VLOOKUP(A186,[1]Order_Details!$A$1:$F$2156,5,FALSE)</f>
        <v>0</v>
      </c>
      <c r="S186" s="6">
        <f>VLOOKUP(A186,[1]Order_Details!$A$1:$F$2156,6,FALSE)</f>
        <v>249</v>
      </c>
      <c r="T186" s="6">
        <f>VLOOKUP(A186,[1]!Orders,8,FALSE)</f>
        <v>4.34</v>
      </c>
    </row>
    <row r="187" spans="1:20" x14ac:dyDescent="0.3">
      <c r="A187" s="2">
        <v>10433</v>
      </c>
      <c r="B187" s="2" t="s">
        <v>54</v>
      </c>
      <c r="C187" s="2">
        <v>3</v>
      </c>
      <c r="D187" s="3">
        <v>35464</v>
      </c>
      <c r="E187" t="str">
        <f>VLOOKUP(C187,[1]Employees!$A$1:$O$10,4,FALSE)</f>
        <v>Leverling Janet</v>
      </c>
      <c r="F187">
        <f>VLOOKUP(A187,[1]!Orders,7,FALSE)</f>
        <v>3</v>
      </c>
      <c r="G187" t="str">
        <f>VLOOKUP(F187,[1]!Shippers,2,FALSE)</f>
        <v>Federal Shipping</v>
      </c>
      <c r="H187" t="str">
        <f>VLOOKUP(C187,[1]EmployeeTerritories!$A$1:$B$50,2,FALSE)</f>
        <v>30346</v>
      </c>
      <c r="I187">
        <f>VLOOKUP(C187,[1]EmployeeTerritories!$A$1:$B$50,1,FALSE)</f>
        <v>3</v>
      </c>
      <c r="J187">
        <f>VLOOKUP(H187,[1]!Territories,3,FALSE)</f>
        <v>4</v>
      </c>
      <c r="K187" t="str">
        <f>VLOOKUP(J187,[1]!Region,2,FALSE)</f>
        <v>Southern</v>
      </c>
      <c r="L187">
        <f>VLOOKUP(A187,[1]Order_Details!$A$1:$F$2156,2,FALSE)</f>
        <v>56</v>
      </c>
      <c r="M187" t="str">
        <f>VLOOKUP(L187,[1]!Products,2,FALSE)</f>
        <v>Gnocchi di nonna Alice</v>
      </c>
      <c r="N187">
        <f>VLOOKUP(L187,[1]!Products,4,FALSE)</f>
        <v>5</v>
      </c>
      <c r="O187" s="6" t="str">
        <f>VLOOKUP(N187,[1]!Categories,2,FALSE)</f>
        <v>Grains/Cereals</v>
      </c>
      <c r="P187" s="6">
        <f>VLOOKUP(A187,[1]Order_Details!$A$1:$F$2156,3,FALSE)</f>
        <v>30.4</v>
      </c>
      <c r="Q187">
        <f>VLOOKUP(A187,[1]Order_Details!$A$1:$F$2156,4,FALSE)</f>
        <v>28</v>
      </c>
      <c r="R187">
        <f>VLOOKUP(A187,[1]Order_Details!$A$1:$F$2156,5,FALSE)</f>
        <v>0</v>
      </c>
      <c r="S187" s="6">
        <f>VLOOKUP(A187,[1]Order_Details!$A$1:$F$2156,6,FALSE)</f>
        <v>851.19999999999993</v>
      </c>
      <c r="T187" s="6">
        <f>VLOOKUP(A187,[1]!Orders,8,FALSE)</f>
        <v>73.83</v>
      </c>
    </row>
    <row r="188" spans="1:20" x14ac:dyDescent="0.3">
      <c r="A188" s="2">
        <v>10434</v>
      </c>
      <c r="B188" s="2" t="s">
        <v>18</v>
      </c>
      <c r="C188" s="2">
        <v>3</v>
      </c>
      <c r="D188" s="3">
        <v>35464</v>
      </c>
      <c r="E188" t="str">
        <f>VLOOKUP(C188,[1]Employees!$A$1:$O$10,4,FALSE)</f>
        <v>Leverling Janet</v>
      </c>
      <c r="F188">
        <f>VLOOKUP(A188,[1]!Orders,7,FALSE)</f>
        <v>2</v>
      </c>
      <c r="G188" t="str">
        <f>VLOOKUP(F188,[1]!Shippers,2,FALSE)</f>
        <v>United Package</v>
      </c>
      <c r="H188" t="str">
        <f>VLOOKUP(C188,[1]EmployeeTerritories!$A$1:$B$50,2,FALSE)</f>
        <v>30346</v>
      </c>
      <c r="I188">
        <f>VLOOKUP(C188,[1]EmployeeTerritories!$A$1:$B$50,1,FALSE)</f>
        <v>3</v>
      </c>
      <c r="J188">
        <f>VLOOKUP(H188,[1]!Territories,3,FALSE)</f>
        <v>4</v>
      </c>
      <c r="K188" t="str">
        <f>VLOOKUP(J188,[1]!Region,2,FALSE)</f>
        <v>Southern</v>
      </c>
      <c r="L188">
        <f>VLOOKUP(A188,[1]Order_Details!$A$1:$F$2156,2,FALSE)</f>
        <v>11</v>
      </c>
      <c r="M188" t="str">
        <f>VLOOKUP(L188,[1]!Products,2,FALSE)</f>
        <v>Queso Cabrales</v>
      </c>
      <c r="N188">
        <f>VLOOKUP(L188,[1]!Products,4,FALSE)</f>
        <v>4</v>
      </c>
      <c r="O188" s="6" t="str">
        <f>VLOOKUP(N188,[1]!Categories,2,FALSE)</f>
        <v>Dairy Products</v>
      </c>
      <c r="P188" s="6">
        <f>VLOOKUP(A188,[1]Order_Details!$A$1:$F$2156,3,FALSE)</f>
        <v>16.8</v>
      </c>
      <c r="Q188">
        <f>VLOOKUP(A188,[1]Order_Details!$A$1:$F$2156,4,FALSE)</f>
        <v>6</v>
      </c>
      <c r="R188">
        <f>VLOOKUP(A188,[1]Order_Details!$A$1:$F$2156,5,FALSE)</f>
        <v>0</v>
      </c>
      <c r="S188" s="6">
        <f>VLOOKUP(A188,[1]Order_Details!$A$1:$F$2156,6,FALSE)</f>
        <v>100.80000000000001</v>
      </c>
      <c r="T188" s="6">
        <f>VLOOKUP(A188,[1]!Orders,8,FALSE)</f>
        <v>17.920000000000002</v>
      </c>
    </row>
    <row r="189" spans="1:20" x14ac:dyDescent="0.3">
      <c r="A189" s="2">
        <v>10435</v>
      </c>
      <c r="B189" s="2" t="s">
        <v>76</v>
      </c>
      <c r="C189" s="2">
        <v>8</v>
      </c>
      <c r="D189" s="3">
        <v>35465</v>
      </c>
      <c r="E189" t="str">
        <f>VLOOKUP(C189,[1]Employees!$A$1:$O$10,4,FALSE)</f>
        <v>Callahan Laura</v>
      </c>
      <c r="F189">
        <f>VLOOKUP(A189,[1]!Orders,7,FALSE)</f>
        <v>2</v>
      </c>
      <c r="G189" t="str">
        <f>VLOOKUP(F189,[1]!Shippers,2,FALSE)</f>
        <v>United Package</v>
      </c>
      <c r="H189" t="str">
        <f>VLOOKUP(C189,[1]EmployeeTerritories!$A$1:$B$50,2,FALSE)</f>
        <v>19428</v>
      </c>
      <c r="I189">
        <f>VLOOKUP(C189,[1]EmployeeTerritories!$A$1:$B$50,1,FALSE)</f>
        <v>8</v>
      </c>
      <c r="J189">
        <f>VLOOKUP(H189,[1]!Territories,3,FALSE)</f>
        <v>3</v>
      </c>
      <c r="K189" t="str">
        <f>VLOOKUP(J189,[1]!Region,2,FALSE)</f>
        <v>Northern</v>
      </c>
      <c r="L189">
        <f>VLOOKUP(A189,[1]Order_Details!$A$1:$F$2156,2,FALSE)</f>
        <v>2</v>
      </c>
      <c r="M189" t="str">
        <f>VLOOKUP(L189,[1]!Products,2,FALSE)</f>
        <v>Chang</v>
      </c>
      <c r="N189">
        <f>VLOOKUP(L189,[1]!Products,4,FALSE)</f>
        <v>1</v>
      </c>
      <c r="O189" s="6" t="str">
        <f>VLOOKUP(N189,[1]!Categories,2,FALSE)</f>
        <v>Beverages</v>
      </c>
      <c r="P189" s="6">
        <f>VLOOKUP(A189,[1]Order_Details!$A$1:$F$2156,3,FALSE)</f>
        <v>15.2</v>
      </c>
      <c r="Q189">
        <f>VLOOKUP(A189,[1]Order_Details!$A$1:$F$2156,4,FALSE)</f>
        <v>10</v>
      </c>
      <c r="R189">
        <f>VLOOKUP(A189,[1]Order_Details!$A$1:$F$2156,5,FALSE)</f>
        <v>0</v>
      </c>
      <c r="S189" s="6">
        <f>VLOOKUP(A189,[1]Order_Details!$A$1:$F$2156,6,FALSE)</f>
        <v>152</v>
      </c>
      <c r="T189" s="6">
        <f>VLOOKUP(A189,[1]!Orders,8,FALSE)</f>
        <v>9.2100000000000009</v>
      </c>
    </row>
    <row r="190" spans="1:20" x14ac:dyDescent="0.3">
      <c r="A190" s="2">
        <v>10436</v>
      </c>
      <c r="B190" s="2" t="s">
        <v>19</v>
      </c>
      <c r="C190" s="2">
        <v>3</v>
      </c>
      <c r="D190" s="3">
        <v>35466</v>
      </c>
      <c r="E190" t="str">
        <f>VLOOKUP(C190,[1]Employees!$A$1:$O$10,4,FALSE)</f>
        <v>Leverling Janet</v>
      </c>
      <c r="F190">
        <f>VLOOKUP(A190,[1]!Orders,7,FALSE)</f>
        <v>2</v>
      </c>
      <c r="G190" t="str">
        <f>VLOOKUP(F190,[1]!Shippers,2,FALSE)</f>
        <v>United Package</v>
      </c>
      <c r="H190" t="str">
        <f>VLOOKUP(C190,[1]EmployeeTerritories!$A$1:$B$50,2,FALSE)</f>
        <v>30346</v>
      </c>
      <c r="I190">
        <f>VLOOKUP(C190,[1]EmployeeTerritories!$A$1:$B$50,1,FALSE)</f>
        <v>3</v>
      </c>
      <c r="J190">
        <f>VLOOKUP(H190,[1]!Territories,3,FALSE)</f>
        <v>4</v>
      </c>
      <c r="K190" t="str">
        <f>VLOOKUP(J190,[1]!Region,2,FALSE)</f>
        <v>Southern</v>
      </c>
      <c r="L190">
        <f>VLOOKUP(A190,[1]Order_Details!$A$1:$F$2156,2,FALSE)</f>
        <v>46</v>
      </c>
      <c r="M190" t="str">
        <f>VLOOKUP(L190,[1]!Products,2,FALSE)</f>
        <v>Spegesild</v>
      </c>
      <c r="N190">
        <f>VLOOKUP(L190,[1]!Products,4,FALSE)</f>
        <v>8</v>
      </c>
      <c r="O190" s="6" t="str">
        <f>VLOOKUP(N190,[1]!Categories,2,FALSE)</f>
        <v>Seafood</v>
      </c>
      <c r="P190" s="6">
        <f>VLOOKUP(A190,[1]Order_Details!$A$1:$F$2156,3,FALSE)</f>
        <v>9.6</v>
      </c>
      <c r="Q190">
        <f>VLOOKUP(A190,[1]Order_Details!$A$1:$F$2156,4,FALSE)</f>
        <v>5</v>
      </c>
      <c r="R190">
        <f>VLOOKUP(A190,[1]Order_Details!$A$1:$F$2156,5,FALSE)</f>
        <v>0</v>
      </c>
      <c r="S190" s="6">
        <f>VLOOKUP(A190,[1]Order_Details!$A$1:$F$2156,6,FALSE)</f>
        <v>48</v>
      </c>
      <c r="T190" s="6">
        <f>VLOOKUP(A190,[1]!Orders,8,FALSE)</f>
        <v>156.66</v>
      </c>
    </row>
    <row r="191" spans="1:20" x14ac:dyDescent="0.3">
      <c r="A191" s="2">
        <v>10437</v>
      </c>
      <c r="B191" s="2" t="s">
        <v>20</v>
      </c>
      <c r="C191" s="2">
        <v>8</v>
      </c>
      <c r="D191" s="3">
        <v>35466</v>
      </c>
      <c r="E191" t="str">
        <f>VLOOKUP(C191,[1]Employees!$A$1:$O$10,4,FALSE)</f>
        <v>Callahan Laura</v>
      </c>
      <c r="F191">
        <f>VLOOKUP(A191,[1]!Orders,7,FALSE)</f>
        <v>1</v>
      </c>
      <c r="G191" t="str">
        <f>VLOOKUP(F191,[1]!Shippers,2,FALSE)</f>
        <v>Speedy Express</v>
      </c>
      <c r="H191" t="str">
        <f>VLOOKUP(C191,[1]EmployeeTerritories!$A$1:$B$50,2,FALSE)</f>
        <v>19428</v>
      </c>
      <c r="I191">
        <f>VLOOKUP(C191,[1]EmployeeTerritories!$A$1:$B$50,1,FALSE)</f>
        <v>8</v>
      </c>
      <c r="J191">
        <f>VLOOKUP(H191,[1]!Territories,3,FALSE)</f>
        <v>3</v>
      </c>
      <c r="K191" t="str">
        <f>VLOOKUP(J191,[1]!Region,2,FALSE)</f>
        <v>Northern</v>
      </c>
      <c r="L191">
        <f>VLOOKUP(A191,[1]Order_Details!$A$1:$F$2156,2,FALSE)</f>
        <v>53</v>
      </c>
      <c r="M191" t="str">
        <f>VLOOKUP(L191,[1]!Products,2,FALSE)</f>
        <v>Perth Pasties</v>
      </c>
      <c r="N191">
        <f>VLOOKUP(L191,[1]!Products,4,FALSE)</f>
        <v>6</v>
      </c>
      <c r="O191" s="6" t="str">
        <f>VLOOKUP(N191,[1]!Categories,2,FALSE)</f>
        <v>Meat/Poultry</v>
      </c>
      <c r="P191" s="6">
        <f>VLOOKUP(A191,[1]Order_Details!$A$1:$F$2156,3,FALSE)</f>
        <v>26.2</v>
      </c>
      <c r="Q191">
        <f>VLOOKUP(A191,[1]Order_Details!$A$1:$F$2156,4,FALSE)</f>
        <v>15</v>
      </c>
      <c r="R191">
        <f>VLOOKUP(A191,[1]Order_Details!$A$1:$F$2156,5,FALSE)</f>
        <v>0</v>
      </c>
      <c r="S191" s="6">
        <f>VLOOKUP(A191,[1]Order_Details!$A$1:$F$2156,6,FALSE)</f>
        <v>393</v>
      </c>
      <c r="T191" s="6">
        <f>VLOOKUP(A191,[1]!Orders,8,FALSE)</f>
        <v>19.97</v>
      </c>
    </row>
    <row r="192" spans="1:20" x14ac:dyDescent="0.3">
      <c r="A192" s="2">
        <v>10438</v>
      </c>
      <c r="B192" s="2" t="s">
        <v>5</v>
      </c>
      <c r="C192" s="2">
        <v>3</v>
      </c>
      <c r="D192" s="3">
        <v>35467</v>
      </c>
      <c r="E192" t="str">
        <f>VLOOKUP(C192,[1]Employees!$A$1:$O$10,4,FALSE)</f>
        <v>Leverling Janet</v>
      </c>
      <c r="F192">
        <f>VLOOKUP(A192,[1]!Orders,7,FALSE)</f>
        <v>2</v>
      </c>
      <c r="G192" t="str">
        <f>VLOOKUP(F192,[1]!Shippers,2,FALSE)</f>
        <v>United Package</v>
      </c>
      <c r="H192" t="str">
        <f>VLOOKUP(C192,[1]EmployeeTerritories!$A$1:$B$50,2,FALSE)</f>
        <v>30346</v>
      </c>
      <c r="I192">
        <f>VLOOKUP(C192,[1]EmployeeTerritories!$A$1:$B$50,1,FALSE)</f>
        <v>3</v>
      </c>
      <c r="J192">
        <f>VLOOKUP(H192,[1]!Territories,3,FALSE)</f>
        <v>4</v>
      </c>
      <c r="K192" t="str">
        <f>VLOOKUP(J192,[1]!Region,2,FALSE)</f>
        <v>Southern</v>
      </c>
      <c r="L192">
        <f>VLOOKUP(A192,[1]Order_Details!$A$1:$F$2156,2,FALSE)</f>
        <v>19</v>
      </c>
      <c r="M192" t="str">
        <f>VLOOKUP(L192,[1]!Products,2,FALSE)</f>
        <v>Teatime Chocolate Biscuits</v>
      </c>
      <c r="N192">
        <f>VLOOKUP(L192,[1]!Products,4,FALSE)</f>
        <v>3</v>
      </c>
      <c r="O192" s="6" t="str">
        <f>VLOOKUP(N192,[1]!Categories,2,FALSE)</f>
        <v>Confections</v>
      </c>
      <c r="P192" s="6">
        <f>VLOOKUP(A192,[1]Order_Details!$A$1:$F$2156,3,FALSE)</f>
        <v>7.3</v>
      </c>
      <c r="Q192">
        <f>VLOOKUP(A192,[1]Order_Details!$A$1:$F$2156,4,FALSE)</f>
        <v>15</v>
      </c>
      <c r="R192">
        <f>VLOOKUP(A192,[1]Order_Details!$A$1:$F$2156,5,FALSE)</f>
        <v>0.20000000298023224</v>
      </c>
      <c r="S192" s="6">
        <f>VLOOKUP(A192,[1]Order_Details!$A$1:$F$2156,6,FALSE)</f>
        <v>87.59999967366457</v>
      </c>
      <c r="T192" s="6">
        <f>VLOOKUP(A192,[1]!Orders,8,FALSE)</f>
        <v>8.24</v>
      </c>
    </row>
    <row r="193" spans="1:20" x14ac:dyDescent="0.3">
      <c r="A193" s="2">
        <v>10439</v>
      </c>
      <c r="B193" s="2" t="s">
        <v>53</v>
      </c>
      <c r="C193" s="2">
        <v>6</v>
      </c>
      <c r="D193" s="3">
        <v>35468</v>
      </c>
      <c r="E193" t="str">
        <f>VLOOKUP(C193,[1]Employees!$A$1:$O$10,4,FALSE)</f>
        <v>Suyama Michael</v>
      </c>
      <c r="F193">
        <f>VLOOKUP(A193,[1]!Orders,7,FALSE)</f>
        <v>3</v>
      </c>
      <c r="G193" t="str">
        <f>VLOOKUP(F193,[1]!Shippers,2,FALSE)</f>
        <v>Federal Shipping</v>
      </c>
      <c r="H193" t="str">
        <f>VLOOKUP(C193,[1]EmployeeTerritories!$A$1:$B$50,2,FALSE)</f>
        <v>85014</v>
      </c>
      <c r="I193">
        <f>VLOOKUP(C193,[1]EmployeeTerritories!$A$1:$B$50,1,FALSE)</f>
        <v>6</v>
      </c>
      <c r="J193">
        <f>VLOOKUP(H193,[1]!Territories,3,FALSE)</f>
        <v>2</v>
      </c>
      <c r="K193" t="str">
        <f>VLOOKUP(J193,[1]!Region,2,FALSE)</f>
        <v>Western</v>
      </c>
      <c r="L193">
        <f>VLOOKUP(A193,[1]Order_Details!$A$1:$F$2156,2,FALSE)</f>
        <v>12</v>
      </c>
      <c r="M193" t="str">
        <f>VLOOKUP(L193,[1]!Products,2,FALSE)</f>
        <v>Queso Manchego La Pastora</v>
      </c>
      <c r="N193">
        <f>VLOOKUP(L193,[1]!Products,4,FALSE)</f>
        <v>4</v>
      </c>
      <c r="O193" s="6" t="str">
        <f>VLOOKUP(N193,[1]!Categories,2,FALSE)</f>
        <v>Dairy Products</v>
      </c>
      <c r="P193" s="6">
        <f>VLOOKUP(A193,[1]Order_Details!$A$1:$F$2156,3,FALSE)</f>
        <v>30.4</v>
      </c>
      <c r="Q193">
        <f>VLOOKUP(A193,[1]Order_Details!$A$1:$F$2156,4,FALSE)</f>
        <v>15</v>
      </c>
      <c r="R193">
        <f>VLOOKUP(A193,[1]Order_Details!$A$1:$F$2156,5,FALSE)</f>
        <v>0</v>
      </c>
      <c r="S193" s="6">
        <f>VLOOKUP(A193,[1]Order_Details!$A$1:$F$2156,6,FALSE)</f>
        <v>456</v>
      </c>
      <c r="T193" s="6">
        <f>VLOOKUP(A193,[1]!Orders,8,FALSE)</f>
        <v>4.07</v>
      </c>
    </row>
    <row r="194" spans="1:20" x14ac:dyDescent="0.3">
      <c r="A194" s="2">
        <v>10440</v>
      </c>
      <c r="B194" s="2" t="s">
        <v>49</v>
      </c>
      <c r="C194" s="2">
        <v>4</v>
      </c>
      <c r="D194" s="3">
        <v>35471</v>
      </c>
      <c r="E194" t="str">
        <f>VLOOKUP(C194,[1]Employees!$A$1:$O$10,4,FALSE)</f>
        <v>Peacock Margaret</v>
      </c>
      <c r="F194">
        <f>VLOOKUP(A194,[1]!Orders,7,FALSE)</f>
        <v>2</v>
      </c>
      <c r="G194" t="str">
        <f>VLOOKUP(F194,[1]!Shippers,2,FALSE)</f>
        <v>United Package</v>
      </c>
      <c r="H194" t="str">
        <f>VLOOKUP(C194,[1]EmployeeTerritories!$A$1:$B$50,2,FALSE)</f>
        <v>20852</v>
      </c>
      <c r="I194">
        <f>VLOOKUP(C194,[1]EmployeeTerritories!$A$1:$B$50,1,FALSE)</f>
        <v>4</v>
      </c>
      <c r="J194">
        <f>VLOOKUP(H194,[1]!Territories,3,FALSE)</f>
        <v>1</v>
      </c>
      <c r="K194" t="str">
        <f>VLOOKUP(J194,[1]!Region,2,FALSE)</f>
        <v>Eastern</v>
      </c>
      <c r="L194">
        <f>VLOOKUP(A194,[1]Order_Details!$A$1:$F$2156,2,FALSE)</f>
        <v>2</v>
      </c>
      <c r="M194" t="str">
        <f>VLOOKUP(L194,[1]!Products,2,FALSE)</f>
        <v>Chang</v>
      </c>
      <c r="N194">
        <f>VLOOKUP(L194,[1]!Products,4,FALSE)</f>
        <v>1</v>
      </c>
      <c r="O194" s="6" t="str">
        <f>VLOOKUP(N194,[1]!Categories,2,FALSE)</f>
        <v>Beverages</v>
      </c>
      <c r="P194" s="6">
        <f>VLOOKUP(A194,[1]Order_Details!$A$1:$F$2156,3,FALSE)</f>
        <v>15.2</v>
      </c>
      <c r="Q194">
        <f>VLOOKUP(A194,[1]Order_Details!$A$1:$F$2156,4,FALSE)</f>
        <v>45</v>
      </c>
      <c r="R194">
        <f>VLOOKUP(A194,[1]Order_Details!$A$1:$F$2156,5,FALSE)</f>
        <v>0.15000000596046448</v>
      </c>
      <c r="S194" s="6">
        <f>VLOOKUP(A194,[1]Order_Details!$A$1:$F$2156,6,FALSE)</f>
        <v>581.3999959230423</v>
      </c>
      <c r="T194" s="6">
        <f>VLOOKUP(A194,[1]!Orders,8,FALSE)</f>
        <v>86.53</v>
      </c>
    </row>
    <row r="195" spans="1:20" x14ac:dyDescent="0.3">
      <c r="A195" s="2">
        <v>10441</v>
      </c>
      <c r="B195" s="2" t="s">
        <v>41</v>
      </c>
      <c r="C195" s="2">
        <v>3</v>
      </c>
      <c r="D195" s="3">
        <v>35471</v>
      </c>
      <c r="E195" t="str">
        <f>VLOOKUP(C195,[1]Employees!$A$1:$O$10,4,FALSE)</f>
        <v>Leverling Janet</v>
      </c>
      <c r="F195">
        <f>VLOOKUP(A195,[1]!Orders,7,FALSE)</f>
        <v>2</v>
      </c>
      <c r="G195" t="str">
        <f>VLOOKUP(F195,[1]!Shippers,2,FALSE)</f>
        <v>United Package</v>
      </c>
      <c r="H195" t="str">
        <f>VLOOKUP(C195,[1]EmployeeTerritories!$A$1:$B$50,2,FALSE)</f>
        <v>30346</v>
      </c>
      <c r="I195">
        <f>VLOOKUP(C195,[1]EmployeeTerritories!$A$1:$B$50,1,FALSE)</f>
        <v>3</v>
      </c>
      <c r="J195">
        <f>VLOOKUP(H195,[1]!Territories,3,FALSE)</f>
        <v>4</v>
      </c>
      <c r="K195" t="str">
        <f>VLOOKUP(J195,[1]!Region,2,FALSE)</f>
        <v>Southern</v>
      </c>
      <c r="L195">
        <f>VLOOKUP(A195,[1]Order_Details!$A$1:$F$2156,2,FALSE)</f>
        <v>27</v>
      </c>
      <c r="M195" t="str">
        <f>VLOOKUP(L195,[1]!Products,2,FALSE)</f>
        <v>Schoggi Schokolade</v>
      </c>
      <c r="N195">
        <f>VLOOKUP(L195,[1]!Products,4,FALSE)</f>
        <v>3</v>
      </c>
      <c r="O195" s="6" t="str">
        <f>VLOOKUP(N195,[1]!Categories,2,FALSE)</f>
        <v>Confections</v>
      </c>
      <c r="P195" s="6">
        <f>VLOOKUP(A195,[1]Order_Details!$A$1:$F$2156,3,FALSE)</f>
        <v>35.1</v>
      </c>
      <c r="Q195">
        <f>VLOOKUP(A195,[1]Order_Details!$A$1:$F$2156,4,FALSE)</f>
        <v>50</v>
      </c>
      <c r="R195">
        <f>VLOOKUP(A195,[1]Order_Details!$A$1:$F$2156,5,FALSE)</f>
        <v>0</v>
      </c>
      <c r="S195" s="6">
        <f>VLOOKUP(A195,[1]Order_Details!$A$1:$F$2156,6,FALSE)</f>
        <v>1755</v>
      </c>
      <c r="T195" s="6">
        <f>VLOOKUP(A195,[1]!Orders,8,FALSE)</f>
        <v>73.02</v>
      </c>
    </row>
    <row r="196" spans="1:20" x14ac:dyDescent="0.3">
      <c r="A196" s="2">
        <v>10442</v>
      </c>
      <c r="B196" s="2" t="s">
        <v>13</v>
      </c>
      <c r="C196" s="2">
        <v>3</v>
      </c>
      <c r="D196" s="3">
        <v>35472</v>
      </c>
      <c r="E196" t="str">
        <f>VLOOKUP(C196,[1]Employees!$A$1:$O$10,4,FALSE)</f>
        <v>Leverling Janet</v>
      </c>
      <c r="F196">
        <f>VLOOKUP(A196,[1]!Orders,7,FALSE)</f>
        <v>2</v>
      </c>
      <c r="G196" t="str">
        <f>VLOOKUP(F196,[1]!Shippers,2,FALSE)</f>
        <v>United Package</v>
      </c>
      <c r="H196" t="str">
        <f>VLOOKUP(C196,[1]EmployeeTerritories!$A$1:$B$50,2,FALSE)</f>
        <v>30346</v>
      </c>
      <c r="I196">
        <f>VLOOKUP(C196,[1]EmployeeTerritories!$A$1:$B$50,1,FALSE)</f>
        <v>3</v>
      </c>
      <c r="J196">
        <f>VLOOKUP(H196,[1]!Territories,3,FALSE)</f>
        <v>4</v>
      </c>
      <c r="K196" t="str">
        <f>VLOOKUP(J196,[1]!Region,2,FALSE)</f>
        <v>Southern</v>
      </c>
      <c r="L196">
        <f>VLOOKUP(A196,[1]Order_Details!$A$1:$F$2156,2,FALSE)</f>
        <v>11</v>
      </c>
      <c r="M196" t="str">
        <f>VLOOKUP(L196,[1]!Products,2,FALSE)</f>
        <v>Queso Cabrales</v>
      </c>
      <c r="N196">
        <f>VLOOKUP(L196,[1]!Products,4,FALSE)</f>
        <v>4</v>
      </c>
      <c r="O196" s="6" t="str">
        <f>VLOOKUP(N196,[1]!Categories,2,FALSE)</f>
        <v>Dairy Products</v>
      </c>
      <c r="P196" s="6">
        <f>VLOOKUP(A196,[1]Order_Details!$A$1:$F$2156,3,FALSE)</f>
        <v>16.8</v>
      </c>
      <c r="Q196">
        <f>VLOOKUP(A196,[1]Order_Details!$A$1:$F$2156,4,FALSE)</f>
        <v>30</v>
      </c>
      <c r="R196">
        <f>VLOOKUP(A196,[1]Order_Details!$A$1:$F$2156,5,FALSE)</f>
        <v>0</v>
      </c>
      <c r="S196" s="6">
        <f>VLOOKUP(A196,[1]Order_Details!$A$1:$F$2156,6,FALSE)</f>
        <v>504</v>
      </c>
      <c r="T196" s="6">
        <f>VLOOKUP(A196,[1]!Orders,8,FALSE)</f>
        <v>47.94</v>
      </c>
    </row>
    <row r="197" spans="1:20" x14ac:dyDescent="0.3">
      <c r="A197" s="2">
        <v>10443</v>
      </c>
      <c r="B197" s="2" t="s">
        <v>34</v>
      </c>
      <c r="C197" s="2">
        <v>8</v>
      </c>
      <c r="D197" s="3">
        <v>35473</v>
      </c>
      <c r="E197" t="str">
        <f>VLOOKUP(C197,[1]Employees!$A$1:$O$10,4,FALSE)</f>
        <v>Callahan Laura</v>
      </c>
      <c r="F197">
        <f>VLOOKUP(A197,[1]!Orders,7,FALSE)</f>
        <v>1</v>
      </c>
      <c r="G197" t="str">
        <f>VLOOKUP(F197,[1]!Shippers,2,FALSE)</f>
        <v>Speedy Express</v>
      </c>
      <c r="H197" t="str">
        <f>VLOOKUP(C197,[1]EmployeeTerritories!$A$1:$B$50,2,FALSE)</f>
        <v>19428</v>
      </c>
      <c r="I197">
        <f>VLOOKUP(C197,[1]EmployeeTerritories!$A$1:$B$50,1,FALSE)</f>
        <v>8</v>
      </c>
      <c r="J197">
        <f>VLOOKUP(H197,[1]!Territories,3,FALSE)</f>
        <v>3</v>
      </c>
      <c r="K197" t="str">
        <f>VLOOKUP(J197,[1]!Region,2,FALSE)</f>
        <v>Northern</v>
      </c>
      <c r="L197">
        <f>VLOOKUP(A197,[1]Order_Details!$A$1:$F$2156,2,FALSE)</f>
        <v>11</v>
      </c>
      <c r="M197" t="str">
        <f>VLOOKUP(L197,[1]!Products,2,FALSE)</f>
        <v>Queso Cabrales</v>
      </c>
      <c r="N197">
        <f>VLOOKUP(L197,[1]!Products,4,FALSE)</f>
        <v>4</v>
      </c>
      <c r="O197" s="6" t="str">
        <f>VLOOKUP(N197,[1]!Categories,2,FALSE)</f>
        <v>Dairy Products</v>
      </c>
      <c r="P197" s="6">
        <f>VLOOKUP(A197,[1]Order_Details!$A$1:$F$2156,3,FALSE)</f>
        <v>16.8</v>
      </c>
      <c r="Q197">
        <f>VLOOKUP(A197,[1]Order_Details!$A$1:$F$2156,4,FALSE)</f>
        <v>6</v>
      </c>
      <c r="R197">
        <f>VLOOKUP(A197,[1]Order_Details!$A$1:$F$2156,5,FALSE)</f>
        <v>0.20000000298023224</v>
      </c>
      <c r="S197" s="6">
        <f>VLOOKUP(A197,[1]Order_Details!$A$1:$F$2156,6,FALSE)</f>
        <v>80.639999699592593</v>
      </c>
      <c r="T197" s="6">
        <f>VLOOKUP(A197,[1]!Orders,8,FALSE)</f>
        <v>13.95</v>
      </c>
    </row>
    <row r="198" spans="1:20" x14ac:dyDescent="0.3">
      <c r="A198" s="2">
        <v>10444</v>
      </c>
      <c r="B198" s="2" t="s">
        <v>29</v>
      </c>
      <c r="C198" s="2">
        <v>3</v>
      </c>
      <c r="D198" s="3">
        <v>35473</v>
      </c>
      <c r="E198" t="str">
        <f>VLOOKUP(C198,[1]Employees!$A$1:$O$10,4,FALSE)</f>
        <v>Leverling Janet</v>
      </c>
      <c r="F198">
        <f>VLOOKUP(A198,[1]!Orders,7,FALSE)</f>
        <v>3</v>
      </c>
      <c r="G198" t="str">
        <f>VLOOKUP(F198,[1]!Shippers,2,FALSE)</f>
        <v>Federal Shipping</v>
      </c>
      <c r="H198" t="str">
        <f>VLOOKUP(C198,[1]EmployeeTerritories!$A$1:$B$50,2,FALSE)</f>
        <v>30346</v>
      </c>
      <c r="I198">
        <f>VLOOKUP(C198,[1]EmployeeTerritories!$A$1:$B$50,1,FALSE)</f>
        <v>3</v>
      </c>
      <c r="J198">
        <f>VLOOKUP(H198,[1]!Territories,3,FALSE)</f>
        <v>4</v>
      </c>
      <c r="K198" t="str">
        <f>VLOOKUP(J198,[1]!Region,2,FALSE)</f>
        <v>Southern</v>
      </c>
      <c r="L198">
        <f>VLOOKUP(A198,[1]Order_Details!$A$1:$F$2156,2,FALSE)</f>
        <v>17</v>
      </c>
      <c r="M198" t="str">
        <f>VLOOKUP(L198,[1]!Products,2,FALSE)</f>
        <v>Alice Mutton</v>
      </c>
      <c r="N198">
        <f>VLOOKUP(L198,[1]!Products,4,FALSE)</f>
        <v>6</v>
      </c>
      <c r="O198" s="6" t="str">
        <f>VLOOKUP(N198,[1]!Categories,2,FALSE)</f>
        <v>Meat/Poultry</v>
      </c>
      <c r="P198" s="6">
        <f>VLOOKUP(A198,[1]Order_Details!$A$1:$F$2156,3,FALSE)</f>
        <v>31.2</v>
      </c>
      <c r="Q198">
        <f>VLOOKUP(A198,[1]Order_Details!$A$1:$F$2156,4,FALSE)</f>
        <v>10</v>
      </c>
      <c r="R198">
        <f>VLOOKUP(A198,[1]Order_Details!$A$1:$F$2156,5,FALSE)</f>
        <v>0</v>
      </c>
      <c r="S198" s="6">
        <f>VLOOKUP(A198,[1]Order_Details!$A$1:$F$2156,6,FALSE)</f>
        <v>312</v>
      </c>
      <c r="T198" s="6">
        <f>VLOOKUP(A198,[1]!Orders,8,FALSE)</f>
        <v>3.5</v>
      </c>
    </row>
    <row r="199" spans="1:20" x14ac:dyDescent="0.3">
      <c r="A199" s="2">
        <v>10445</v>
      </c>
      <c r="B199" s="2" t="s">
        <v>29</v>
      </c>
      <c r="C199" s="2">
        <v>3</v>
      </c>
      <c r="D199" s="3">
        <v>35474</v>
      </c>
      <c r="E199" t="str">
        <f>VLOOKUP(C199,[1]Employees!$A$1:$O$10,4,FALSE)</f>
        <v>Leverling Janet</v>
      </c>
      <c r="F199">
        <f>VLOOKUP(A199,[1]!Orders,7,FALSE)</f>
        <v>1</v>
      </c>
      <c r="G199" t="str">
        <f>VLOOKUP(F199,[1]!Shippers,2,FALSE)</f>
        <v>Speedy Express</v>
      </c>
      <c r="H199" t="str">
        <f>VLOOKUP(C199,[1]EmployeeTerritories!$A$1:$B$50,2,FALSE)</f>
        <v>30346</v>
      </c>
      <c r="I199">
        <f>VLOOKUP(C199,[1]EmployeeTerritories!$A$1:$B$50,1,FALSE)</f>
        <v>3</v>
      </c>
      <c r="J199">
        <f>VLOOKUP(H199,[1]!Territories,3,FALSE)</f>
        <v>4</v>
      </c>
      <c r="K199" t="str">
        <f>VLOOKUP(J199,[1]!Region,2,FALSE)</f>
        <v>Southern</v>
      </c>
      <c r="L199">
        <f>VLOOKUP(A199,[1]Order_Details!$A$1:$F$2156,2,FALSE)</f>
        <v>39</v>
      </c>
      <c r="M199" t="str">
        <f>VLOOKUP(L199,[1]!Products,2,FALSE)</f>
        <v>Chartreuse verte</v>
      </c>
      <c r="N199">
        <f>VLOOKUP(L199,[1]!Products,4,FALSE)</f>
        <v>1</v>
      </c>
      <c r="O199" s="6" t="str">
        <f>VLOOKUP(N199,[1]!Categories,2,FALSE)</f>
        <v>Beverages</v>
      </c>
      <c r="P199" s="6">
        <f>VLOOKUP(A199,[1]Order_Details!$A$1:$F$2156,3,FALSE)</f>
        <v>14.4</v>
      </c>
      <c r="Q199">
        <f>VLOOKUP(A199,[1]Order_Details!$A$1:$F$2156,4,FALSE)</f>
        <v>6</v>
      </c>
      <c r="R199">
        <f>VLOOKUP(A199,[1]Order_Details!$A$1:$F$2156,5,FALSE)</f>
        <v>0</v>
      </c>
      <c r="S199" s="6">
        <f>VLOOKUP(A199,[1]Order_Details!$A$1:$F$2156,6,FALSE)</f>
        <v>86.4</v>
      </c>
      <c r="T199" s="6">
        <f>VLOOKUP(A199,[1]!Orders,8,FALSE)</f>
        <v>9.3000000000000007</v>
      </c>
    </row>
    <row r="200" spans="1:20" x14ac:dyDescent="0.3">
      <c r="A200" s="2">
        <v>10446</v>
      </c>
      <c r="B200" s="2" t="s">
        <v>5</v>
      </c>
      <c r="C200" s="2">
        <v>6</v>
      </c>
      <c r="D200" s="3">
        <v>35475</v>
      </c>
      <c r="E200" t="str">
        <f>VLOOKUP(C200,[1]Employees!$A$1:$O$10,4,FALSE)</f>
        <v>Suyama Michael</v>
      </c>
      <c r="F200">
        <f>VLOOKUP(A200,[1]!Orders,7,FALSE)</f>
        <v>1</v>
      </c>
      <c r="G200" t="str">
        <f>VLOOKUP(F200,[1]!Shippers,2,FALSE)</f>
        <v>Speedy Express</v>
      </c>
      <c r="H200" t="str">
        <f>VLOOKUP(C200,[1]EmployeeTerritories!$A$1:$B$50,2,FALSE)</f>
        <v>85014</v>
      </c>
      <c r="I200">
        <f>VLOOKUP(C200,[1]EmployeeTerritories!$A$1:$B$50,1,FALSE)</f>
        <v>6</v>
      </c>
      <c r="J200">
        <f>VLOOKUP(H200,[1]!Territories,3,FALSE)</f>
        <v>2</v>
      </c>
      <c r="K200" t="str">
        <f>VLOOKUP(J200,[1]!Region,2,FALSE)</f>
        <v>Western</v>
      </c>
      <c r="L200">
        <f>VLOOKUP(A200,[1]Order_Details!$A$1:$F$2156,2,FALSE)</f>
        <v>19</v>
      </c>
      <c r="M200" t="str">
        <f>VLOOKUP(L200,[1]!Products,2,FALSE)</f>
        <v>Teatime Chocolate Biscuits</v>
      </c>
      <c r="N200">
        <f>VLOOKUP(L200,[1]!Products,4,FALSE)</f>
        <v>3</v>
      </c>
      <c r="O200" s="6" t="str">
        <f>VLOOKUP(N200,[1]!Categories,2,FALSE)</f>
        <v>Confections</v>
      </c>
      <c r="P200" s="6">
        <f>VLOOKUP(A200,[1]Order_Details!$A$1:$F$2156,3,FALSE)</f>
        <v>7.3</v>
      </c>
      <c r="Q200">
        <f>VLOOKUP(A200,[1]Order_Details!$A$1:$F$2156,4,FALSE)</f>
        <v>12</v>
      </c>
      <c r="R200">
        <f>VLOOKUP(A200,[1]Order_Details!$A$1:$F$2156,5,FALSE)</f>
        <v>0.10000000149011612</v>
      </c>
      <c r="S200" s="6">
        <f>VLOOKUP(A200,[1]Order_Details!$A$1:$F$2156,6,FALSE)</f>
        <v>78.839999869465828</v>
      </c>
      <c r="T200" s="6">
        <f>VLOOKUP(A200,[1]!Orders,8,FALSE)</f>
        <v>14.68</v>
      </c>
    </row>
    <row r="201" spans="1:20" x14ac:dyDescent="0.3">
      <c r="A201" s="2">
        <v>10447</v>
      </c>
      <c r="B201" s="2" t="s">
        <v>33</v>
      </c>
      <c r="C201" s="2">
        <v>4</v>
      </c>
      <c r="D201" s="3">
        <v>35475</v>
      </c>
      <c r="E201" t="str">
        <f>VLOOKUP(C201,[1]Employees!$A$1:$O$10,4,FALSE)</f>
        <v>Peacock Margaret</v>
      </c>
      <c r="F201">
        <f>VLOOKUP(A201,[1]!Orders,7,FALSE)</f>
        <v>2</v>
      </c>
      <c r="G201" t="str">
        <f>VLOOKUP(F201,[1]!Shippers,2,FALSE)</f>
        <v>United Package</v>
      </c>
      <c r="H201" t="str">
        <f>VLOOKUP(C201,[1]EmployeeTerritories!$A$1:$B$50,2,FALSE)</f>
        <v>20852</v>
      </c>
      <c r="I201">
        <f>VLOOKUP(C201,[1]EmployeeTerritories!$A$1:$B$50,1,FALSE)</f>
        <v>4</v>
      </c>
      <c r="J201">
        <f>VLOOKUP(H201,[1]!Territories,3,FALSE)</f>
        <v>1</v>
      </c>
      <c r="K201" t="str">
        <f>VLOOKUP(J201,[1]!Region,2,FALSE)</f>
        <v>Eastern</v>
      </c>
      <c r="L201">
        <f>VLOOKUP(A201,[1]Order_Details!$A$1:$F$2156,2,FALSE)</f>
        <v>19</v>
      </c>
      <c r="M201" t="str">
        <f>VLOOKUP(L201,[1]!Products,2,FALSE)</f>
        <v>Teatime Chocolate Biscuits</v>
      </c>
      <c r="N201">
        <f>VLOOKUP(L201,[1]!Products,4,FALSE)</f>
        <v>3</v>
      </c>
      <c r="O201" s="6" t="str">
        <f>VLOOKUP(N201,[1]!Categories,2,FALSE)</f>
        <v>Confections</v>
      </c>
      <c r="P201" s="6">
        <f>VLOOKUP(A201,[1]Order_Details!$A$1:$F$2156,3,FALSE)</f>
        <v>7.3</v>
      </c>
      <c r="Q201">
        <f>VLOOKUP(A201,[1]Order_Details!$A$1:$F$2156,4,FALSE)</f>
        <v>40</v>
      </c>
      <c r="R201">
        <f>VLOOKUP(A201,[1]Order_Details!$A$1:$F$2156,5,FALSE)</f>
        <v>0</v>
      </c>
      <c r="S201" s="6">
        <f>VLOOKUP(A201,[1]Order_Details!$A$1:$F$2156,6,FALSE)</f>
        <v>292</v>
      </c>
      <c r="T201" s="6">
        <f>VLOOKUP(A201,[1]!Orders,8,FALSE)</f>
        <v>68.66</v>
      </c>
    </row>
    <row r="202" spans="1:20" x14ac:dyDescent="0.3">
      <c r="A202" s="2">
        <v>10448</v>
      </c>
      <c r="B202" s="2" t="s">
        <v>77</v>
      </c>
      <c r="C202" s="2">
        <v>4</v>
      </c>
      <c r="D202" s="3">
        <v>35478</v>
      </c>
      <c r="E202" t="str">
        <f>VLOOKUP(C202,[1]Employees!$A$1:$O$10,4,FALSE)</f>
        <v>Peacock Margaret</v>
      </c>
      <c r="F202">
        <f>VLOOKUP(A202,[1]!Orders,7,FALSE)</f>
        <v>2</v>
      </c>
      <c r="G202" t="str">
        <f>VLOOKUP(F202,[1]!Shippers,2,FALSE)</f>
        <v>United Package</v>
      </c>
      <c r="H202" t="str">
        <f>VLOOKUP(C202,[1]EmployeeTerritories!$A$1:$B$50,2,FALSE)</f>
        <v>20852</v>
      </c>
      <c r="I202">
        <f>VLOOKUP(C202,[1]EmployeeTerritories!$A$1:$B$50,1,FALSE)</f>
        <v>4</v>
      </c>
      <c r="J202">
        <f>VLOOKUP(H202,[1]!Territories,3,FALSE)</f>
        <v>1</v>
      </c>
      <c r="K202" t="str">
        <f>VLOOKUP(J202,[1]!Region,2,FALSE)</f>
        <v>Eastern</v>
      </c>
      <c r="L202">
        <f>VLOOKUP(A202,[1]Order_Details!$A$1:$F$2156,2,FALSE)</f>
        <v>26</v>
      </c>
      <c r="M202" t="str">
        <f>VLOOKUP(L202,[1]!Products,2,FALSE)</f>
        <v>Gumbär Gummibärchen</v>
      </c>
      <c r="N202">
        <f>VLOOKUP(L202,[1]!Products,4,FALSE)</f>
        <v>3</v>
      </c>
      <c r="O202" s="6" t="str">
        <f>VLOOKUP(N202,[1]!Categories,2,FALSE)</f>
        <v>Confections</v>
      </c>
      <c r="P202" s="6">
        <f>VLOOKUP(A202,[1]Order_Details!$A$1:$F$2156,3,FALSE)</f>
        <v>24.9</v>
      </c>
      <c r="Q202">
        <f>VLOOKUP(A202,[1]Order_Details!$A$1:$F$2156,4,FALSE)</f>
        <v>6</v>
      </c>
      <c r="R202">
        <f>VLOOKUP(A202,[1]Order_Details!$A$1:$F$2156,5,FALSE)</f>
        <v>0</v>
      </c>
      <c r="S202" s="6">
        <f>VLOOKUP(A202,[1]Order_Details!$A$1:$F$2156,6,FALSE)</f>
        <v>149.39999999999998</v>
      </c>
      <c r="T202" s="6">
        <f>VLOOKUP(A202,[1]!Orders,8,FALSE)</f>
        <v>38.82</v>
      </c>
    </row>
    <row r="203" spans="1:20" x14ac:dyDescent="0.3">
      <c r="A203" s="2">
        <v>10449</v>
      </c>
      <c r="B203" s="2" t="s">
        <v>19</v>
      </c>
      <c r="C203" s="2">
        <v>3</v>
      </c>
      <c r="D203" s="3">
        <v>35479</v>
      </c>
      <c r="E203" t="str">
        <f>VLOOKUP(C203,[1]Employees!$A$1:$O$10,4,FALSE)</f>
        <v>Leverling Janet</v>
      </c>
      <c r="F203">
        <f>VLOOKUP(A203,[1]!Orders,7,FALSE)</f>
        <v>2</v>
      </c>
      <c r="G203" t="str">
        <f>VLOOKUP(F203,[1]!Shippers,2,FALSE)</f>
        <v>United Package</v>
      </c>
      <c r="H203" t="str">
        <f>VLOOKUP(C203,[1]EmployeeTerritories!$A$1:$B$50,2,FALSE)</f>
        <v>30346</v>
      </c>
      <c r="I203">
        <f>VLOOKUP(C203,[1]EmployeeTerritories!$A$1:$B$50,1,FALSE)</f>
        <v>3</v>
      </c>
      <c r="J203">
        <f>VLOOKUP(H203,[1]!Territories,3,FALSE)</f>
        <v>4</v>
      </c>
      <c r="K203" t="str">
        <f>VLOOKUP(J203,[1]!Region,2,FALSE)</f>
        <v>Southern</v>
      </c>
      <c r="L203">
        <f>VLOOKUP(A203,[1]Order_Details!$A$1:$F$2156,2,FALSE)</f>
        <v>10</v>
      </c>
      <c r="M203" t="str">
        <f>VLOOKUP(L203,[1]!Products,2,FALSE)</f>
        <v>Ikura</v>
      </c>
      <c r="N203">
        <f>VLOOKUP(L203,[1]!Products,4,FALSE)</f>
        <v>8</v>
      </c>
      <c r="O203" s="6" t="str">
        <f>VLOOKUP(N203,[1]!Categories,2,FALSE)</f>
        <v>Seafood</v>
      </c>
      <c r="P203" s="6">
        <f>VLOOKUP(A203,[1]Order_Details!$A$1:$F$2156,3,FALSE)</f>
        <v>24.8</v>
      </c>
      <c r="Q203">
        <f>VLOOKUP(A203,[1]Order_Details!$A$1:$F$2156,4,FALSE)</f>
        <v>14</v>
      </c>
      <c r="R203">
        <f>VLOOKUP(A203,[1]Order_Details!$A$1:$F$2156,5,FALSE)</f>
        <v>0</v>
      </c>
      <c r="S203" s="6">
        <f>VLOOKUP(A203,[1]Order_Details!$A$1:$F$2156,6,FALSE)</f>
        <v>347.2</v>
      </c>
      <c r="T203" s="6">
        <f>VLOOKUP(A203,[1]!Orders,8,FALSE)</f>
        <v>53.3</v>
      </c>
    </row>
    <row r="204" spans="1:20" x14ac:dyDescent="0.3">
      <c r="A204" s="2">
        <v>10450</v>
      </c>
      <c r="B204" s="2" t="s">
        <v>7</v>
      </c>
      <c r="C204" s="2">
        <v>8</v>
      </c>
      <c r="D204" s="3">
        <v>35480</v>
      </c>
      <c r="E204" t="str">
        <f>VLOOKUP(C204,[1]Employees!$A$1:$O$10,4,FALSE)</f>
        <v>Callahan Laura</v>
      </c>
      <c r="F204">
        <f>VLOOKUP(A204,[1]!Orders,7,FALSE)</f>
        <v>2</v>
      </c>
      <c r="G204" t="str">
        <f>VLOOKUP(F204,[1]!Shippers,2,FALSE)</f>
        <v>United Package</v>
      </c>
      <c r="H204" t="str">
        <f>VLOOKUP(C204,[1]EmployeeTerritories!$A$1:$B$50,2,FALSE)</f>
        <v>19428</v>
      </c>
      <c r="I204">
        <f>VLOOKUP(C204,[1]EmployeeTerritories!$A$1:$B$50,1,FALSE)</f>
        <v>8</v>
      </c>
      <c r="J204">
        <f>VLOOKUP(H204,[1]!Territories,3,FALSE)</f>
        <v>3</v>
      </c>
      <c r="K204" t="str">
        <f>VLOOKUP(J204,[1]!Region,2,FALSE)</f>
        <v>Northern</v>
      </c>
      <c r="L204">
        <f>VLOOKUP(A204,[1]Order_Details!$A$1:$F$2156,2,FALSE)</f>
        <v>10</v>
      </c>
      <c r="M204" t="str">
        <f>VLOOKUP(L204,[1]!Products,2,FALSE)</f>
        <v>Ikura</v>
      </c>
      <c r="N204">
        <f>VLOOKUP(L204,[1]!Products,4,FALSE)</f>
        <v>8</v>
      </c>
      <c r="O204" s="6" t="str">
        <f>VLOOKUP(N204,[1]!Categories,2,FALSE)</f>
        <v>Seafood</v>
      </c>
      <c r="P204" s="6">
        <f>VLOOKUP(A204,[1]Order_Details!$A$1:$F$2156,3,FALSE)</f>
        <v>24.8</v>
      </c>
      <c r="Q204">
        <f>VLOOKUP(A204,[1]Order_Details!$A$1:$F$2156,4,FALSE)</f>
        <v>20</v>
      </c>
      <c r="R204">
        <f>VLOOKUP(A204,[1]Order_Details!$A$1:$F$2156,5,FALSE)</f>
        <v>0.20000000298023224</v>
      </c>
      <c r="S204" s="6">
        <f>VLOOKUP(A204,[1]Order_Details!$A$1:$F$2156,6,FALSE)</f>
        <v>396.79999852180481</v>
      </c>
      <c r="T204" s="6">
        <f>VLOOKUP(A204,[1]!Orders,8,FALSE)</f>
        <v>7.23</v>
      </c>
    </row>
    <row r="205" spans="1:20" x14ac:dyDescent="0.3">
      <c r="A205" s="2">
        <v>10451</v>
      </c>
      <c r="B205" s="2" t="s">
        <v>25</v>
      </c>
      <c r="C205" s="2">
        <v>4</v>
      </c>
      <c r="D205" s="3">
        <v>35480</v>
      </c>
      <c r="E205" t="str">
        <f>VLOOKUP(C205,[1]Employees!$A$1:$O$10,4,FALSE)</f>
        <v>Peacock Margaret</v>
      </c>
      <c r="F205">
        <f>VLOOKUP(A205,[1]!Orders,7,FALSE)</f>
        <v>3</v>
      </c>
      <c r="G205" t="str">
        <f>VLOOKUP(F205,[1]!Shippers,2,FALSE)</f>
        <v>Federal Shipping</v>
      </c>
      <c r="H205" t="str">
        <f>VLOOKUP(C205,[1]EmployeeTerritories!$A$1:$B$50,2,FALSE)</f>
        <v>20852</v>
      </c>
      <c r="I205">
        <f>VLOOKUP(C205,[1]EmployeeTerritories!$A$1:$B$50,1,FALSE)</f>
        <v>4</v>
      </c>
      <c r="J205">
        <f>VLOOKUP(H205,[1]!Territories,3,FALSE)</f>
        <v>1</v>
      </c>
      <c r="K205" t="str">
        <f>VLOOKUP(J205,[1]!Region,2,FALSE)</f>
        <v>Eastern</v>
      </c>
      <c r="L205">
        <f>VLOOKUP(A205,[1]Order_Details!$A$1:$F$2156,2,FALSE)</f>
        <v>55</v>
      </c>
      <c r="M205" t="str">
        <f>VLOOKUP(L205,[1]!Products,2,FALSE)</f>
        <v>Pâté chinois</v>
      </c>
      <c r="N205">
        <f>VLOOKUP(L205,[1]!Products,4,FALSE)</f>
        <v>6</v>
      </c>
      <c r="O205" s="6" t="str">
        <f>VLOOKUP(N205,[1]!Categories,2,FALSE)</f>
        <v>Meat/Poultry</v>
      </c>
      <c r="P205" s="6">
        <f>VLOOKUP(A205,[1]Order_Details!$A$1:$F$2156,3,FALSE)</f>
        <v>19.2</v>
      </c>
      <c r="Q205">
        <f>VLOOKUP(A205,[1]Order_Details!$A$1:$F$2156,4,FALSE)</f>
        <v>120</v>
      </c>
      <c r="R205">
        <f>VLOOKUP(A205,[1]Order_Details!$A$1:$F$2156,5,FALSE)</f>
        <v>0.10000000149011612</v>
      </c>
      <c r="S205" s="6">
        <f>VLOOKUP(A205,[1]Order_Details!$A$1:$F$2156,6,FALSE)</f>
        <v>2073.5999965667725</v>
      </c>
      <c r="T205" s="6">
        <f>VLOOKUP(A205,[1]!Orders,8,FALSE)</f>
        <v>189.09</v>
      </c>
    </row>
    <row r="206" spans="1:20" x14ac:dyDescent="0.3">
      <c r="A206" s="2">
        <v>10452</v>
      </c>
      <c r="B206" s="2" t="s">
        <v>49</v>
      </c>
      <c r="C206" s="2">
        <v>8</v>
      </c>
      <c r="D206" s="3">
        <v>35481</v>
      </c>
      <c r="E206" t="str">
        <f>VLOOKUP(C206,[1]Employees!$A$1:$O$10,4,FALSE)</f>
        <v>Callahan Laura</v>
      </c>
      <c r="F206">
        <f>VLOOKUP(A206,[1]!Orders,7,FALSE)</f>
        <v>1</v>
      </c>
      <c r="G206" t="str">
        <f>VLOOKUP(F206,[1]!Shippers,2,FALSE)</f>
        <v>Speedy Express</v>
      </c>
      <c r="H206" t="str">
        <f>VLOOKUP(C206,[1]EmployeeTerritories!$A$1:$B$50,2,FALSE)</f>
        <v>19428</v>
      </c>
      <c r="I206">
        <f>VLOOKUP(C206,[1]EmployeeTerritories!$A$1:$B$50,1,FALSE)</f>
        <v>8</v>
      </c>
      <c r="J206">
        <f>VLOOKUP(H206,[1]!Territories,3,FALSE)</f>
        <v>3</v>
      </c>
      <c r="K206" t="str">
        <f>VLOOKUP(J206,[1]!Region,2,FALSE)</f>
        <v>Northern</v>
      </c>
      <c r="L206">
        <f>VLOOKUP(A206,[1]Order_Details!$A$1:$F$2156,2,FALSE)</f>
        <v>28</v>
      </c>
      <c r="M206" t="str">
        <f>VLOOKUP(L206,[1]!Products,2,FALSE)</f>
        <v>Rössle Sauerkraut</v>
      </c>
      <c r="N206">
        <f>VLOOKUP(L206,[1]!Products,4,FALSE)</f>
        <v>7</v>
      </c>
      <c r="O206" s="6" t="str">
        <f>VLOOKUP(N206,[1]!Categories,2,FALSE)</f>
        <v>Produce</v>
      </c>
      <c r="P206" s="6">
        <f>VLOOKUP(A206,[1]Order_Details!$A$1:$F$2156,3,FALSE)</f>
        <v>36.4</v>
      </c>
      <c r="Q206">
        <f>VLOOKUP(A206,[1]Order_Details!$A$1:$F$2156,4,FALSE)</f>
        <v>15</v>
      </c>
      <c r="R206">
        <f>VLOOKUP(A206,[1]Order_Details!$A$1:$F$2156,5,FALSE)</f>
        <v>0</v>
      </c>
      <c r="S206" s="6">
        <f>VLOOKUP(A206,[1]Order_Details!$A$1:$F$2156,6,FALSE)</f>
        <v>546</v>
      </c>
      <c r="T206" s="6">
        <f>VLOOKUP(A206,[1]!Orders,8,FALSE)</f>
        <v>140.26</v>
      </c>
    </row>
    <row r="207" spans="1:20" x14ac:dyDescent="0.3">
      <c r="A207" s="2">
        <v>10453</v>
      </c>
      <c r="B207" s="2" t="s">
        <v>59</v>
      </c>
      <c r="C207" s="2">
        <v>1</v>
      </c>
      <c r="D207" s="3">
        <v>35482</v>
      </c>
      <c r="E207" t="str">
        <f>VLOOKUP(C207,[1]Employees!$A$1:$O$10,4,FALSE)</f>
        <v>Davolio Nancy</v>
      </c>
      <c r="F207">
        <f>VLOOKUP(A207,[1]!Orders,7,FALSE)</f>
        <v>2</v>
      </c>
      <c r="G207" t="str">
        <f>VLOOKUP(F207,[1]!Shippers,2,FALSE)</f>
        <v>United Package</v>
      </c>
      <c r="H207" t="str">
        <f>VLOOKUP(C207,[1]EmployeeTerritories!$A$1:$B$50,2,FALSE)</f>
        <v>06897</v>
      </c>
      <c r="I207">
        <f>VLOOKUP(C207,[1]EmployeeTerritories!$A$1:$B$50,1,FALSE)</f>
        <v>1</v>
      </c>
      <c r="J207">
        <f>VLOOKUP(H207,[1]!Territories,3,FALSE)</f>
        <v>1</v>
      </c>
      <c r="K207" t="str">
        <f>VLOOKUP(J207,[1]!Region,2,FALSE)</f>
        <v>Eastern</v>
      </c>
      <c r="L207">
        <f>VLOOKUP(A207,[1]Order_Details!$A$1:$F$2156,2,FALSE)</f>
        <v>48</v>
      </c>
      <c r="M207" t="str">
        <f>VLOOKUP(L207,[1]!Products,2,FALSE)</f>
        <v>Chocolade</v>
      </c>
      <c r="N207">
        <f>VLOOKUP(L207,[1]!Products,4,FALSE)</f>
        <v>3</v>
      </c>
      <c r="O207" s="6" t="str">
        <f>VLOOKUP(N207,[1]!Categories,2,FALSE)</f>
        <v>Confections</v>
      </c>
      <c r="P207" s="6">
        <f>VLOOKUP(A207,[1]Order_Details!$A$1:$F$2156,3,FALSE)</f>
        <v>10.199999999999999</v>
      </c>
      <c r="Q207">
        <f>VLOOKUP(A207,[1]Order_Details!$A$1:$F$2156,4,FALSE)</f>
        <v>15</v>
      </c>
      <c r="R207">
        <f>VLOOKUP(A207,[1]Order_Details!$A$1:$F$2156,5,FALSE)</f>
        <v>0.10000000149011612</v>
      </c>
      <c r="S207" s="6">
        <f>VLOOKUP(A207,[1]Order_Details!$A$1:$F$2156,6,FALSE)</f>
        <v>137.69999977201223</v>
      </c>
      <c r="T207" s="6">
        <f>VLOOKUP(A207,[1]!Orders,8,FALSE)</f>
        <v>25.36</v>
      </c>
    </row>
    <row r="208" spans="1:20" x14ac:dyDescent="0.3">
      <c r="A208" s="2">
        <v>10454</v>
      </c>
      <c r="B208" s="2" t="s">
        <v>57</v>
      </c>
      <c r="C208" s="2">
        <v>4</v>
      </c>
      <c r="D208" s="3">
        <v>35482</v>
      </c>
      <c r="E208" t="str">
        <f>VLOOKUP(C208,[1]Employees!$A$1:$O$10,4,FALSE)</f>
        <v>Peacock Margaret</v>
      </c>
      <c r="F208">
        <f>VLOOKUP(A208,[1]!Orders,7,FALSE)</f>
        <v>3</v>
      </c>
      <c r="G208" t="str">
        <f>VLOOKUP(F208,[1]!Shippers,2,FALSE)</f>
        <v>Federal Shipping</v>
      </c>
      <c r="H208" t="str">
        <f>VLOOKUP(C208,[1]EmployeeTerritories!$A$1:$B$50,2,FALSE)</f>
        <v>20852</v>
      </c>
      <c r="I208">
        <f>VLOOKUP(C208,[1]EmployeeTerritories!$A$1:$B$50,1,FALSE)</f>
        <v>4</v>
      </c>
      <c r="J208">
        <f>VLOOKUP(H208,[1]!Territories,3,FALSE)</f>
        <v>1</v>
      </c>
      <c r="K208" t="str">
        <f>VLOOKUP(J208,[1]!Region,2,FALSE)</f>
        <v>Eastern</v>
      </c>
      <c r="L208">
        <f>VLOOKUP(A208,[1]Order_Details!$A$1:$F$2156,2,FALSE)</f>
        <v>16</v>
      </c>
      <c r="M208" t="str">
        <f>VLOOKUP(L208,[1]!Products,2,FALSE)</f>
        <v>Pavlova</v>
      </c>
      <c r="N208">
        <f>VLOOKUP(L208,[1]!Products,4,FALSE)</f>
        <v>3</v>
      </c>
      <c r="O208" s="6" t="str">
        <f>VLOOKUP(N208,[1]!Categories,2,FALSE)</f>
        <v>Confections</v>
      </c>
      <c r="P208" s="6">
        <f>VLOOKUP(A208,[1]Order_Details!$A$1:$F$2156,3,FALSE)</f>
        <v>13.9</v>
      </c>
      <c r="Q208">
        <f>VLOOKUP(A208,[1]Order_Details!$A$1:$F$2156,4,FALSE)</f>
        <v>20</v>
      </c>
      <c r="R208">
        <f>VLOOKUP(A208,[1]Order_Details!$A$1:$F$2156,5,FALSE)</f>
        <v>0.20000000298023224</v>
      </c>
      <c r="S208" s="6">
        <f>VLOOKUP(A208,[1]Order_Details!$A$1:$F$2156,6,FALSE)</f>
        <v>222.39999917149544</v>
      </c>
      <c r="T208" s="6">
        <f>VLOOKUP(A208,[1]!Orders,8,FALSE)</f>
        <v>2.74</v>
      </c>
    </row>
    <row r="209" spans="1:20" x14ac:dyDescent="0.3">
      <c r="A209" s="2">
        <v>10455</v>
      </c>
      <c r="B209" s="2" t="s">
        <v>20</v>
      </c>
      <c r="C209" s="2">
        <v>8</v>
      </c>
      <c r="D209" s="3">
        <v>35485</v>
      </c>
      <c r="E209" t="str">
        <f>VLOOKUP(C209,[1]Employees!$A$1:$O$10,4,FALSE)</f>
        <v>Callahan Laura</v>
      </c>
      <c r="F209">
        <f>VLOOKUP(A209,[1]!Orders,7,FALSE)</f>
        <v>2</v>
      </c>
      <c r="G209" t="str">
        <f>VLOOKUP(F209,[1]!Shippers,2,FALSE)</f>
        <v>United Package</v>
      </c>
      <c r="H209" t="str">
        <f>VLOOKUP(C209,[1]EmployeeTerritories!$A$1:$B$50,2,FALSE)</f>
        <v>19428</v>
      </c>
      <c r="I209">
        <f>VLOOKUP(C209,[1]EmployeeTerritories!$A$1:$B$50,1,FALSE)</f>
        <v>8</v>
      </c>
      <c r="J209">
        <f>VLOOKUP(H209,[1]!Territories,3,FALSE)</f>
        <v>3</v>
      </c>
      <c r="K209" t="str">
        <f>VLOOKUP(J209,[1]!Region,2,FALSE)</f>
        <v>Northern</v>
      </c>
      <c r="L209">
        <f>VLOOKUP(A209,[1]Order_Details!$A$1:$F$2156,2,FALSE)</f>
        <v>39</v>
      </c>
      <c r="M209" t="str">
        <f>VLOOKUP(L209,[1]!Products,2,FALSE)</f>
        <v>Chartreuse verte</v>
      </c>
      <c r="N209">
        <f>VLOOKUP(L209,[1]!Products,4,FALSE)</f>
        <v>1</v>
      </c>
      <c r="O209" s="6" t="str">
        <f>VLOOKUP(N209,[1]!Categories,2,FALSE)</f>
        <v>Beverages</v>
      </c>
      <c r="P209" s="6">
        <f>VLOOKUP(A209,[1]Order_Details!$A$1:$F$2156,3,FALSE)</f>
        <v>14.4</v>
      </c>
      <c r="Q209">
        <f>VLOOKUP(A209,[1]Order_Details!$A$1:$F$2156,4,FALSE)</f>
        <v>20</v>
      </c>
      <c r="R209">
        <f>VLOOKUP(A209,[1]Order_Details!$A$1:$F$2156,5,FALSE)</f>
        <v>0</v>
      </c>
      <c r="S209" s="6">
        <f>VLOOKUP(A209,[1]Order_Details!$A$1:$F$2156,6,FALSE)</f>
        <v>288</v>
      </c>
      <c r="T209" s="6">
        <f>VLOOKUP(A209,[1]!Orders,8,FALSE)</f>
        <v>180.45</v>
      </c>
    </row>
    <row r="210" spans="1:20" x14ac:dyDescent="0.3">
      <c r="A210" s="2">
        <v>10456</v>
      </c>
      <c r="B210" s="2" t="s">
        <v>48</v>
      </c>
      <c r="C210" s="2">
        <v>8</v>
      </c>
      <c r="D210" s="3">
        <v>35486</v>
      </c>
      <c r="E210" t="str">
        <f>VLOOKUP(C210,[1]Employees!$A$1:$O$10,4,FALSE)</f>
        <v>Callahan Laura</v>
      </c>
      <c r="F210">
        <f>VLOOKUP(A210,[1]!Orders,7,FALSE)</f>
        <v>2</v>
      </c>
      <c r="G210" t="str">
        <f>VLOOKUP(F210,[1]!Shippers,2,FALSE)</f>
        <v>United Package</v>
      </c>
      <c r="H210" t="str">
        <f>VLOOKUP(C210,[1]EmployeeTerritories!$A$1:$B$50,2,FALSE)</f>
        <v>19428</v>
      </c>
      <c r="I210">
        <f>VLOOKUP(C210,[1]EmployeeTerritories!$A$1:$B$50,1,FALSE)</f>
        <v>8</v>
      </c>
      <c r="J210">
        <f>VLOOKUP(H210,[1]!Territories,3,FALSE)</f>
        <v>3</v>
      </c>
      <c r="K210" t="str">
        <f>VLOOKUP(J210,[1]!Region,2,FALSE)</f>
        <v>Northern</v>
      </c>
      <c r="L210">
        <f>VLOOKUP(A210,[1]Order_Details!$A$1:$F$2156,2,FALSE)</f>
        <v>21</v>
      </c>
      <c r="M210" t="str">
        <f>VLOOKUP(L210,[1]!Products,2,FALSE)</f>
        <v>Sir Rodney's Scones</v>
      </c>
      <c r="N210">
        <f>VLOOKUP(L210,[1]!Products,4,FALSE)</f>
        <v>3</v>
      </c>
      <c r="O210" s="6" t="str">
        <f>VLOOKUP(N210,[1]!Categories,2,FALSE)</f>
        <v>Confections</v>
      </c>
      <c r="P210" s="6">
        <f>VLOOKUP(A210,[1]Order_Details!$A$1:$F$2156,3,FALSE)</f>
        <v>8</v>
      </c>
      <c r="Q210">
        <f>VLOOKUP(A210,[1]Order_Details!$A$1:$F$2156,4,FALSE)</f>
        <v>40</v>
      </c>
      <c r="R210">
        <f>VLOOKUP(A210,[1]Order_Details!$A$1:$F$2156,5,FALSE)</f>
        <v>0.15000000596046448</v>
      </c>
      <c r="S210" s="6">
        <f>VLOOKUP(A210,[1]Order_Details!$A$1:$F$2156,6,FALSE)</f>
        <v>271.99999809265137</v>
      </c>
      <c r="T210" s="6">
        <f>VLOOKUP(A210,[1]!Orders,8,FALSE)</f>
        <v>8.1199999999999992</v>
      </c>
    </row>
    <row r="211" spans="1:20" x14ac:dyDescent="0.3">
      <c r="A211" s="2">
        <v>10457</v>
      </c>
      <c r="B211" s="2" t="s">
        <v>48</v>
      </c>
      <c r="C211" s="2">
        <v>2</v>
      </c>
      <c r="D211" s="3">
        <v>35486</v>
      </c>
      <c r="E211" t="str">
        <f>VLOOKUP(C211,[1]Employees!$A$1:$O$10,4,FALSE)</f>
        <v>Fuller Andrew</v>
      </c>
      <c r="F211">
        <f>VLOOKUP(A211,[1]!Orders,7,FALSE)</f>
        <v>1</v>
      </c>
      <c r="G211" t="str">
        <f>VLOOKUP(F211,[1]!Shippers,2,FALSE)</f>
        <v>Speedy Express</v>
      </c>
      <c r="H211" t="str">
        <f>VLOOKUP(C211,[1]EmployeeTerritories!$A$1:$B$50,2,FALSE)</f>
        <v>01581</v>
      </c>
      <c r="I211">
        <f>VLOOKUP(C211,[1]EmployeeTerritories!$A$1:$B$50,1,FALSE)</f>
        <v>2</v>
      </c>
      <c r="J211">
        <f>VLOOKUP(H211,[1]!Territories,3,FALSE)</f>
        <v>1</v>
      </c>
      <c r="K211" t="str">
        <f>VLOOKUP(J211,[1]!Region,2,FALSE)</f>
        <v>Eastern</v>
      </c>
      <c r="L211">
        <f>VLOOKUP(A211,[1]Order_Details!$A$1:$F$2156,2,FALSE)</f>
        <v>59</v>
      </c>
      <c r="M211" t="str">
        <f>VLOOKUP(L211,[1]!Products,2,FALSE)</f>
        <v>Raclette Courdavault</v>
      </c>
      <c r="N211">
        <f>VLOOKUP(L211,[1]!Products,4,FALSE)</f>
        <v>4</v>
      </c>
      <c r="O211" s="6" t="str">
        <f>VLOOKUP(N211,[1]!Categories,2,FALSE)</f>
        <v>Dairy Products</v>
      </c>
      <c r="P211" s="6">
        <f>VLOOKUP(A211,[1]Order_Details!$A$1:$F$2156,3,FALSE)</f>
        <v>44</v>
      </c>
      <c r="Q211">
        <f>VLOOKUP(A211,[1]Order_Details!$A$1:$F$2156,4,FALSE)</f>
        <v>36</v>
      </c>
      <c r="R211">
        <f>VLOOKUP(A211,[1]Order_Details!$A$1:$F$2156,5,FALSE)</f>
        <v>0</v>
      </c>
      <c r="S211" s="6">
        <f>VLOOKUP(A211,[1]Order_Details!$A$1:$F$2156,6,FALSE)</f>
        <v>1584</v>
      </c>
      <c r="T211" s="6">
        <f>VLOOKUP(A211,[1]!Orders,8,FALSE)</f>
        <v>11.57</v>
      </c>
    </row>
    <row r="212" spans="1:20" x14ac:dyDescent="0.3">
      <c r="A212" s="2">
        <v>10458</v>
      </c>
      <c r="B212" s="2" t="s">
        <v>8</v>
      </c>
      <c r="C212" s="2">
        <v>7</v>
      </c>
      <c r="D212" s="3">
        <v>35487</v>
      </c>
      <c r="E212" t="str">
        <f>VLOOKUP(C212,[1]Employees!$A$1:$O$10,4,FALSE)</f>
        <v>King Robert</v>
      </c>
      <c r="F212">
        <f>VLOOKUP(A212,[1]!Orders,7,FALSE)</f>
        <v>3</v>
      </c>
      <c r="G212" t="str">
        <f>VLOOKUP(F212,[1]!Shippers,2,FALSE)</f>
        <v>Federal Shipping</v>
      </c>
      <c r="H212" t="str">
        <f>VLOOKUP(C212,[1]EmployeeTerritories!$A$1:$B$50,2,FALSE)</f>
        <v>60179</v>
      </c>
      <c r="I212">
        <f>VLOOKUP(C212,[1]EmployeeTerritories!$A$1:$B$50,1,FALSE)</f>
        <v>7</v>
      </c>
      <c r="J212">
        <f>VLOOKUP(H212,[1]!Territories,3,FALSE)</f>
        <v>2</v>
      </c>
      <c r="K212" t="str">
        <f>VLOOKUP(J212,[1]!Region,2,FALSE)</f>
        <v>Western</v>
      </c>
      <c r="L212">
        <f>VLOOKUP(A212,[1]Order_Details!$A$1:$F$2156,2,FALSE)</f>
        <v>26</v>
      </c>
      <c r="M212" t="str">
        <f>VLOOKUP(L212,[1]!Products,2,FALSE)</f>
        <v>Gumbär Gummibärchen</v>
      </c>
      <c r="N212">
        <f>VLOOKUP(L212,[1]!Products,4,FALSE)</f>
        <v>3</v>
      </c>
      <c r="O212" s="6" t="str">
        <f>VLOOKUP(N212,[1]!Categories,2,FALSE)</f>
        <v>Confections</v>
      </c>
      <c r="P212" s="6">
        <f>VLOOKUP(A212,[1]Order_Details!$A$1:$F$2156,3,FALSE)</f>
        <v>24.9</v>
      </c>
      <c r="Q212">
        <f>VLOOKUP(A212,[1]Order_Details!$A$1:$F$2156,4,FALSE)</f>
        <v>30</v>
      </c>
      <c r="R212">
        <f>VLOOKUP(A212,[1]Order_Details!$A$1:$F$2156,5,FALSE)</f>
        <v>0</v>
      </c>
      <c r="S212" s="6">
        <f>VLOOKUP(A212,[1]Order_Details!$A$1:$F$2156,6,FALSE)</f>
        <v>747</v>
      </c>
      <c r="T212" s="6">
        <f>VLOOKUP(A212,[1]!Orders,8,FALSE)</f>
        <v>147.06</v>
      </c>
    </row>
    <row r="213" spans="1:20" x14ac:dyDescent="0.3">
      <c r="A213" s="2">
        <v>10459</v>
      </c>
      <c r="B213" s="2" t="s">
        <v>7</v>
      </c>
      <c r="C213" s="2">
        <v>4</v>
      </c>
      <c r="D213" s="3">
        <v>35488</v>
      </c>
      <c r="E213" t="str">
        <f>VLOOKUP(C213,[1]Employees!$A$1:$O$10,4,FALSE)</f>
        <v>Peacock Margaret</v>
      </c>
      <c r="F213">
        <f>VLOOKUP(A213,[1]!Orders,7,FALSE)</f>
        <v>2</v>
      </c>
      <c r="G213" t="str">
        <f>VLOOKUP(F213,[1]!Shippers,2,FALSE)</f>
        <v>United Package</v>
      </c>
      <c r="H213" t="str">
        <f>VLOOKUP(C213,[1]EmployeeTerritories!$A$1:$B$50,2,FALSE)</f>
        <v>20852</v>
      </c>
      <c r="I213">
        <f>VLOOKUP(C213,[1]EmployeeTerritories!$A$1:$B$50,1,FALSE)</f>
        <v>4</v>
      </c>
      <c r="J213">
        <f>VLOOKUP(H213,[1]!Territories,3,FALSE)</f>
        <v>1</v>
      </c>
      <c r="K213" t="str">
        <f>VLOOKUP(J213,[1]!Region,2,FALSE)</f>
        <v>Eastern</v>
      </c>
      <c r="L213">
        <f>VLOOKUP(A213,[1]Order_Details!$A$1:$F$2156,2,FALSE)</f>
        <v>7</v>
      </c>
      <c r="M213" t="str">
        <f>VLOOKUP(L213,[1]!Products,2,FALSE)</f>
        <v>Uncle Bob's Organic Dried Pears</v>
      </c>
      <c r="N213">
        <f>VLOOKUP(L213,[1]!Products,4,FALSE)</f>
        <v>7</v>
      </c>
      <c r="O213" s="6" t="str">
        <f>VLOOKUP(N213,[1]!Categories,2,FALSE)</f>
        <v>Produce</v>
      </c>
      <c r="P213" s="6">
        <f>VLOOKUP(A213,[1]Order_Details!$A$1:$F$2156,3,FALSE)</f>
        <v>24</v>
      </c>
      <c r="Q213">
        <f>VLOOKUP(A213,[1]Order_Details!$A$1:$F$2156,4,FALSE)</f>
        <v>16</v>
      </c>
      <c r="R213">
        <f>VLOOKUP(A213,[1]Order_Details!$A$1:$F$2156,5,FALSE)</f>
        <v>5.000000074505806E-2</v>
      </c>
      <c r="S213" s="6">
        <f>VLOOKUP(A213,[1]Order_Details!$A$1:$F$2156,6,FALSE)</f>
        <v>364.79999971389771</v>
      </c>
      <c r="T213" s="6">
        <f>VLOOKUP(A213,[1]!Orders,8,FALSE)</f>
        <v>25.09</v>
      </c>
    </row>
    <row r="214" spans="1:20" x14ac:dyDescent="0.3">
      <c r="A214" s="2">
        <v>10460</v>
      </c>
      <c r="B214" s="2" t="s">
        <v>18</v>
      </c>
      <c r="C214" s="2">
        <v>8</v>
      </c>
      <c r="D214" s="3">
        <v>35489</v>
      </c>
      <c r="E214" t="str">
        <f>VLOOKUP(C214,[1]Employees!$A$1:$O$10,4,FALSE)</f>
        <v>Callahan Laura</v>
      </c>
      <c r="F214">
        <f>VLOOKUP(A214,[1]!Orders,7,FALSE)</f>
        <v>1</v>
      </c>
      <c r="G214" t="str">
        <f>VLOOKUP(F214,[1]!Shippers,2,FALSE)</f>
        <v>Speedy Express</v>
      </c>
      <c r="H214" t="str">
        <f>VLOOKUP(C214,[1]EmployeeTerritories!$A$1:$B$50,2,FALSE)</f>
        <v>19428</v>
      </c>
      <c r="I214">
        <f>VLOOKUP(C214,[1]EmployeeTerritories!$A$1:$B$50,1,FALSE)</f>
        <v>8</v>
      </c>
      <c r="J214">
        <f>VLOOKUP(H214,[1]!Territories,3,FALSE)</f>
        <v>3</v>
      </c>
      <c r="K214" t="str">
        <f>VLOOKUP(J214,[1]!Region,2,FALSE)</f>
        <v>Northern</v>
      </c>
      <c r="L214">
        <f>VLOOKUP(A214,[1]Order_Details!$A$1:$F$2156,2,FALSE)</f>
        <v>68</v>
      </c>
      <c r="M214" t="str">
        <f>VLOOKUP(L214,[1]!Products,2,FALSE)</f>
        <v>Scottish Longbreads</v>
      </c>
      <c r="N214">
        <f>VLOOKUP(L214,[1]!Products,4,FALSE)</f>
        <v>3</v>
      </c>
      <c r="O214" s="6" t="str">
        <f>VLOOKUP(N214,[1]!Categories,2,FALSE)</f>
        <v>Confections</v>
      </c>
      <c r="P214" s="6">
        <f>VLOOKUP(A214,[1]Order_Details!$A$1:$F$2156,3,FALSE)</f>
        <v>10</v>
      </c>
      <c r="Q214">
        <f>VLOOKUP(A214,[1]Order_Details!$A$1:$F$2156,4,FALSE)</f>
        <v>21</v>
      </c>
      <c r="R214">
        <f>VLOOKUP(A214,[1]Order_Details!$A$1:$F$2156,5,FALSE)</f>
        <v>0.25</v>
      </c>
      <c r="S214" s="6">
        <f>VLOOKUP(A214,[1]Order_Details!$A$1:$F$2156,6,FALSE)</f>
        <v>157.5</v>
      </c>
      <c r="T214" s="6">
        <f>VLOOKUP(A214,[1]!Orders,8,FALSE)</f>
        <v>16.27</v>
      </c>
    </row>
    <row r="215" spans="1:20" x14ac:dyDescent="0.3">
      <c r="A215" s="2">
        <v>10461</v>
      </c>
      <c r="B215" s="2" t="s">
        <v>32</v>
      </c>
      <c r="C215" s="2">
        <v>1</v>
      </c>
      <c r="D215" s="3">
        <v>35489</v>
      </c>
      <c r="E215" t="str">
        <f>VLOOKUP(C215,[1]Employees!$A$1:$O$10,4,FALSE)</f>
        <v>Davolio Nancy</v>
      </c>
      <c r="F215">
        <f>VLOOKUP(A215,[1]!Orders,7,FALSE)</f>
        <v>3</v>
      </c>
      <c r="G215" t="str">
        <f>VLOOKUP(F215,[1]!Shippers,2,FALSE)</f>
        <v>Federal Shipping</v>
      </c>
      <c r="H215" t="str">
        <f>VLOOKUP(C215,[1]EmployeeTerritories!$A$1:$B$50,2,FALSE)</f>
        <v>06897</v>
      </c>
      <c r="I215">
        <f>VLOOKUP(C215,[1]EmployeeTerritories!$A$1:$B$50,1,FALSE)</f>
        <v>1</v>
      </c>
      <c r="J215">
        <f>VLOOKUP(H215,[1]!Territories,3,FALSE)</f>
        <v>1</v>
      </c>
      <c r="K215" t="str">
        <f>VLOOKUP(J215,[1]!Region,2,FALSE)</f>
        <v>Eastern</v>
      </c>
      <c r="L215">
        <f>VLOOKUP(A215,[1]Order_Details!$A$1:$F$2156,2,FALSE)</f>
        <v>21</v>
      </c>
      <c r="M215" t="str">
        <f>VLOOKUP(L215,[1]!Products,2,FALSE)</f>
        <v>Sir Rodney's Scones</v>
      </c>
      <c r="N215">
        <f>VLOOKUP(L215,[1]!Products,4,FALSE)</f>
        <v>3</v>
      </c>
      <c r="O215" s="6" t="str">
        <f>VLOOKUP(N215,[1]!Categories,2,FALSE)</f>
        <v>Confections</v>
      </c>
      <c r="P215" s="6">
        <f>VLOOKUP(A215,[1]Order_Details!$A$1:$F$2156,3,FALSE)</f>
        <v>8</v>
      </c>
      <c r="Q215">
        <f>VLOOKUP(A215,[1]Order_Details!$A$1:$F$2156,4,FALSE)</f>
        <v>40</v>
      </c>
      <c r="R215">
        <f>VLOOKUP(A215,[1]Order_Details!$A$1:$F$2156,5,FALSE)</f>
        <v>0.25</v>
      </c>
      <c r="S215" s="6">
        <f>VLOOKUP(A215,[1]Order_Details!$A$1:$F$2156,6,FALSE)</f>
        <v>240</v>
      </c>
      <c r="T215" s="6">
        <f>VLOOKUP(A215,[1]!Orders,8,FALSE)</f>
        <v>148.61000000000001</v>
      </c>
    </row>
    <row r="216" spans="1:20" x14ac:dyDescent="0.3">
      <c r="A216" s="2">
        <v>10462</v>
      </c>
      <c r="B216" s="2" t="s">
        <v>76</v>
      </c>
      <c r="C216" s="2">
        <v>2</v>
      </c>
      <c r="D216" s="3">
        <v>35492</v>
      </c>
      <c r="E216" t="str">
        <f>VLOOKUP(C216,[1]Employees!$A$1:$O$10,4,FALSE)</f>
        <v>Fuller Andrew</v>
      </c>
      <c r="F216">
        <f>VLOOKUP(A216,[1]!Orders,7,FALSE)</f>
        <v>1</v>
      </c>
      <c r="G216" t="str">
        <f>VLOOKUP(F216,[1]!Shippers,2,FALSE)</f>
        <v>Speedy Express</v>
      </c>
      <c r="H216" t="str">
        <f>VLOOKUP(C216,[1]EmployeeTerritories!$A$1:$B$50,2,FALSE)</f>
        <v>01581</v>
      </c>
      <c r="I216">
        <f>VLOOKUP(C216,[1]EmployeeTerritories!$A$1:$B$50,1,FALSE)</f>
        <v>2</v>
      </c>
      <c r="J216">
        <f>VLOOKUP(H216,[1]!Territories,3,FALSE)</f>
        <v>1</v>
      </c>
      <c r="K216" t="str">
        <f>VLOOKUP(J216,[1]!Region,2,FALSE)</f>
        <v>Eastern</v>
      </c>
      <c r="L216">
        <f>VLOOKUP(A216,[1]Order_Details!$A$1:$F$2156,2,FALSE)</f>
        <v>13</v>
      </c>
      <c r="M216" t="str">
        <f>VLOOKUP(L216,[1]!Products,2,FALSE)</f>
        <v>Konbu</v>
      </c>
      <c r="N216">
        <f>VLOOKUP(L216,[1]!Products,4,FALSE)</f>
        <v>8</v>
      </c>
      <c r="O216" s="6" t="str">
        <f>VLOOKUP(N216,[1]!Categories,2,FALSE)</f>
        <v>Seafood</v>
      </c>
      <c r="P216" s="6">
        <f>VLOOKUP(A216,[1]Order_Details!$A$1:$F$2156,3,FALSE)</f>
        <v>4.8</v>
      </c>
      <c r="Q216">
        <f>VLOOKUP(A216,[1]Order_Details!$A$1:$F$2156,4,FALSE)</f>
        <v>1</v>
      </c>
      <c r="R216">
        <f>VLOOKUP(A216,[1]Order_Details!$A$1:$F$2156,5,FALSE)</f>
        <v>0</v>
      </c>
      <c r="S216" s="6">
        <f>VLOOKUP(A216,[1]Order_Details!$A$1:$F$2156,6,FALSE)</f>
        <v>4.8</v>
      </c>
      <c r="T216" s="6">
        <f>VLOOKUP(A216,[1]!Orders,8,FALSE)</f>
        <v>6.17</v>
      </c>
    </row>
    <row r="217" spans="1:20" x14ac:dyDescent="0.3">
      <c r="A217" s="2">
        <v>10463</v>
      </c>
      <c r="B217" s="2" t="s">
        <v>8</v>
      </c>
      <c r="C217" s="2">
        <v>5</v>
      </c>
      <c r="D217" s="3">
        <v>35493</v>
      </c>
      <c r="E217" t="str">
        <f>VLOOKUP(C217,[1]Employees!$A$1:$O$10,4,FALSE)</f>
        <v>Buchanan Steven</v>
      </c>
      <c r="F217">
        <f>VLOOKUP(A217,[1]!Orders,7,FALSE)</f>
        <v>3</v>
      </c>
      <c r="G217" t="str">
        <f>VLOOKUP(F217,[1]!Shippers,2,FALSE)</f>
        <v>Federal Shipping</v>
      </c>
      <c r="H217" t="str">
        <f>VLOOKUP(C217,[1]EmployeeTerritories!$A$1:$B$50,2,FALSE)</f>
        <v>02903</v>
      </c>
      <c r="I217">
        <f>VLOOKUP(C217,[1]EmployeeTerritories!$A$1:$B$50,1,FALSE)</f>
        <v>5</v>
      </c>
      <c r="J217">
        <f>VLOOKUP(H217,[1]!Territories,3,FALSE)</f>
        <v>1</v>
      </c>
      <c r="K217" t="str">
        <f>VLOOKUP(J217,[1]!Region,2,FALSE)</f>
        <v>Eastern</v>
      </c>
      <c r="L217">
        <f>VLOOKUP(A217,[1]Order_Details!$A$1:$F$2156,2,FALSE)</f>
        <v>19</v>
      </c>
      <c r="M217" t="str">
        <f>VLOOKUP(L217,[1]!Products,2,FALSE)</f>
        <v>Teatime Chocolate Biscuits</v>
      </c>
      <c r="N217">
        <f>VLOOKUP(L217,[1]!Products,4,FALSE)</f>
        <v>3</v>
      </c>
      <c r="O217" s="6" t="str">
        <f>VLOOKUP(N217,[1]!Categories,2,FALSE)</f>
        <v>Confections</v>
      </c>
      <c r="P217" s="6">
        <f>VLOOKUP(A217,[1]Order_Details!$A$1:$F$2156,3,FALSE)</f>
        <v>7.3</v>
      </c>
      <c r="Q217">
        <f>VLOOKUP(A217,[1]Order_Details!$A$1:$F$2156,4,FALSE)</f>
        <v>21</v>
      </c>
      <c r="R217">
        <f>VLOOKUP(A217,[1]Order_Details!$A$1:$F$2156,5,FALSE)</f>
        <v>0</v>
      </c>
      <c r="S217" s="6">
        <f>VLOOKUP(A217,[1]Order_Details!$A$1:$F$2156,6,FALSE)</f>
        <v>153.29999999999998</v>
      </c>
      <c r="T217" s="6">
        <f>VLOOKUP(A217,[1]!Orders,8,FALSE)</f>
        <v>14.78</v>
      </c>
    </row>
    <row r="218" spans="1:20" x14ac:dyDescent="0.3">
      <c r="A218" s="2">
        <v>10464</v>
      </c>
      <c r="B218" s="2" t="s">
        <v>51</v>
      </c>
      <c r="C218" s="2">
        <v>4</v>
      </c>
      <c r="D218" s="3">
        <v>35493</v>
      </c>
      <c r="E218" t="str">
        <f>VLOOKUP(C218,[1]Employees!$A$1:$O$10,4,FALSE)</f>
        <v>Peacock Margaret</v>
      </c>
      <c r="F218">
        <f>VLOOKUP(A218,[1]!Orders,7,FALSE)</f>
        <v>2</v>
      </c>
      <c r="G218" t="str">
        <f>VLOOKUP(F218,[1]!Shippers,2,FALSE)</f>
        <v>United Package</v>
      </c>
      <c r="H218" t="str">
        <f>VLOOKUP(C218,[1]EmployeeTerritories!$A$1:$B$50,2,FALSE)</f>
        <v>20852</v>
      </c>
      <c r="I218">
        <f>VLOOKUP(C218,[1]EmployeeTerritories!$A$1:$B$50,1,FALSE)</f>
        <v>4</v>
      </c>
      <c r="J218">
        <f>VLOOKUP(H218,[1]!Territories,3,FALSE)</f>
        <v>1</v>
      </c>
      <c r="K218" t="str">
        <f>VLOOKUP(J218,[1]!Region,2,FALSE)</f>
        <v>Eastern</v>
      </c>
      <c r="L218">
        <f>VLOOKUP(A218,[1]Order_Details!$A$1:$F$2156,2,FALSE)</f>
        <v>4</v>
      </c>
      <c r="M218" t="str">
        <f>VLOOKUP(L218,[1]!Products,2,FALSE)</f>
        <v>Chef Anton's Cajun Seasoning</v>
      </c>
      <c r="N218">
        <f>VLOOKUP(L218,[1]!Products,4,FALSE)</f>
        <v>2</v>
      </c>
      <c r="O218" s="6" t="str">
        <f>VLOOKUP(N218,[1]!Categories,2,FALSE)</f>
        <v>Condiments</v>
      </c>
      <c r="P218" s="6">
        <f>VLOOKUP(A218,[1]Order_Details!$A$1:$F$2156,3,FALSE)</f>
        <v>17.600000000000001</v>
      </c>
      <c r="Q218">
        <f>VLOOKUP(A218,[1]Order_Details!$A$1:$F$2156,4,FALSE)</f>
        <v>16</v>
      </c>
      <c r="R218">
        <f>VLOOKUP(A218,[1]Order_Details!$A$1:$F$2156,5,FALSE)</f>
        <v>0.20000000298023224</v>
      </c>
      <c r="S218" s="6">
        <f>VLOOKUP(A218,[1]Order_Details!$A$1:$F$2156,6,FALSE)</f>
        <v>225.27999916076661</v>
      </c>
      <c r="T218" s="6">
        <f>VLOOKUP(A218,[1]!Orders,8,FALSE)</f>
        <v>89</v>
      </c>
    </row>
    <row r="219" spans="1:20" x14ac:dyDescent="0.3">
      <c r="A219" s="2">
        <v>10465</v>
      </c>
      <c r="B219" s="2" t="s">
        <v>65</v>
      </c>
      <c r="C219" s="2">
        <v>1</v>
      </c>
      <c r="D219" s="3">
        <v>35494</v>
      </c>
      <c r="E219" t="str">
        <f>VLOOKUP(C219,[1]Employees!$A$1:$O$10,4,FALSE)</f>
        <v>Davolio Nancy</v>
      </c>
      <c r="F219">
        <f>VLOOKUP(A219,[1]!Orders,7,FALSE)</f>
        <v>3</v>
      </c>
      <c r="G219" t="str">
        <f>VLOOKUP(F219,[1]!Shippers,2,FALSE)</f>
        <v>Federal Shipping</v>
      </c>
      <c r="H219" t="str">
        <f>VLOOKUP(C219,[1]EmployeeTerritories!$A$1:$B$50,2,FALSE)</f>
        <v>06897</v>
      </c>
      <c r="I219">
        <f>VLOOKUP(C219,[1]EmployeeTerritories!$A$1:$B$50,1,FALSE)</f>
        <v>1</v>
      </c>
      <c r="J219">
        <f>VLOOKUP(H219,[1]!Territories,3,FALSE)</f>
        <v>1</v>
      </c>
      <c r="K219" t="str">
        <f>VLOOKUP(J219,[1]!Region,2,FALSE)</f>
        <v>Eastern</v>
      </c>
      <c r="L219">
        <f>VLOOKUP(A219,[1]Order_Details!$A$1:$F$2156,2,FALSE)</f>
        <v>24</v>
      </c>
      <c r="M219" t="str">
        <f>VLOOKUP(L219,[1]!Products,2,FALSE)</f>
        <v>Guaraná Fantástica</v>
      </c>
      <c r="N219">
        <f>VLOOKUP(L219,[1]!Products,4,FALSE)</f>
        <v>1</v>
      </c>
      <c r="O219" s="6" t="str">
        <f>VLOOKUP(N219,[1]!Categories,2,FALSE)</f>
        <v>Beverages</v>
      </c>
      <c r="P219" s="6">
        <f>VLOOKUP(A219,[1]Order_Details!$A$1:$F$2156,3,FALSE)</f>
        <v>3.6</v>
      </c>
      <c r="Q219">
        <f>VLOOKUP(A219,[1]Order_Details!$A$1:$F$2156,4,FALSE)</f>
        <v>25</v>
      </c>
      <c r="R219">
        <f>VLOOKUP(A219,[1]Order_Details!$A$1:$F$2156,5,FALSE)</f>
        <v>0</v>
      </c>
      <c r="S219" s="6">
        <f>VLOOKUP(A219,[1]Order_Details!$A$1:$F$2156,6,FALSE)</f>
        <v>90</v>
      </c>
      <c r="T219" s="6">
        <f>VLOOKUP(A219,[1]!Orders,8,FALSE)</f>
        <v>145.04</v>
      </c>
    </row>
    <row r="220" spans="1:20" x14ac:dyDescent="0.3">
      <c r="A220" s="2">
        <v>10466</v>
      </c>
      <c r="B220" s="2" t="s">
        <v>36</v>
      </c>
      <c r="C220" s="2">
        <v>4</v>
      </c>
      <c r="D220" s="3">
        <v>35495</v>
      </c>
      <c r="E220" t="str">
        <f>VLOOKUP(C220,[1]Employees!$A$1:$O$10,4,FALSE)</f>
        <v>Peacock Margaret</v>
      </c>
      <c r="F220">
        <f>VLOOKUP(A220,[1]!Orders,7,FALSE)</f>
        <v>1</v>
      </c>
      <c r="G220" t="str">
        <f>VLOOKUP(F220,[1]!Shippers,2,FALSE)</f>
        <v>Speedy Express</v>
      </c>
      <c r="H220" t="str">
        <f>VLOOKUP(C220,[1]EmployeeTerritories!$A$1:$B$50,2,FALSE)</f>
        <v>20852</v>
      </c>
      <c r="I220">
        <f>VLOOKUP(C220,[1]EmployeeTerritories!$A$1:$B$50,1,FALSE)</f>
        <v>4</v>
      </c>
      <c r="J220">
        <f>VLOOKUP(H220,[1]!Territories,3,FALSE)</f>
        <v>1</v>
      </c>
      <c r="K220" t="str">
        <f>VLOOKUP(J220,[1]!Region,2,FALSE)</f>
        <v>Eastern</v>
      </c>
      <c r="L220">
        <f>VLOOKUP(A220,[1]Order_Details!$A$1:$F$2156,2,FALSE)</f>
        <v>11</v>
      </c>
      <c r="M220" t="str">
        <f>VLOOKUP(L220,[1]!Products,2,FALSE)</f>
        <v>Queso Cabrales</v>
      </c>
      <c r="N220">
        <f>VLOOKUP(L220,[1]!Products,4,FALSE)</f>
        <v>4</v>
      </c>
      <c r="O220" s="6" t="str">
        <f>VLOOKUP(N220,[1]!Categories,2,FALSE)</f>
        <v>Dairy Products</v>
      </c>
      <c r="P220" s="6">
        <f>VLOOKUP(A220,[1]Order_Details!$A$1:$F$2156,3,FALSE)</f>
        <v>16.8</v>
      </c>
      <c r="Q220">
        <f>VLOOKUP(A220,[1]Order_Details!$A$1:$F$2156,4,FALSE)</f>
        <v>10</v>
      </c>
      <c r="R220">
        <f>VLOOKUP(A220,[1]Order_Details!$A$1:$F$2156,5,FALSE)</f>
        <v>0</v>
      </c>
      <c r="S220" s="6">
        <f>VLOOKUP(A220,[1]Order_Details!$A$1:$F$2156,6,FALSE)</f>
        <v>168</v>
      </c>
      <c r="T220" s="6">
        <f>VLOOKUP(A220,[1]!Orders,8,FALSE)</f>
        <v>11.93</v>
      </c>
    </row>
    <row r="221" spans="1:20" x14ac:dyDescent="0.3">
      <c r="A221" s="2">
        <v>10467</v>
      </c>
      <c r="B221" s="2" t="s">
        <v>26</v>
      </c>
      <c r="C221" s="2">
        <v>8</v>
      </c>
      <c r="D221" s="3">
        <v>35495</v>
      </c>
      <c r="E221" t="str">
        <f>VLOOKUP(C221,[1]Employees!$A$1:$O$10,4,FALSE)</f>
        <v>Callahan Laura</v>
      </c>
      <c r="F221">
        <f>VLOOKUP(A221,[1]!Orders,7,FALSE)</f>
        <v>2</v>
      </c>
      <c r="G221" t="str">
        <f>VLOOKUP(F221,[1]!Shippers,2,FALSE)</f>
        <v>United Package</v>
      </c>
      <c r="H221" t="str">
        <f>VLOOKUP(C221,[1]EmployeeTerritories!$A$1:$B$50,2,FALSE)</f>
        <v>19428</v>
      </c>
      <c r="I221">
        <f>VLOOKUP(C221,[1]EmployeeTerritories!$A$1:$B$50,1,FALSE)</f>
        <v>8</v>
      </c>
      <c r="J221">
        <f>VLOOKUP(H221,[1]!Territories,3,FALSE)</f>
        <v>3</v>
      </c>
      <c r="K221" t="str">
        <f>VLOOKUP(J221,[1]!Region,2,FALSE)</f>
        <v>Northern</v>
      </c>
      <c r="L221">
        <f>VLOOKUP(A221,[1]Order_Details!$A$1:$F$2156,2,FALSE)</f>
        <v>24</v>
      </c>
      <c r="M221" t="str">
        <f>VLOOKUP(L221,[1]!Products,2,FALSE)</f>
        <v>Guaraná Fantástica</v>
      </c>
      <c r="N221">
        <f>VLOOKUP(L221,[1]!Products,4,FALSE)</f>
        <v>1</v>
      </c>
      <c r="O221" s="6" t="str">
        <f>VLOOKUP(N221,[1]!Categories,2,FALSE)</f>
        <v>Beverages</v>
      </c>
      <c r="P221" s="6">
        <f>VLOOKUP(A221,[1]Order_Details!$A$1:$F$2156,3,FALSE)</f>
        <v>3.6</v>
      </c>
      <c r="Q221">
        <f>VLOOKUP(A221,[1]Order_Details!$A$1:$F$2156,4,FALSE)</f>
        <v>28</v>
      </c>
      <c r="R221">
        <f>VLOOKUP(A221,[1]Order_Details!$A$1:$F$2156,5,FALSE)</f>
        <v>0</v>
      </c>
      <c r="S221" s="6">
        <f>VLOOKUP(A221,[1]Order_Details!$A$1:$F$2156,6,FALSE)</f>
        <v>100.8</v>
      </c>
      <c r="T221" s="6">
        <f>VLOOKUP(A221,[1]!Orders,8,FALSE)</f>
        <v>4.93</v>
      </c>
    </row>
    <row r="222" spans="1:20" x14ac:dyDescent="0.3">
      <c r="A222" s="2">
        <v>10468</v>
      </c>
      <c r="B222" s="2" t="s">
        <v>48</v>
      </c>
      <c r="C222" s="2">
        <v>3</v>
      </c>
      <c r="D222" s="3">
        <v>35496</v>
      </c>
      <c r="E222" t="str">
        <f>VLOOKUP(C222,[1]Employees!$A$1:$O$10,4,FALSE)</f>
        <v>Leverling Janet</v>
      </c>
      <c r="F222">
        <f>VLOOKUP(A222,[1]!Orders,7,FALSE)</f>
        <v>3</v>
      </c>
      <c r="G222" t="str">
        <f>VLOOKUP(F222,[1]!Shippers,2,FALSE)</f>
        <v>Federal Shipping</v>
      </c>
      <c r="H222" t="str">
        <f>VLOOKUP(C222,[1]EmployeeTerritories!$A$1:$B$50,2,FALSE)</f>
        <v>30346</v>
      </c>
      <c r="I222">
        <f>VLOOKUP(C222,[1]EmployeeTerritories!$A$1:$B$50,1,FALSE)</f>
        <v>3</v>
      </c>
      <c r="J222">
        <f>VLOOKUP(H222,[1]!Territories,3,FALSE)</f>
        <v>4</v>
      </c>
      <c r="K222" t="str">
        <f>VLOOKUP(J222,[1]!Region,2,FALSE)</f>
        <v>Southern</v>
      </c>
      <c r="L222">
        <f>VLOOKUP(A222,[1]Order_Details!$A$1:$F$2156,2,FALSE)</f>
        <v>30</v>
      </c>
      <c r="M222" t="str">
        <f>VLOOKUP(L222,[1]!Products,2,FALSE)</f>
        <v>Nord-Ost Matjeshering</v>
      </c>
      <c r="N222">
        <f>VLOOKUP(L222,[1]!Products,4,FALSE)</f>
        <v>8</v>
      </c>
      <c r="O222" s="6" t="str">
        <f>VLOOKUP(N222,[1]!Categories,2,FALSE)</f>
        <v>Seafood</v>
      </c>
      <c r="P222" s="6">
        <f>VLOOKUP(A222,[1]Order_Details!$A$1:$F$2156,3,FALSE)</f>
        <v>20.7</v>
      </c>
      <c r="Q222">
        <f>VLOOKUP(A222,[1]Order_Details!$A$1:$F$2156,4,FALSE)</f>
        <v>8</v>
      </c>
      <c r="R222">
        <f>VLOOKUP(A222,[1]Order_Details!$A$1:$F$2156,5,FALSE)</f>
        <v>0</v>
      </c>
      <c r="S222" s="6">
        <f>VLOOKUP(A222,[1]Order_Details!$A$1:$F$2156,6,FALSE)</f>
        <v>165.6</v>
      </c>
      <c r="T222" s="6">
        <f>VLOOKUP(A222,[1]!Orders,8,FALSE)</f>
        <v>44.12</v>
      </c>
    </row>
    <row r="223" spans="1:20" x14ac:dyDescent="0.3">
      <c r="A223" s="2">
        <v>10469</v>
      </c>
      <c r="B223" s="2" t="s">
        <v>23</v>
      </c>
      <c r="C223" s="2">
        <v>1</v>
      </c>
      <c r="D223" s="3">
        <v>35499</v>
      </c>
      <c r="E223" t="str">
        <f>VLOOKUP(C223,[1]Employees!$A$1:$O$10,4,FALSE)</f>
        <v>Davolio Nancy</v>
      </c>
      <c r="F223">
        <f>VLOOKUP(A223,[1]!Orders,7,FALSE)</f>
        <v>1</v>
      </c>
      <c r="G223" t="str">
        <f>VLOOKUP(F223,[1]!Shippers,2,FALSE)</f>
        <v>Speedy Express</v>
      </c>
      <c r="H223" t="str">
        <f>VLOOKUP(C223,[1]EmployeeTerritories!$A$1:$B$50,2,FALSE)</f>
        <v>06897</v>
      </c>
      <c r="I223">
        <f>VLOOKUP(C223,[1]EmployeeTerritories!$A$1:$B$50,1,FALSE)</f>
        <v>1</v>
      </c>
      <c r="J223">
        <f>VLOOKUP(H223,[1]!Territories,3,FALSE)</f>
        <v>1</v>
      </c>
      <c r="K223" t="str">
        <f>VLOOKUP(J223,[1]!Region,2,FALSE)</f>
        <v>Eastern</v>
      </c>
      <c r="L223">
        <f>VLOOKUP(A223,[1]Order_Details!$A$1:$F$2156,2,FALSE)</f>
        <v>2</v>
      </c>
      <c r="M223" t="str">
        <f>VLOOKUP(L223,[1]!Products,2,FALSE)</f>
        <v>Chang</v>
      </c>
      <c r="N223">
        <f>VLOOKUP(L223,[1]!Products,4,FALSE)</f>
        <v>1</v>
      </c>
      <c r="O223" s="6" t="str">
        <f>VLOOKUP(N223,[1]!Categories,2,FALSE)</f>
        <v>Beverages</v>
      </c>
      <c r="P223" s="6">
        <f>VLOOKUP(A223,[1]Order_Details!$A$1:$F$2156,3,FALSE)</f>
        <v>15.2</v>
      </c>
      <c r="Q223">
        <f>VLOOKUP(A223,[1]Order_Details!$A$1:$F$2156,4,FALSE)</f>
        <v>40</v>
      </c>
      <c r="R223">
        <f>VLOOKUP(A223,[1]Order_Details!$A$1:$F$2156,5,FALSE)</f>
        <v>0.15000000596046448</v>
      </c>
      <c r="S223" s="6">
        <f>VLOOKUP(A223,[1]Order_Details!$A$1:$F$2156,6,FALSE)</f>
        <v>516.7999963760376</v>
      </c>
      <c r="T223" s="6">
        <f>VLOOKUP(A223,[1]!Orders,8,FALSE)</f>
        <v>60.18</v>
      </c>
    </row>
    <row r="224" spans="1:20" x14ac:dyDescent="0.3">
      <c r="A224" s="2">
        <v>10470</v>
      </c>
      <c r="B224" s="2" t="s">
        <v>52</v>
      </c>
      <c r="C224" s="2">
        <v>4</v>
      </c>
      <c r="D224" s="3">
        <v>35500</v>
      </c>
      <c r="E224" t="str">
        <f>VLOOKUP(C224,[1]Employees!$A$1:$O$10,4,FALSE)</f>
        <v>Peacock Margaret</v>
      </c>
      <c r="F224">
        <f>VLOOKUP(A224,[1]!Orders,7,FALSE)</f>
        <v>2</v>
      </c>
      <c r="G224" t="str">
        <f>VLOOKUP(F224,[1]!Shippers,2,FALSE)</f>
        <v>United Package</v>
      </c>
      <c r="H224" t="str">
        <f>VLOOKUP(C224,[1]EmployeeTerritories!$A$1:$B$50,2,FALSE)</f>
        <v>20852</v>
      </c>
      <c r="I224">
        <f>VLOOKUP(C224,[1]EmployeeTerritories!$A$1:$B$50,1,FALSE)</f>
        <v>4</v>
      </c>
      <c r="J224">
        <f>VLOOKUP(H224,[1]!Territories,3,FALSE)</f>
        <v>1</v>
      </c>
      <c r="K224" t="str">
        <f>VLOOKUP(J224,[1]!Region,2,FALSE)</f>
        <v>Eastern</v>
      </c>
      <c r="L224">
        <f>VLOOKUP(A224,[1]Order_Details!$A$1:$F$2156,2,FALSE)</f>
        <v>18</v>
      </c>
      <c r="M224" t="str">
        <f>VLOOKUP(L224,[1]!Products,2,FALSE)</f>
        <v>Carnarvon Tigers</v>
      </c>
      <c r="N224">
        <f>VLOOKUP(L224,[1]!Products,4,FALSE)</f>
        <v>8</v>
      </c>
      <c r="O224" s="6" t="str">
        <f>VLOOKUP(N224,[1]!Categories,2,FALSE)</f>
        <v>Seafood</v>
      </c>
      <c r="P224" s="6">
        <f>VLOOKUP(A224,[1]Order_Details!$A$1:$F$2156,3,FALSE)</f>
        <v>50</v>
      </c>
      <c r="Q224">
        <f>VLOOKUP(A224,[1]Order_Details!$A$1:$F$2156,4,FALSE)</f>
        <v>30</v>
      </c>
      <c r="R224">
        <f>VLOOKUP(A224,[1]Order_Details!$A$1:$F$2156,5,FALSE)</f>
        <v>0</v>
      </c>
      <c r="S224" s="6">
        <f>VLOOKUP(A224,[1]Order_Details!$A$1:$F$2156,6,FALSE)</f>
        <v>1500</v>
      </c>
      <c r="T224" s="6">
        <f>VLOOKUP(A224,[1]!Orders,8,FALSE)</f>
        <v>64.56</v>
      </c>
    </row>
    <row r="225" spans="1:20" x14ac:dyDescent="0.3">
      <c r="A225" s="2">
        <v>10471</v>
      </c>
      <c r="B225" s="2" t="s">
        <v>35</v>
      </c>
      <c r="C225" s="2">
        <v>2</v>
      </c>
      <c r="D225" s="3">
        <v>35500</v>
      </c>
      <c r="E225" t="str">
        <f>VLOOKUP(C225,[1]Employees!$A$1:$O$10,4,FALSE)</f>
        <v>Fuller Andrew</v>
      </c>
      <c r="F225">
        <f>VLOOKUP(A225,[1]!Orders,7,FALSE)</f>
        <v>3</v>
      </c>
      <c r="G225" t="str">
        <f>VLOOKUP(F225,[1]!Shippers,2,FALSE)</f>
        <v>Federal Shipping</v>
      </c>
      <c r="H225" t="str">
        <f>VLOOKUP(C225,[1]EmployeeTerritories!$A$1:$B$50,2,FALSE)</f>
        <v>01581</v>
      </c>
      <c r="I225">
        <f>VLOOKUP(C225,[1]EmployeeTerritories!$A$1:$B$50,1,FALSE)</f>
        <v>2</v>
      </c>
      <c r="J225">
        <f>VLOOKUP(H225,[1]!Territories,3,FALSE)</f>
        <v>1</v>
      </c>
      <c r="K225" t="str">
        <f>VLOOKUP(J225,[1]!Region,2,FALSE)</f>
        <v>Eastern</v>
      </c>
      <c r="L225">
        <f>VLOOKUP(A225,[1]Order_Details!$A$1:$F$2156,2,FALSE)</f>
        <v>7</v>
      </c>
      <c r="M225" t="str">
        <f>VLOOKUP(L225,[1]!Products,2,FALSE)</f>
        <v>Uncle Bob's Organic Dried Pears</v>
      </c>
      <c r="N225">
        <f>VLOOKUP(L225,[1]!Products,4,FALSE)</f>
        <v>7</v>
      </c>
      <c r="O225" s="6" t="str">
        <f>VLOOKUP(N225,[1]!Categories,2,FALSE)</f>
        <v>Produce</v>
      </c>
      <c r="P225" s="6">
        <f>VLOOKUP(A225,[1]Order_Details!$A$1:$F$2156,3,FALSE)</f>
        <v>24</v>
      </c>
      <c r="Q225">
        <f>VLOOKUP(A225,[1]Order_Details!$A$1:$F$2156,4,FALSE)</f>
        <v>30</v>
      </c>
      <c r="R225">
        <f>VLOOKUP(A225,[1]Order_Details!$A$1:$F$2156,5,FALSE)</f>
        <v>0</v>
      </c>
      <c r="S225" s="6">
        <f>VLOOKUP(A225,[1]Order_Details!$A$1:$F$2156,6,FALSE)</f>
        <v>720</v>
      </c>
      <c r="T225" s="6">
        <f>VLOOKUP(A225,[1]!Orders,8,FALSE)</f>
        <v>45.59</v>
      </c>
    </row>
    <row r="226" spans="1:20" x14ac:dyDescent="0.3">
      <c r="A226" s="2">
        <v>10472</v>
      </c>
      <c r="B226" s="2" t="s">
        <v>60</v>
      </c>
      <c r="C226" s="2">
        <v>8</v>
      </c>
      <c r="D226" s="3">
        <v>35501</v>
      </c>
      <c r="E226" t="str">
        <f>VLOOKUP(C226,[1]Employees!$A$1:$O$10,4,FALSE)</f>
        <v>Callahan Laura</v>
      </c>
      <c r="F226">
        <f>VLOOKUP(A226,[1]!Orders,7,FALSE)</f>
        <v>1</v>
      </c>
      <c r="G226" t="str">
        <f>VLOOKUP(F226,[1]!Shippers,2,FALSE)</f>
        <v>Speedy Express</v>
      </c>
      <c r="H226" t="str">
        <f>VLOOKUP(C226,[1]EmployeeTerritories!$A$1:$B$50,2,FALSE)</f>
        <v>19428</v>
      </c>
      <c r="I226">
        <f>VLOOKUP(C226,[1]EmployeeTerritories!$A$1:$B$50,1,FALSE)</f>
        <v>8</v>
      </c>
      <c r="J226">
        <f>VLOOKUP(H226,[1]!Territories,3,FALSE)</f>
        <v>3</v>
      </c>
      <c r="K226" t="str">
        <f>VLOOKUP(J226,[1]!Region,2,FALSE)</f>
        <v>Northern</v>
      </c>
      <c r="L226">
        <f>VLOOKUP(A226,[1]Order_Details!$A$1:$F$2156,2,FALSE)</f>
        <v>24</v>
      </c>
      <c r="M226" t="str">
        <f>VLOOKUP(L226,[1]!Products,2,FALSE)</f>
        <v>Guaraná Fantástica</v>
      </c>
      <c r="N226">
        <f>VLOOKUP(L226,[1]!Products,4,FALSE)</f>
        <v>1</v>
      </c>
      <c r="O226" s="6" t="str">
        <f>VLOOKUP(N226,[1]!Categories,2,FALSE)</f>
        <v>Beverages</v>
      </c>
      <c r="P226" s="6">
        <f>VLOOKUP(A226,[1]Order_Details!$A$1:$F$2156,3,FALSE)</f>
        <v>3.6</v>
      </c>
      <c r="Q226">
        <f>VLOOKUP(A226,[1]Order_Details!$A$1:$F$2156,4,FALSE)</f>
        <v>80</v>
      </c>
      <c r="R226">
        <f>VLOOKUP(A226,[1]Order_Details!$A$1:$F$2156,5,FALSE)</f>
        <v>5.000000074505806E-2</v>
      </c>
      <c r="S226" s="6">
        <f>VLOOKUP(A226,[1]Order_Details!$A$1:$F$2156,6,FALSE)</f>
        <v>273.59999978542328</v>
      </c>
      <c r="T226" s="6">
        <f>VLOOKUP(A226,[1]!Orders,8,FALSE)</f>
        <v>4.2</v>
      </c>
    </row>
    <row r="227" spans="1:20" x14ac:dyDescent="0.3">
      <c r="A227" s="2">
        <v>10473</v>
      </c>
      <c r="B227" s="2" t="s">
        <v>46</v>
      </c>
      <c r="C227" s="2">
        <v>1</v>
      </c>
      <c r="D227" s="3">
        <v>35502</v>
      </c>
      <c r="E227" t="str">
        <f>VLOOKUP(C227,[1]Employees!$A$1:$O$10,4,FALSE)</f>
        <v>Davolio Nancy</v>
      </c>
      <c r="F227">
        <f>VLOOKUP(A227,[1]!Orders,7,FALSE)</f>
        <v>3</v>
      </c>
      <c r="G227" t="str">
        <f>VLOOKUP(F227,[1]!Shippers,2,FALSE)</f>
        <v>Federal Shipping</v>
      </c>
      <c r="H227" t="str">
        <f>VLOOKUP(C227,[1]EmployeeTerritories!$A$1:$B$50,2,FALSE)</f>
        <v>06897</v>
      </c>
      <c r="I227">
        <f>VLOOKUP(C227,[1]EmployeeTerritories!$A$1:$B$50,1,FALSE)</f>
        <v>1</v>
      </c>
      <c r="J227">
        <f>VLOOKUP(H227,[1]!Territories,3,FALSE)</f>
        <v>1</v>
      </c>
      <c r="K227" t="str">
        <f>VLOOKUP(J227,[1]!Region,2,FALSE)</f>
        <v>Eastern</v>
      </c>
      <c r="L227">
        <f>VLOOKUP(A227,[1]Order_Details!$A$1:$F$2156,2,FALSE)</f>
        <v>33</v>
      </c>
      <c r="M227" t="str">
        <f>VLOOKUP(L227,[1]!Products,2,FALSE)</f>
        <v>Geitost</v>
      </c>
      <c r="N227">
        <f>VLOOKUP(L227,[1]!Products,4,FALSE)</f>
        <v>4</v>
      </c>
      <c r="O227" s="6" t="str">
        <f>VLOOKUP(N227,[1]!Categories,2,FALSE)</f>
        <v>Dairy Products</v>
      </c>
      <c r="P227" s="6">
        <f>VLOOKUP(A227,[1]Order_Details!$A$1:$F$2156,3,FALSE)</f>
        <v>2</v>
      </c>
      <c r="Q227">
        <f>VLOOKUP(A227,[1]Order_Details!$A$1:$F$2156,4,FALSE)</f>
        <v>12</v>
      </c>
      <c r="R227">
        <f>VLOOKUP(A227,[1]Order_Details!$A$1:$F$2156,5,FALSE)</f>
        <v>0</v>
      </c>
      <c r="S227" s="6">
        <f>VLOOKUP(A227,[1]Order_Details!$A$1:$F$2156,6,FALSE)</f>
        <v>24</v>
      </c>
      <c r="T227" s="6">
        <f>VLOOKUP(A227,[1]!Orders,8,FALSE)</f>
        <v>16.37</v>
      </c>
    </row>
    <row r="228" spans="1:20" x14ac:dyDescent="0.3">
      <c r="A228" s="2">
        <v>10474</v>
      </c>
      <c r="B228" s="2" t="s">
        <v>47</v>
      </c>
      <c r="C228" s="2">
        <v>5</v>
      </c>
      <c r="D228" s="3">
        <v>35502</v>
      </c>
      <c r="E228" t="str">
        <f>VLOOKUP(C228,[1]Employees!$A$1:$O$10,4,FALSE)</f>
        <v>Buchanan Steven</v>
      </c>
      <c r="F228">
        <f>VLOOKUP(A228,[1]!Orders,7,FALSE)</f>
        <v>2</v>
      </c>
      <c r="G228" t="str">
        <f>VLOOKUP(F228,[1]!Shippers,2,FALSE)</f>
        <v>United Package</v>
      </c>
      <c r="H228" t="str">
        <f>VLOOKUP(C228,[1]EmployeeTerritories!$A$1:$B$50,2,FALSE)</f>
        <v>02903</v>
      </c>
      <c r="I228">
        <f>VLOOKUP(C228,[1]EmployeeTerritories!$A$1:$B$50,1,FALSE)</f>
        <v>5</v>
      </c>
      <c r="J228">
        <f>VLOOKUP(H228,[1]!Territories,3,FALSE)</f>
        <v>1</v>
      </c>
      <c r="K228" t="str">
        <f>VLOOKUP(J228,[1]!Region,2,FALSE)</f>
        <v>Eastern</v>
      </c>
      <c r="L228">
        <f>VLOOKUP(A228,[1]Order_Details!$A$1:$F$2156,2,FALSE)</f>
        <v>14</v>
      </c>
      <c r="M228" t="str">
        <f>VLOOKUP(L228,[1]!Products,2,FALSE)</f>
        <v>Tofu</v>
      </c>
      <c r="N228">
        <f>VLOOKUP(L228,[1]!Products,4,FALSE)</f>
        <v>7</v>
      </c>
      <c r="O228" s="6" t="str">
        <f>VLOOKUP(N228,[1]!Categories,2,FALSE)</f>
        <v>Produce</v>
      </c>
      <c r="P228" s="6">
        <f>VLOOKUP(A228,[1]Order_Details!$A$1:$F$2156,3,FALSE)</f>
        <v>18.600000000000001</v>
      </c>
      <c r="Q228">
        <f>VLOOKUP(A228,[1]Order_Details!$A$1:$F$2156,4,FALSE)</f>
        <v>12</v>
      </c>
      <c r="R228">
        <f>VLOOKUP(A228,[1]Order_Details!$A$1:$F$2156,5,FALSE)</f>
        <v>0</v>
      </c>
      <c r="S228" s="6">
        <f>VLOOKUP(A228,[1]Order_Details!$A$1:$F$2156,6,FALSE)</f>
        <v>223.20000000000002</v>
      </c>
      <c r="T228" s="6">
        <f>VLOOKUP(A228,[1]!Orders,8,FALSE)</f>
        <v>83.49</v>
      </c>
    </row>
    <row r="229" spans="1:20" x14ac:dyDescent="0.3">
      <c r="A229" s="2">
        <v>10475</v>
      </c>
      <c r="B229" s="2" t="s">
        <v>8</v>
      </c>
      <c r="C229" s="2">
        <v>9</v>
      </c>
      <c r="D229" s="3">
        <v>35503</v>
      </c>
      <c r="E229" t="str">
        <f>VLOOKUP(C229,[1]Employees!$A$1:$O$10,4,FALSE)</f>
        <v>Dodsworth Anne</v>
      </c>
      <c r="F229">
        <f>VLOOKUP(A229,[1]!Orders,7,FALSE)</f>
        <v>1</v>
      </c>
      <c r="G229" t="str">
        <f>VLOOKUP(F229,[1]!Shippers,2,FALSE)</f>
        <v>Speedy Express</v>
      </c>
      <c r="H229" t="str">
        <f>VLOOKUP(C229,[1]EmployeeTerritories!$A$1:$B$50,2,FALSE)</f>
        <v>03049</v>
      </c>
      <c r="I229">
        <f>VLOOKUP(C229,[1]EmployeeTerritories!$A$1:$B$50,1,FALSE)</f>
        <v>9</v>
      </c>
      <c r="J229">
        <f>VLOOKUP(H229,[1]!Territories,3,FALSE)</f>
        <v>3</v>
      </c>
      <c r="K229" t="str">
        <f>VLOOKUP(J229,[1]!Region,2,FALSE)</f>
        <v>Northern</v>
      </c>
      <c r="L229">
        <f>VLOOKUP(A229,[1]Order_Details!$A$1:$F$2156,2,FALSE)</f>
        <v>31</v>
      </c>
      <c r="M229" t="str">
        <f>VLOOKUP(L229,[1]!Products,2,FALSE)</f>
        <v>Gorgonzola Telino</v>
      </c>
      <c r="N229">
        <f>VLOOKUP(L229,[1]!Products,4,FALSE)</f>
        <v>4</v>
      </c>
      <c r="O229" s="6" t="str">
        <f>VLOOKUP(N229,[1]!Categories,2,FALSE)</f>
        <v>Dairy Products</v>
      </c>
      <c r="P229" s="6">
        <f>VLOOKUP(A229,[1]Order_Details!$A$1:$F$2156,3,FALSE)</f>
        <v>10</v>
      </c>
      <c r="Q229">
        <f>VLOOKUP(A229,[1]Order_Details!$A$1:$F$2156,4,FALSE)</f>
        <v>35</v>
      </c>
      <c r="R229">
        <f>VLOOKUP(A229,[1]Order_Details!$A$1:$F$2156,5,FALSE)</f>
        <v>0.15000000596046448</v>
      </c>
      <c r="S229" s="6">
        <f>VLOOKUP(A229,[1]Order_Details!$A$1:$F$2156,6,FALSE)</f>
        <v>297.49999791383743</v>
      </c>
      <c r="T229" s="6">
        <f>VLOOKUP(A229,[1]!Orders,8,FALSE)</f>
        <v>68.52</v>
      </c>
    </row>
    <row r="230" spans="1:20" x14ac:dyDescent="0.3">
      <c r="A230" s="2">
        <v>10476</v>
      </c>
      <c r="B230" s="2" t="s">
        <v>12</v>
      </c>
      <c r="C230" s="2">
        <v>8</v>
      </c>
      <c r="D230" s="3">
        <v>35506</v>
      </c>
      <c r="E230" t="str">
        <f>VLOOKUP(C230,[1]Employees!$A$1:$O$10,4,FALSE)</f>
        <v>Callahan Laura</v>
      </c>
      <c r="F230">
        <f>VLOOKUP(A230,[1]!Orders,7,FALSE)</f>
        <v>3</v>
      </c>
      <c r="G230" t="str">
        <f>VLOOKUP(F230,[1]!Shippers,2,FALSE)</f>
        <v>Federal Shipping</v>
      </c>
      <c r="H230" t="str">
        <f>VLOOKUP(C230,[1]EmployeeTerritories!$A$1:$B$50,2,FALSE)</f>
        <v>19428</v>
      </c>
      <c r="I230">
        <f>VLOOKUP(C230,[1]EmployeeTerritories!$A$1:$B$50,1,FALSE)</f>
        <v>8</v>
      </c>
      <c r="J230">
        <f>VLOOKUP(H230,[1]!Territories,3,FALSE)</f>
        <v>3</v>
      </c>
      <c r="K230" t="str">
        <f>VLOOKUP(J230,[1]!Region,2,FALSE)</f>
        <v>Northern</v>
      </c>
      <c r="L230">
        <f>VLOOKUP(A230,[1]Order_Details!$A$1:$F$2156,2,FALSE)</f>
        <v>55</v>
      </c>
      <c r="M230" t="str">
        <f>VLOOKUP(L230,[1]!Products,2,FALSE)</f>
        <v>Pâté chinois</v>
      </c>
      <c r="N230">
        <f>VLOOKUP(L230,[1]!Products,4,FALSE)</f>
        <v>6</v>
      </c>
      <c r="O230" s="6" t="str">
        <f>VLOOKUP(N230,[1]!Categories,2,FALSE)</f>
        <v>Meat/Poultry</v>
      </c>
      <c r="P230" s="6">
        <f>VLOOKUP(A230,[1]Order_Details!$A$1:$F$2156,3,FALSE)</f>
        <v>19.2</v>
      </c>
      <c r="Q230">
        <f>VLOOKUP(A230,[1]Order_Details!$A$1:$F$2156,4,FALSE)</f>
        <v>2</v>
      </c>
      <c r="R230">
        <f>VLOOKUP(A230,[1]Order_Details!$A$1:$F$2156,5,FALSE)</f>
        <v>5.000000074505806E-2</v>
      </c>
      <c r="S230" s="6">
        <f>VLOOKUP(A230,[1]Order_Details!$A$1:$F$2156,6,FALSE)</f>
        <v>36.479999971389766</v>
      </c>
      <c r="T230" s="6">
        <f>VLOOKUP(A230,[1]!Orders,8,FALSE)</f>
        <v>4.41</v>
      </c>
    </row>
    <row r="231" spans="1:20" x14ac:dyDescent="0.3">
      <c r="A231" s="2">
        <v>10477</v>
      </c>
      <c r="B231" s="2" t="s">
        <v>54</v>
      </c>
      <c r="C231" s="2">
        <v>5</v>
      </c>
      <c r="D231" s="3">
        <v>35506</v>
      </c>
      <c r="E231" t="str">
        <f>VLOOKUP(C231,[1]Employees!$A$1:$O$10,4,FALSE)</f>
        <v>Buchanan Steven</v>
      </c>
      <c r="F231">
        <f>VLOOKUP(A231,[1]!Orders,7,FALSE)</f>
        <v>2</v>
      </c>
      <c r="G231" t="str">
        <f>VLOOKUP(F231,[1]!Shippers,2,FALSE)</f>
        <v>United Package</v>
      </c>
      <c r="H231" t="str">
        <f>VLOOKUP(C231,[1]EmployeeTerritories!$A$1:$B$50,2,FALSE)</f>
        <v>02903</v>
      </c>
      <c r="I231">
        <f>VLOOKUP(C231,[1]EmployeeTerritories!$A$1:$B$50,1,FALSE)</f>
        <v>5</v>
      </c>
      <c r="J231">
        <f>VLOOKUP(H231,[1]!Territories,3,FALSE)</f>
        <v>1</v>
      </c>
      <c r="K231" t="str">
        <f>VLOOKUP(J231,[1]!Region,2,FALSE)</f>
        <v>Eastern</v>
      </c>
      <c r="L231">
        <f>VLOOKUP(A231,[1]Order_Details!$A$1:$F$2156,2,FALSE)</f>
        <v>1</v>
      </c>
      <c r="M231" t="str">
        <f>VLOOKUP(L231,[1]!Products,2,FALSE)</f>
        <v>Chai</v>
      </c>
      <c r="N231">
        <f>VLOOKUP(L231,[1]!Products,4,FALSE)</f>
        <v>1</v>
      </c>
      <c r="O231" s="6" t="str">
        <f>VLOOKUP(N231,[1]!Categories,2,FALSE)</f>
        <v>Beverages</v>
      </c>
      <c r="P231" s="6">
        <f>VLOOKUP(A231,[1]Order_Details!$A$1:$F$2156,3,FALSE)</f>
        <v>14.4</v>
      </c>
      <c r="Q231">
        <f>VLOOKUP(A231,[1]Order_Details!$A$1:$F$2156,4,FALSE)</f>
        <v>15</v>
      </c>
      <c r="R231">
        <f>VLOOKUP(A231,[1]Order_Details!$A$1:$F$2156,5,FALSE)</f>
        <v>0</v>
      </c>
      <c r="S231" s="6">
        <f>VLOOKUP(A231,[1]Order_Details!$A$1:$F$2156,6,FALSE)</f>
        <v>216</v>
      </c>
      <c r="T231" s="6">
        <f>VLOOKUP(A231,[1]!Orders,8,FALSE)</f>
        <v>13.02</v>
      </c>
    </row>
    <row r="232" spans="1:20" x14ac:dyDescent="0.3">
      <c r="A232" s="2">
        <v>10478</v>
      </c>
      <c r="B232" s="2" t="s">
        <v>7</v>
      </c>
      <c r="C232" s="2">
        <v>2</v>
      </c>
      <c r="D232" s="3">
        <v>35507</v>
      </c>
      <c r="E232" t="str">
        <f>VLOOKUP(C232,[1]Employees!$A$1:$O$10,4,FALSE)</f>
        <v>Fuller Andrew</v>
      </c>
      <c r="F232">
        <f>VLOOKUP(A232,[1]!Orders,7,FALSE)</f>
        <v>3</v>
      </c>
      <c r="G232" t="str">
        <f>VLOOKUP(F232,[1]!Shippers,2,FALSE)</f>
        <v>Federal Shipping</v>
      </c>
      <c r="H232" t="str">
        <f>VLOOKUP(C232,[1]EmployeeTerritories!$A$1:$B$50,2,FALSE)</f>
        <v>01581</v>
      </c>
      <c r="I232">
        <f>VLOOKUP(C232,[1]EmployeeTerritories!$A$1:$B$50,1,FALSE)</f>
        <v>2</v>
      </c>
      <c r="J232">
        <f>VLOOKUP(H232,[1]!Territories,3,FALSE)</f>
        <v>1</v>
      </c>
      <c r="K232" t="str">
        <f>VLOOKUP(J232,[1]!Region,2,FALSE)</f>
        <v>Eastern</v>
      </c>
      <c r="L232">
        <f>VLOOKUP(A232,[1]Order_Details!$A$1:$F$2156,2,FALSE)</f>
        <v>10</v>
      </c>
      <c r="M232" t="str">
        <f>VLOOKUP(L232,[1]!Products,2,FALSE)</f>
        <v>Ikura</v>
      </c>
      <c r="N232">
        <f>VLOOKUP(L232,[1]!Products,4,FALSE)</f>
        <v>8</v>
      </c>
      <c r="O232" s="6" t="str">
        <f>VLOOKUP(N232,[1]!Categories,2,FALSE)</f>
        <v>Seafood</v>
      </c>
      <c r="P232" s="6">
        <f>VLOOKUP(A232,[1]Order_Details!$A$1:$F$2156,3,FALSE)</f>
        <v>24.8</v>
      </c>
      <c r="Q232">
        <f>VLOOKUP(A232,[1]Order_Details!$A$1:$F$2156,4,FALSE)</f>
        <v>20</v>
      </c>
      <c r="R232">
        <f>VLOOKUP(A232,[1]Order_Details!$A$1:$F$2156,5,FALSE)</f>
        <v>5.000000074505806E-2</v>
      </c>
      <c r="S232" s="6">
        <f>VLOOKUP(A232,[1]Order_Details!$A$1:$F$2156,6,FALSE)</f>
        <v>471.1999996304512</v>
      </c>
      <c r="T232" s="6">
        <f>VLOOKUP(A232,[1]!Orders,8,FALSE)</f>
        <v>4.8099999999999996</v>
      </c>
    </row>
    <row r="233" spans="1:20" x14ac:dyDescent="0.3">
      <c r="A233" s="2">
        <v>10479</v>
      </c>
      <c r="B233" s="2" t="s">
        <v>17</v>
      </c>
      <c r="C233" s="2">
        <v>3</v>
      </c>
      <c r="D233" s="3">
        <v>35508</v>
      </c>
      <c r="E233" t="str">
        <f>VLOOKUP(C233,[1]Employees!$A$1:$O$10,4,FALSE)</f>
        <v>Leverling Janet</v>
      </c>
      <c r="F233">
        <f>VLOOKUP(A233,[1]!Orders,7,FALSE)</f>
        <v>3</v>
      </c>
      <c r="G233" t="str">
        <f>VLOOKUP(F233,[1]!Shippers,2,FALSE)</f>
        <v>Federal Shipping</v>
      </c>
      <c r="H233" t="str">
        <f>VLOOKUP(C233,[1]EmployeeTerritories!$A$1:$B$50,2,FALSE)</f>
        <v>30346</v>
      </c>
      <c r="I233">
        <f>VLOOKUP(C233,[1]EmployeeTerritories!$A$1:$B$50,1,FALSE)</f>
        <v>3</v>
      </c>
      <c r="J233">
        <f>VLOOKUP(H233,[1]!Territories,3,FALSE)</f>
        <v>4</v>
      </c>
      <c r="K233" t="str">
        <f>VLOOKUP(J233,[1]!Region,2,FALSE)</f>
        <v>Southern</v>
      </c>
      <c r="L233">
        <f>VLOOKUP(A233,[1]Order_Details!$A$1:$F$2156,2,FALSE)</f>
        <v>38</v>
      </c>
      <c r="M233" t="str">
        <f>VLOOKUP(L233,[1]!Products,2,FALSE)</f>
        <v>Côte de Blaye</v>
      </c>
      <c r="N233">
        <f>VLOOKUP(L233,[1]!Products,4,FALSE)</f>
        <v>1</v>
      </c>
      <c r="O233" s="6" t="str">
        <f>VLOOKUP(N233,[1]!Categories,2,FALSE)</f>
        <v>Beverages</v>
      </c>
      <c r="P233" s="6">
        <f>VLOOKUP(A233,[1]Order_Details!$A$1:$F$2156,3,FALSE)</f>
        <v>210.8</v>
      </c>
      <c r="Q233">
        <f>VLOOKUP(A233,[1]Order_Details!$A$1:$F$2156,4,FALSE)</f>
        <v>30</v>
      </c>
      <c r="R233">
        <f>VLOOKUP(A233,[1]Order_Details!$A$1:$F$2156,5,FALSE)</f>
        <v>0</v>
      </c>
      <c r="S233" s="6">
        <f>VLOOKUP(A233,[1]Order_Details!$A$1:$F$2156,6,FALSE)</f>
        <v>6324</v>
      </c>
      <c r="T233" s="6">
        <f>VLOOKUP(A233,[1]!Orders,8,FALSE)</f>
        <v>708.95</v>
      </c>
    </row>
    <row r="234" spans="1:20" x14ac:dyDescent="0.3">
      <c r="A234" s="2">
        <v>10480</v>
      </c>
      <c r="B234" s="2" t="s">
        <v>72</v>
      </c>
      <c r="C234" s="2">
        <v>6</v>
      </c>
      <c r="D234" s="3">
        <v>35509</v>
      </c>
      <c r="E234" t="str">
        <f>VLOOKUP(C234,[1]Employees!$A$1:$O$10,4,FALSE)</f>
        <v>Suyama Michael</v>
      </c>
      <c r="F234">
        <f>VLOOKUP(A234,[1]!Orders,7,FALSE)</f>
        <v>2</v>
      </c>
      <c r="G234" t="str">
        <f>VLOOKUP(F234,[1]!Shippers,2,FALSE)</f>
        <v>United Package</v>
      </c>
      <c r="H234" t="str">
        <f>VLOOKUP(C234,[1]EmployeeTerritories!$A$1:$B$50,2,FALSE)</f>
        <v>85014</v>
      </c>
      <c r="I234">
        <f>VLOOKUP(C234,[1]EmployeeTerritories!$A$1:$B$50,1,FALSE)</f>
        <v>6</v>
      </c>
      <c r="J234">
        <f>VLOOKUP(H234,[1]!Territories,3,FALSE)</f>
        <v>2</v>
      </c>
      <c r="K234" t="str">
        <f>VLOOKUP(J234,[1]!Region,2,FALSE)</f>
        <v>Western</v>
      </c>
      <c r="L234">
        <f>VLOOKUP(A234,[1]Order_Details!$A$1:$F$2156,2,FALSE)</f>
        <v>47</v>
      </c>
      <c r="M234" t="str">
        <f>VLOOKUP(L234,[1]!Products,2,FALSE)</f>
        <v>Zaanse koeken</v>
      </c>
      <c r="N234">
        <f>VLOOKUP(L234,[1]!Products,4,FALSE)</f>
        <v>3</v>
      </c>
      <c r="O234" s="6" t="str">
        <f>VLOOKUP(N234,[1]!Categories,2,FALSE)</f>
        <v>Confections</v>
      </c>
      <c r="P234" s="6">
        <f>VLOOKUP(A234,[1]Order_Details!$A$1:$F$2156,3,FALSE)</f>
        <v>7.6</v>
      </c>
      <c r="Q234">
        <f>VLOOKUP(A234,[1]Order_Details!$A$1:$F$2156,4,FALSE)</f>
        <v>30</v>
      </c>
      <c r="R234">
        <f>VLOOKUP(A234,[1]Order_Details!$A$1:$F$2156,5,FALSE)</f>
        <v>0</v>
      </c>
      <c r="S234" s="6">
        <f>VLOOKUP(A234,[1]Order_Details!$A$1:$F$2156,6,FALSE)</f>
        <v>228</v>
      </c>
      <c r="T234" s="6">
        <f>VLOOKUP(A234,[1]!Orders,8,FALSE)</f>
        <v>1.35</v>
      </c>
    </row>
    <row r="235" spans="1:20" x14ac:dyDescent="0.3">
      <c r="A235" s="2">
        <v>10481</v>
      </c>
      <c r="B235" s="2" t="s">
        <v>33</v>
      </c>
      <c r="C235" s="2">
        <v>8</v>
      </c>
      <c r="D235" s="3">
        <v>35509</v>
      </c>
      <c r="E235" t="str">
        <f>VLOOKUP(C235,[1]Employees!$A$1:$O$10,4,FALSE)</f>
        <v>Callahan Laura</v>
      </c>
      <c r="F235">
        <f>VLOOKUP(A235,[1]!Orders,7,FALSE)</f>
        <v>2</v>
      </c>
      <c r="G235" t="str">
        <f>VLOOKUP(F235,[1]!Shippers,2,FALSE)</f>
        <v>United Package</v>
      </c>
      <c r="H235" t="str">
        <f>VLOOKUP(C235,[1]EmployeeTerritories!$A$1:$B$50,2,FALSE)</f>
        <v>19428</v>
      </c>
      <c r="I235">
        <f>VLOOKUP(C235,[1]EmployeeTerritories!$A$1:$B$50,1,FALSE)</f>
        <v>8</v>
      </c>
      <c r="J235">
        <f>VLOOKUP(H235,[1]!Territories,3,FALSE)</f>
        <v>3</v>
      </c>
      <c r="K235" t="str">
        <f>VLOOKUP(J235,[1]!Region,2,FALSE)</f>
        <v>Northern</v>
      </c>
      <c r="L235">
        <f>VLOOKUP(A235,[1]Order_Details!$A$1:$F$2156,2,FALSE)</f>
        <v>49</v>
      </c>
      <c r="M235" t="str">
        <f>VLOOKUP(L235,[1]!Products,2,FALSE)</f>
        <v>Maxilaku</v>
      </c>
      <c r="N235">
        <f>VLOOKUP(L235,[1]!Products,4,FALSE)</f>
        <v>3</v>
      </c>
      <c r="O235" s="6" t="str">
        <f>VLOOKUP(N235,[1]!Categories,2,FALSE)</f>
        <v>Confections</v>
      </c>
      <c r="P235" s="6">
        <f>VLOOKUP(A235,[1]Order_Details!$A$1:$F$2156,3,FALSE)</f>
        <v>16</v>
      </c>
      <c r="Q235">
        <f>VLOOKUP(A235,[1]Order_Details!$A$1:$F$2156,4,FALSE)</f>
        <v>24</v>
      </c>
      <c r="R235">
        <f>VLOOKUP(A235,[1]Order_Details!$A$1:$F$2156,5,FALSE)</f>
        <v>0</v>
      </c>
      <c r="S235" s="6">
        <f>VLOOKUP(A235,[1]Order_Details!$A$1:$F$2156,6,FALSE)</f>
        <v>384</v>
      </c>
      <c r="T235" s="6">
        <f>VLOOKUP(A235,[1]!Orders,8,FALSE)</f>
        <v>64.33</v>
      </c>
    </row>
    <row r="236" spans="1:20" x14ac:dyDescent="0.3">
      <c r="A236" s="2">
        <v>10482</v>
      </c>
      <c r="B236" s="2" t="s">
        <v>78</v>
      </c>
      <c r="C236" s="2">
        <v>1</v>
      </c>
      <c r="D236" s="3">
        <v>35510</v>
      </c>
      <c r="E236" t="str">
        <f>VLOOKUP(C236,[1]Employees!$A$1:$O$10,4,FALSE)</f>
        <v>Davolio Nancy</v>
      </c>
      <c r="F236">
        <f>VLOOKUP(A236,[1]!Orders,7,FALSE)</f>
        <v>3</v>
      </c>
      <c r="G236" t="str">
        <f>VLOOKUP(F236,[1]!Shippers,2,FALSE)</f>
        <v>Federal Shipping</v>
      </c>
      <c r="H236" t="str">
        <f>VLOOKUP(C236,[1]EmployeeTerritories!$A$1:$B$50,2,FALSE)</f>
        <v>06897</v>
      </c>
      <c r="I236">
        <f>VLOOKUP(C236,[1]EmployeeTerritories!$A$1:$B$50,1,FALSE)</f>
        <v>1</v>
      </c>
      <c r="J236">
        <f>VLOOKUP(H236,[1]!Territories,3,FALSE)</f>
        <v>1</v>
      </c>
      <c r="K236" t="str">
        <f>VLOOKUP(J236,[1]!Region,2,FALSE)</f>
        <v>Eastern</v>
      </c>
      <c r="L236">
        <f>VLOOKUP(A236,[1]Order_Details!$A$1:$F$2156,2,FALSE)</f>
        <v>40</v>
      </c>
      <c r="M236" t="str">
        <f>VLOOKUP(L236,[1]!Products,2,FALSE)</f>
        <v>Boston Crab Meat</v>
      </c>
      <c r="N236">
        <f>VLOOKUP(L236,[1]!Products,4,FALSE)</f>
        <v>8</v>
      </c>
      <c r="O236" s="6" t="str">
        <f>VLOOKUP(N236,[1]!Categories,2,FALSE)</f>
        <v>Seafood</v>
      </c>
      <c r="P236" s="6">
        <f>VLOOKUP(A236,[1]Order_Details!$A$1:$F$2156,3,FALSE)</f>
        <v>14.7</v>
      </c>
      <c r="Q236">
        <f>VLOOKUP(A236,[1]Order_Details!$A$1:$F$2156,4,FALSE)</f>
        <v>10</v>
      </c>
      <c r="R236">
        <f>VLOOKUP(A236,[1]Order_Details!$A$1:$F$2156,5,FALSE)</f>
        <v>0</v>
      </c>
      <c r="S236" s="6">
        <f>VLOOKUP(A236,[1]Order_Details!$A$1:$F$2156,6,FALSE)</f>
        <v>147</v>
      </c>
      <c r="T236" s="6">
        <f>VLOOKUP(A236,[1]!Orders,8,FALSE)</f>
        <v>7.48</v>
      </c>
    </row>
    <row r="237" spans="1:20" x14ac:dyDescent="0.3">
      <c r="A237" s="2">
        <v>10483</v>
      </c>
      <c r="B237" s="2" t="s">
        <v>23</v>
      </c>
      <c r="C237" s="2">
        <v>7</v>
      </c>
      <c r="D237" s="3">
        <v>35513</v>
      </c>
      <c r="E237" t="str">
        <f>VLOOKUP(C237,[1]Employees!$A$1:$O$10,4,FALSE)</f>
        <v>King Robert</v>
      </c>
      <c r="F237">
        <f>VLOOKUP(A237,[1]!Orders,7,FALSE)</f>
        <v>2</v>
      </c>
      <c r="G237" t="str">
        <f>VLOOKUP(F237,[1]!Shippers,2,FALSE)</f>
        <v>United Package</v>
      </c>
      <c r="H237" t="str">
        <f>VLOOKUP(C237,[1]EmployeeTerritories!$A$1:$B$50,2,FALSE)</f>
        <v>60179</v>
      </c>
      <c r="I237">
        <f>VLOOKUP(C237,[1]EmployeeTerritories!$A$1:$B$50,1,FALSE)</f>
        <v>7</v>
      </c>
      <c r="J237">
        <f>VLOOKUP(H237,[1]!Territories,3,FALSE)</f>
        <v>2</v>
      </c>
      <c r="K237" t="str">
        <f>VLOOKUP(J237,[1]!Region,2,FALSE)</f>
        <v>Western</v>
      </c>
      <c r="L237">
        <f>VLOOKUP(A237,[1]Order_Details!$A$1:$F$2156,2,FALSE)</f>
        <v>34</v>
      </c>
      <c r="M237" t="str">
        <f>VLOOKUP(L237,[1]!Products,2,FALSE)</f>
        <v>Sasquatch Ale</v>
      </c>
      <c r="N237">
        <f>VLOOKUP(L237,[1]!Products,4,FALSE)</f>
        <v>1</v>
      </c>
      <c r="O237" s="6" t="str">
        <f>VLOOKUP(N237,[1]!Categories,2,FALSE)</f>
        <v>Beverages</v>
      </c>
      <c r="P237" s="6">
        <f>VLOOKUP(A237,[1]Order_Details!$A$1:$F$2156,3,FALSE)</f>
        <v>11.2</v>
      </c>
      <c r="Q237">
        <f>VLOOKUP(A237,[1]Order_Details!$A$1:$F$2156,4,FALSE)</f>
        <v>35</v>
      </c>
      <c r="R237">
        <f>VLOOKUP(A237,[1]Order_Details!$A$1:$F$2156,5,FALSE)</f>
        <v>5.000000074505806E-2</v>
      </c>
      <c r="S237" s="6">
        <f>VLOOKUP(A237,[1]Order_Details!$A$1:$F$2156,6,FALSE)</f>
        <v>372.39999970793724</v>
      </c>
      <c r="T237" s="6">
        <f>VLOOKUP(A237,[1]!Orders,8,FALSE)</f>
        <v>15.28</v>
      </c>
    </row>
    <row r="238" spans="1:20" x14ac:dyDescent="0.3">
      <c r="A238" s="2">
        <v>10484</v>
      </c>
      <c r="B238" s="2" t="s">
        <v>35</v>
      </c>
      <c r="C238" s="2">
        <v>3</v>
      </c>
      <c r="D238" s="3">
        <v>35513</v>
      </c>
      <c r="E238" t="str">
        <f>VLOOKUP(C238,[1]Employees!$A$1:$O$10,4,FALSE)</f>
        <v>Leverling Janet</v>
      </c>
      <c r="F238">
        <f>VLOOKUP(A238,[1]!Orders,7,FALSE)</f>
        <v>3</v>
      </c>
      <c r="G238" t="str">
        <f>VLOOKUP(F238,[1]!Shippers,2,FALSE)</f>
        <v>Federal Shipping</v>
      </c>
      <c r="H238" t="str">
        <f>VLOOKUP(C238,[1]EmployeeTerritories!$A$1:$B$50,2,FALSE)</f>
        <v>30346</v>
      </c>
      <c r="I238">
        <f>VLOOKUP(C238,[1]EmployeeTerritories!$A$1:$B$50,1,FALSE)</f>
        <v>3</v>
      </c>
      <c r="J238">
        <f>VLOOKUP(H238,[1]!Territories,3,FALSE)</f>
        <v>4</v>
      </c>
      <c r="K238" t="str">
        <f>VLOOKUP(J238,[1]!Region,2,FALSE)</f>
        <v>Southern</v>
      </c>
      <c r="L238">
        <f>VLOOKUP(A238,[1]Order_Details!$A$1:$F$2156,2,FALSE)</f>
        <v>21</v>
      </c>
      <c r="M238" t="str">
        <f>VLOOKUP(L238,[1]!Products,2,FALSE)</f>
        <v>Sir Rodney's Scones</v>
      </c>
      <c r="N238">
        <f>VLOOKUP(L238,[1]!Products,4,FALSE)</f>
        <v>3</v>
      </c>
      <c r="O238" s="6" t="str">
        <f>VLOOKUP(N238,[1]!Categories,2,FALSE)</f>
        <v>Confections</v>
      </c>
      <c r="P238" s="6">
        <f>VLOOKUP(A238,[1]Order_Details!$A$1:$F$2156,3,FALSE)</f>
        <v>8</v>
      </c>
      <c r="Q238">
        <f>VLOOKUP(A238,[1]Order_Details!$A$1:$F$2156,4,FALSE)</f>
        <v>14</v>
      </c>
      <c r="R238">
        <f>VLOOKUP(A238,[1]Order_Details!$A$1:$F$2156,5,FALSE)</f>
        <v>0</v>
      </c>
      <c r="S238" s="6">
        <f>VLOOKUP(A238,[1]Order_Details!$A$1:$F$2156,6,FALSE)</f>
        <v>112</v>
      </c>
      <c r="T238" s="6">
        <f>VLOOKUP(A238,[1]!Orders,8,FALSE)</f>
        <v>6.88</v>
      </c>
    </row>
    <row r="239" spans="1:20" x14ac:dyDescent="0.3">
      <c r="A239" s="2">
        <v>10485</v>
      </c>
      <c r="B239" s="2" t="s">
        <v>71</v>
      </c>
      <c r="C239" s="2">
        <v>4</v>
      </c>
      <c r="D239" s="3">
        <v>35514</v>
      </c>
      <c r="E239" t="str">
        <f>VLOOKUP(C239,[1]Employees!$A$1:$O$10,4,FALSE)</f>
        <v>Peacock Margaret</v>
      </c>
      <c r="F239">
        <f>VLOOKUP(A239,[1]!Orders,7,FALSE)</f>
        <v>2</v>
      </c>
      <c r="G239" t="str">
        <f>VLOOKUP(F239,[1]!Shippers,2,FALSE)</f>
        <v>United Package</v>
      </c>
      <c r="H239" t="str">
        <f>VLOOKUP(C239,[1]EmployeeTerritories!$A$1:$B$50,2,FALSE)</f>
        <v>20852</v>
      </c>
      <c r="I239">
        <f>VLOOKUP(C239,[1]EmployeeTerritories!$A$1:$B$50,1,FALSE)</f>
        <v>4</v>
      </c>
      <c r="J239">
        <f>VLOOKUP(H239,[1]!Territories,3,FALSE)</f>
        <v>1</v>
      </c>
      <c r="K239" t="str">
        <f>VLOOKUP(J239,[1]!Region,2,FALSE)</f>
        <v>Eastern</v>
      </c>
      <c r="L239">
        <f>VLOOKUP(A239,[1]Order_Details!$A$1:$F$2156,2,FALSE)</f>
        <v>2</v>
      </c>
      <c r="M239" t="str">
        <f>VLOOKUP(L239,[1]!Products,2,FALSE)</f>
        <v>Chang</v>
      </c>
      <c r="N239">
        <f>VLOOKUP(L239,[1]!Products,4,FALSE)</f>
        <v>1</v>
      </c>
      <c r="O239" s="6" t="str">
        <f>VLOOKUP(N239,[1]!Categories,2,FALSE)</f>
        <v>Beverages</v>
      </c>
      <c r="P239" s="6">
        <f>VLOOKUP(A239,[1]Order_Details!$A$1:$F$2156,3,FALSE)</f>
        <v>15.2</v>
      </c>
      <c r="Q239">
        <f>VLOOKUP(A239,[1]Order_Details!$A$1:$F$2156,4,FALSE)</f>
        <v>20</v>
      </c>
      <c r="R239">
        <f>VLOOKUP(A239,[1]Order_Details!$A$1:$F$2156,5,FALSE)</f>
        <v>0.10000000149011612</v>
      </c>
      <c r="S239" s="6">
        <f>VLOOKUP(A239,[1]Order_Details!$A$1:$F$2156,6,FALSE)</f>
        <v>273.5999995470047</v>
      </c>
      <c r="T239" s="6">
        <f>VLOOKUP(A239,[1]!Orders,8,FALSE)</f>
        <v>64.45</v>
      </c>
    </row>
    <row r="240" spans="1:20" x14ac:dyDescent="0.3">
      <c r="A240" s="2">
        <v>10486</v>
      </c>
      <c r="B240" s="2" t="s">
        <v>12</v>
      </c>
      <c r="C240" s="2">
        <v>1</v>
      </c>
      <c r="D240" s="3">
        <v>35515</v>
      </c>
      <c r="E240" t="str">
        <f>VLOOKUP(C240,[1]Employees!$A$1:$O$10,4,FALSE)</f>
        <v>Davolio Nancy</v>
      </c>
      <c r="F240">
        <f>VLOOKUP(A240,[1]!Orders,7,FALSE)</f>
        <v>2</v>
      </c>
      <c r="G240" t="str">
        <f>VLOOKUP(F240,[1]!Shippers,2,FALSE)</f>
        <v>United Package</v>
      </c>
      <c r="H240" t="str">
        <f>VLOOKUP(C240,[1]EmployeeTerritories!$A$1:$B$50,2,FALSE)</f>
        <v>06897</v>
      </c>
      <c r="I240">
        <f>VLOOKUP(C240,[1]EmployeeTerritories!$A$1:$B$50,1,FALSE)</f>
        <v>1</v>
      </c>
      <c r="J240">
        <f>VLOOKUP(H240,[1]!Territories,3,FALSE)</f>
        <v>1</v>
      </c>
      <c r="K240" t="str">
        <f>VLOOKUP(J240,[1]!Region,2,FALSE)</f>
        <v>Eastern</v>
      </c>
      <c r="L240">
        <f>VLOOKUP(A240,[1]Order_Details!$A$1:$F$2156,2,FALSE)</f>
        <v>11</v>
      </c>
      <c r="M240" t="str">
        <f>VLOOKUP(L240,[1]!Products,2,FALSE)</f>
        <v>Queso Cabrales</v>
      </c>
      <c r="N240">
        <f>VLOOKUP(L240,[1]!Products,4,FALSE)</f>
        <v>4</v>
      </c>
      <c r="O240" s="6" t="str">
        <f>VLOOKUP(N240,[1]!Categories,2,FALSE)</f>
        <v>Dairy Products</v>
      </c>
      <c r="P240" s="6">
        <f>VLOOKUP(A240,[1]Order_Details!$A$1:$F$2156,3,FALSE)</f>
        <v>16.8</v>
      </c>
      <c r="Q240">
        <f>VLOOKUP(A240,[1]Order_Details!$A$1:$F$2156,4,FALSE)</f>
        <v>5</v>
      </c>
      <c r="R240">
        <f>VLOOKUP(A240,[1]Order_Details!$A$1:$F$2156,5,FALSE)</f>
        <v>0</v>
      </c>
      <c r="S240" s="6">
        <f>VLOOKUP(A240,[1]Order_Details!$A$1:$F$2156,6,FALSE)</f>
        <v>84</v>
      </c>
      <c r="T240" s="6">
        <f>VLOOKUP(A240,[1]!Orders,8,FALSE)</f>
        <v>30.53</v>
      </c>
    </row>
    <row r="241" spans="1:20" x14ac:dyDescent="0.3">
      <c r="A241" s="2">
        <v>10487</v>
      </c>
      <c r="B241" s="2" t="s">
        <v>66</v>
      </c>
      <c r="C241" s="2">
        <v>2</v>
      </c>
      <c r="D241" s="3">
        <v>35515</v>
      </c>
      <c r="E241" t="str">
        <f>VLOOKUP(C241,[1]Employees!$A$1:$O$10,4,FALSE)</f>
        <v>Fuller Andrew</v>
      </c>
      <c r="F241">
        <f>VLOOKUP(A241,[1]!Orders,7,FALSE)</f>
        <v>2</v>
      </c>
      <c r="G241" t="str">
        <f>VLOOKUP(F241,[1]!Shippers,2,FALSE)</f>
        <v>United Package</v>
      </c>
      <c r="H241" t="str">
        <f>VLOOKUP(C241,[1]EmployeeTerritories!$A$1:$B$50,2,FALSE)</f>
        <v>01581</v>
      </c>
      <c r="I241">
        <f>VLOOKUP(C241,[1]EmployeeTerritories!$A$1:$B$50,1,FALSE)</f>
        <v>2</v>
      </c>
      <c r="J241">
        <f>VLOOKUP(H241,[1]!Territories,3,FALSE)</f>
        <v>1</v>
      </c>
      <c r="K241" t="str">
        <f>VLOOKUP(J241,[1]!Region,2,FALSE)</f>
        <v>Eastern</v>
      </c>
      <c r="L241">
        <f>VLOOKUP(A241,[1]Order_Details!$A$1:$F$2156,2,FALSE)</f>
        <v>19</v>
      </c>
      <c r="M241" t="str">
        <f>VLOOKUP(L241,[1]!Products,2,FALSE)</f>
        <v>Teatime Chocolate Biscuits</v>
      </c>
      <c r="N241">
        <f>VLOOKUP(L241,[1]!Products,4,FALSE)</f>
        <v>3</v>
      </c>
      <c r="O241" s="6" t="str">
        <f>VLOOKUP(N241,[1]!Categories,2,FALSE)</f>
        <v>Confections</v>
      </c>
      <c r="P241" s="6">
        <f>VLOOKUP(A241,[1]Order_Details!$A$1:$F$2156,3,FALSE)</f>
        <v>7.3</v>
      </c>
      <c r="Q241">
        <f>VLOOKUP(A241,[1]Order_Details!$A$1:$F$2156,4,FALSE)</f>
        <v>5</v>
      </c>
      <c r="R241">
        <f>VLOOKUP(A241,[1]Order_Details!$A$1:$F$2156,5,FALSE)</f>
        <v>0</v>
      </c>
      <c r="S241" s="6">
        <f>VLOOKUP(A241,[1]Order_Details!$A$1:$F$2156,6,FALSE)</f>
        <v>36.5</v>
      </c>
      <c r="T241" s="6">
        <f>VLOOKUP(A241,[1]!Orders,8,FALSE)</f>
        <v>71.069999999999993</v>
      </c>
    </row>
    <row r="242" spans="1:20" x14ac:dyDescent="0.3">
      <c r="A242" s="2">
        <v>10488</v>
      </c>
      <c r="B242" s="2" t="s">
        <v>21</v>
      </c>
      <c r="C242" s="2">
        <v>8</v>
      </c>
      <c r="D242" s="3">
        <v>35516</v>
      </c>
      <c r="E242" t="str">
        <f>VLOOKUP(C242,[1]Employees!$A$1:$O$10,4,FALSE)</f>
        <v>Callahan Laura</v>
      </c>
      <c r="F242">
        <f>VLOOKUP(A242,[1]!Orders,7,FALSE)</f>
        <v>2</v>
      </c>
      <c r="G242" t="str">
        <f>VLOOKUP(F242,[1]!Shippers,2,FALSE)</f>
        <v>United Package</v>
      </c>
      <c r="H242" t="str">
        <f>VLOOKUP(C242,[1]EmployeeTerritories!$A$1:$B$50,2,FALSE)</f>
        <v>19428</v>
      </c>
      <c r="I242">
        <f>VLOOKUP(C242,[1]EmployeeTerritories!$A$1:$B$50,1,FALSE)</f>
        <v>8</v>
      </c>
      <c r="J242">
        <f>VLOOKUP(H242,[1]!Territories,3,FALSE)</f>
        <v>3</v>
      </c>
      <c r="K242" t="str">
        <f>VLOOKUP(J242,[1]!Region,2,FALSE)</f>
        <v>Northern</v>
      </c>
      <c r="L242">
        <f>VLOOKUP(A242,[1]Order_Details!$A$1:$F$2156,2,FALSE)</f>
        <v>59</v>
      </c>
      <c r="M242" t="str">
        <f>VLOOKUP(L242,[1]!Products,2,FALSE)</f>
        <v>Raclette Courdavault</v>
      </c>
      <c r="N242">
        <f>VLOOKUP(L242,[1]!Products,4,FALSE)</f>
        <v>4</v>
      </c>
      <c r="O242" s="6" t="str">
        <f>VLOOKUP(N242,[1]!Categories,2,FALSE)</f>
        <v>Dairy Products</v>
      </c>
      <c r="P242" s="6">
        <f>VLOOKUP(A242,[1]Order_Details!$A$1:$F$2156,3,FALSE)</f>
        <v>44</v>
      </c>
      <c r="Q242">
        <f>VLOOKUP(A242,[1]Order_Details!$A$1:$F$2156,4,FALSE)</f>
        <v>30</v>
      </c>
      <c r="R242">
        <f>VLOOKUP(A242,[1]Order_Details!$A$1:$F$2156,5,FALSE)</f>
        <v>0</v>
      </c>
      <c r="S242" s="6">
        <f>VLOOKUP(A242,[1]Order_Details!$A$1:$F$2156,6,FALSE)</f>
        <v>1320</v>
      </c>
      <c r="T242" s="6">
        <f>VLOOKUP(A242,[1]!Orders,8,FALSE)</f>
        <v>4.93</v>
      </c>
    </row>
    <row r="243" spans="1:20" x14ac:dyDescent="0.3">
      <c r="A243" s="2">
        <v>10489</v>
      </c>
      <c r="B243" s="2" t="s">
        <v>58</v>
      </c>
      <c r="C243" s="2">
        <v>6</v>
      </c>
      <c r="D243" s="3">
        <v>35517</v>
      </c>
      <c r="E243" t="str">
        <f>VLOOKUP(C243,[1]Employees!$A$1:$O$10,4,FALSE)</f>
        <v>Suyama Michael</v>
      </c>
      <c r="F243">
        <f>VLOOKUP(A243,[1]!Orders,7,FALSE)</f>
        <v>2</v>
      </c>
      <c r="G243" t="str">
        <f>VLOOKUP(F243,[1]!Shippers,2,FALSE)</f>
        <v>United Package</v>
      </c>
      <c r="H243" t="str">
        <f>VLOOKUP(C243,[1]EmployeeTerritories!$A$1:$B$50,2,FALSE)</f>
        <v>85014</v>
      </c>
      <c r="I243">
        <f>VLOOKUP(C243,[1]EmployeeTerritories!$A$1:$B$50,1,FALSE)</f>
        <v>6</v>
      </c>
      <c r="J243">
        <f>VLOOKUP(H243,[1]!Territories,3,FALSE)</f>
        <v>2</v>
      </c>
      <c r="K243" t="str">
        <f>VLOOKUP(J243,[1]!Region,2,FALSE)</f>
        <v>Western</v>
      </c>
      <c r="L243">
        <f>VLOOKUP(A243,[1]Order_Details!$A$1:$F$2156,2,FALSE)</f>
        <v>11</v>
      </c>
      <c r="M243" t="str">
        <f>VLOOKUP(L243,[1]!Products,2,FALSE)</f>
        <v>Queso Cabrales</v>
      </c>
      <c r="N243">
        <f>VLOOKUP(L243,[1]!Products,4,FALSE)</f>
        <v>4</v>
      </c>
      <c r="O243" s="6" t="str">
        <f>VLOOKUP(N243,[1]!Categories,2,FALSE)</f>
        <v>Dairy Products</v>
      </c>
      <c r="P243" s="6">
        <f>VLOOKUP(A243,[1]Order_Details!$A$1:$F$2156,3,FALSE)</f>
        <v>16.8</v>
      </c>
      <c r="Q243">
        <f>VLOOKUP(A243,[1]Order_Details!$A$1:$F$2156,4,FALSE)</f>
        <v>15</v>
      </c>
      <c r="R243">
        <f>VLOOKUP(A243,[1]Order_Details!$A$1:$F$2156,5,FALSE)</f>
        <v>0.25</v>
      </c>
      <c r="S243" s="6">
        <f>VLOOKUP(A243,[1]Order_Details!$A$1:$F$2156,6,FALSE)</f>
        <v>189</v>
      </c>
      <c r="T243" s="6">
        <f>VLOOKUP(A243,[1]!Orders,8,FALSE)</f>
        <v>5.29</v>
      </c>
    </row>
    <row r="244" spans="1:20" x14ac:dyDescent="0.3">
      <c r="A244" s="2">
        <v>10490</v>
      </c>
      <c r="B244" s="2" t="s">
        <v>12</v>
      </c>
      <c r="C244" s="2">
        <v>7</v>
      </c>
      <c r="D244" s="3">
        <v>35520</v>
      </c>
      <c r="E244" t="str">
        <f>VLOOKUP(C244,[1]Employees!$A$1:$O$10,4,FALSE)</f>
        <v>King Robert</v>
      </c>
      <c r="F244">
        <f>VLOOKUP(A244,[1]!Orders,7,FALSE)</f>
        <v>2</v>
      </c>
      <c r="G244" t="str">
        <f>VLOOKUP(F244,[1]!Shippers,2,FALSE)</f>
        <v>United Package</v>
      </c>
      <c r="H244" t="str">
        <f>VLOOKUP(C244,[1]EmployeeTerritories!$A$1:$B$50,2,FALSE)</f>
        <v>60179</v>
      </c>
      <c r="I244">
        <f>VLOOKUP(C244,[1]EmployeeTerritories!$A$1:$B$50,1,FALSE)</f>
        <v>7</v>
      </c>
      <c r="J244">
        <f>VLOOKUP(H244,[1]!Territories,3,FALSE)</f>
        <v>2</v>
      </c>
      <c r="K244" t="str">
        <f>VLOOKUP(J244,[1]!Region,2,FALSE)</f>
        <v>Western</v>
      </c>
      <c r="L244">
        <f>VLOOKUP(A244,[1]Order_Details!$A$1:$F$2156,2,FALSE)</f>
        <v>59</v>
      </c>
      <c r="M244" t="str">
        <f>VLOOKUP(L244,[1]!Products,2,FALSE)</f>
        <v>Raclette Courdavault</v>
      </c>
      <c r="N244">
        <f>VLOOKUP(L244,[1]!Products,4,FALSE)</f>
        <v>4</v>
      </c>
      <c r="O244" s="6" t="str">
        <f>VLOOKUP(N244,[1]!Categories,2,FALSE)</f>
        <v>Dairy Products</v>
      </c>
      <c r="P244" s="6">
        <f>VLOOKUP(A244,[1]Order_Details!$A$1:$F$2156,3,FALSE)</f>
        <v>44</v>
      </c>
      <c r="Q244">
        <f>VLOOKUP(A244,[1]Order_Details!$A$1:$F$2156,4,FALSE)</f>
        <v>60</v>
      </c>
      <c r="R244">
        <f>VLOOKUP(A244,[1]Order_Details!$A$1:$F$2156,5,FALSE)</f>
        <v>0</v>
      </c>
      <c r="S244" s="6">
        <f>VLOOKUP(A244,[1]Order_Details!$A$1:$F$2156,6,FALSE)</f>
        <v>2640</v>
      </c>
      <c r="T244" s="6">
        <f>VLOOKUP(A244,[1]!Orders,8,FALSE)</f>
        <v>210.19</v>
      </c>
    </row>
    <row r="245" spans="1:20" x14ac:dyDescent="0.3">
      <c r="A245" s="2">
        <v>10491</v>
      </c>
      <c r="B245" s="2" t="s">
        <v>51</v>
      </c>
      <c r="C245" s="2">
        <v>8</v>
      </c>
      <c r="D245" s="3">
        <v>35520</v>
      </c>
      <c r="E245" t="str">
        <f>VLOOKUP(C245,[1]Employees!$A$1:$O$10,4,FALSE)</f>
        <v>Callahan Laura</v>
      </c>
      <c r="F245">
        <f>VLOOKUP(A245,[1]!Orders,7,FALSE)</f>
        <v>3</v>
      </c>
      <c r="G245" t="str">
        <f>VLOOKUP(F245,[1]!Shippers,2,FALSE)</f>
        <v>Federal Shipping</v>
      </c>
      <c r="H245" t="str">
        <f>VLOOKUP(C245,[1]EmployeeTerritories!$A$1:$B$50,2,FALSE)</f>
        <v>19428</v>
      </c>
      <c r="I245">
        <f>VLOOKUP(C245,[1]EmployeeTerritories!$A$1:$B$50,1,FALSE)</f>
        <v>8</v>
      </c>
      <c r="J245">
        <f>VLOOKUP(H245,[1]!Territories,3,FALSE)</f>
        <v>3</v>
      </c>
      <c r="K245" t="str">
        <f>VLOOKUP(J245,[1]!Region,2,FALSE)</f>
        <v>Northern</v>
      </c>
      <c r="L245">
        <f>VLOOKUP(A245,[1]Order_Details!$A$1:$F$2156,2,FALSE)</f>
        <v>44</v>
      </c>
      <c r="M245" t="str">
        <f>VLOOKUP(L245,[1]!Products,2,FALSE)</f>
        <v>Gula Malacca</v>
      </c>
      <c r="N245">
        <f>VLOOKUP(L245,[1]!Products,4,FALSE)</f>
        <v>2</v>
      </c>
      <c r="O245" s="6" t="str">
        <f>VLOOKUP(N245,[1]!Categories,2,FALSE)</f>
        <v>Condiments</v>
      </c>
      <c r="P245" s="6">
        <f>VLOOKUP(A245,[1]Order_Details!$A$1:$F$2156,3,FALSE)</f>
        <v>15.5</v>
      </c>
      <c r="Q245">
        <f>VLOOKUP(A245,[1]Order_Details!$A$1:$F$2156,4,FALSE)</f>
        <v>15</v>
      </c>
      <c r="R245">
        <f>VLOOKUP(A245,[1]Order_Details!$A$1:$F$2156,5,FALSE)</f>
        <v>0.15000000596046448</v>
      </c>
      <c r="S245" s="6">
        <f>VLOOKUP(A245,[1]Order_Details!$A$1:$F$2156,6,FALSE)</f>
        <v>197.62499861419201</v>
      </c>
      <c r="T245" s="6">
        <f>VLOOKUP(A245,[1]!Orders,8,FALSE)</f>
        <v>16.96</v>
      </c>
    </row>
    <row r="246" spans="1:20" x14ac:dyDescent="0.3">
      <c r="A246" s="2">
        <v>10492</v>
      </c>
      <c r="B246" s="2" t="s">
        <v>70</v>
      </c>
      <c r="C246" s="2">
        <v>3</v>
      </c>
      <c r="D246" s="3">
        <v>35521</v>
      </c>
      <c r="E246" t="str">
        <f>VLOOKUP(C246,[1]Employees!$A$1:$O$10,4,FALSE)</f>
        <v>Leverling Janet</v>
      </c>
      <c r="F246">
        <f>VLOOKUP(A246,[1]!Orders,7,FALSE)</f>
        <v>1</v>
      </c>
      <c r="G246" t="str">
        <f>VLOOKUP(F246,[1]!Shippers,2,FALSE)</f>
        <v>Speedy Express</v>
      </c>
      <c r="H246" t="str">
        <f>VLOOKUP(C246,[1]EmployeeTerritories!$A$1:$B$50,2,FALSE)</f>
        <v>30346</v>
      </c>
      <c r="I246">
        <f>VLOOKUP(C246,[1]EmployeeTerritories!$A$1:$B$50,1,FALSE)</f>
        <v>3</v>
      </c>
      <c r="J246">
        <f>VLOOKUP(H246,[1]!Territories,3,FALSE)</f>
        <v>4</v>
      </c>
      <c r="K246" t="str">
        <f>VLOOKUP(J246,[1]!Region,2,FALSE)</f>
        <v>Southern</v>
      </c>
      <c r="L246">
        <f>VLOOKUP(A246,[1]Order_Details!$A$1:$F$2156,2,FALSE)</f>
        <v>25</v>
      </c>
      <c r="M246" t="str">
        <f>VLOOKUP(L246,[1]!Products,2,FALSE)</f>
        <v>NuNuCa Nuß-Nougat-Creme</v>
      </c>
      <c r="N246">
        <f>VLOOKUP(L246,[1]!Products,4,FALSE)</f>
        <v>3</v>
      </c>
      <c r="O246" s="6" t="str">
        <f>VLOOKUP(N246,[1]!Categories,2,FALSE)</f>
        <v>Confections</v>
      </c>
      <c r="P246" s="6">
        <f>VLOOKUP(A246,[1]Order_Details!$A$1:$F$2156,3,FALSE)</f>
        <v>11.2</v>
      </c>
      <c r="Q246">
        <f>VLOOKUP(A246,[1]Order_Details!$A$1:$F$2156,4,FALSE)</f>
        <v>60</v>
      </c>
      <c r="R246">
        <f>VLOOKUP(A246,[1]Order_Details!$A$1:$F$2156,5,FALSE)</f>
        <v>5.000000074505806E-2</v>
      </c>
      <c r="S246" s="6">
        <f>VLOOKUP(A246,[1]Order_Details!$A$1:$F$2156,6,FALSE)</f>
        <v>638.39999949932098</v>
      </c>
      <c r="T246" s="6">
        <f>VLOOKUP(A246,[1]!Orders,8,FALSE)</f>
        <v>62.89</v>
      </c>
    </row>
    <row r="247" spans="1:20" x14ac:dyDescent="0.3">
      <c r="A247" s="2">
        <v>10493</v>
      </c>
      <c r="B247" s="2" t="s">
        <v>57</v>
      </c>
      <c r="C247" s="2">
        <v>4</v>
      </c>
      <c r="D247" s="3">
        <v>35522</v>
      </c>
      <c r="E247" t="str">
        <f>VLOOKUP(C247,[1]Employees!$A$1:$O$10,4,FALSE)</f>
        <v>Peacock Margaret</v>
      </c>
      <c r="F247">
        <f>VLOOKUP(A247,[1]!Orders,7,FALSE)</f>
        <v>3</v>
      </c>
      <c r="G247" t="str">
        <f>VLOOKUP(F247,[1]!Shippers,2,FALSE)</f>
        <v>Federal Shipping</v>
      </c>
      <c r="H247" t="str">
        <f>VLOOKUP(C247,[1]EmployeeTerritories!$A$1:$B$50,2,FALSE)</f>
        <v>20852</v>
      </c>
      <c r="I247">
        <f>VLOOKUP(C247,[1]EmployeeTerritories!$A$1:$B$50,1,FALSE)</f>
        <v>4</v>
      </c>
      <c r="J247">
        <f>VLOOKUP(H247,[1]!Territories,3,FALSE)</f>
        <v>1</v>
      </c>
      <c r="K247" t="str">
        <f>VLOOKUP(J247,[1]!Region,2,FALSE)</f>
        <v>Eastern</v>
      </c>
      <c r="L247">
        <f>VLOOKUP(A247,[1]Order_Details!$A$1:$F$2156,2,FALSE)</f>
        <v>65</v>
      </c>
      <c r="M247" t="str">
        <f>VLOOKUP(L247,[1]!Products,2,FALSE)</f>
        <v>Louisiana Fiery Hot Pepper Sauce</v>
      </c>
      <c r="N247">
        <f>VLOOKUP(L247,[1]!Products,4,FALSE)</f>
        <v>2</v>
      </c>
      <c r="O247" s="6" t="str">
        <f>VLOOKUP(N247,[1]!Categories,2,FALSE)</f>
        <v>Condiments</v>
      </c>
      <c r="P247" s="6">
        <f>VLOOKUP(A247,[1]Order_Details!$A$1:$F$2156,3,FALSE)</f>
        <v>16.8</v>
      </c>
      <c r="Q247">
        <f>VLOOKUP(A247,[1]Order_Details!$A$1:$F$2156,4,FALSE)</f>
        <v>15</v>
      </c>
      <c r="R247">
        <f>VLOOKUP(A247,[1]Order_Details!$A$1:$F$2156,5,FALSE)</f>
        <v>0.10000000149011612</v>
      </c>
      <c r="S247" s="6">
        <f>VLOOKUP(A247,[1]Order_Details!$A$1:$F$2156,6,FALSE)</f>
        <v>226.79999962449074</v>
      </c>
      <c r="T247" s="6">
        <f>VLOOKUP(A247,[1]!Orders,8,FALSE)</f>
        <v>10.64</v>
      </c>
    </row>
    <row r="248" spans="1:20" x14ac:dyDescent="0.3">
      <c r="A248" s="2">
        <v>10494</v>
      </c>
      <c r="B248" s="2" t="s">
        <v>36</v>
      </c>
      <c r="C248" s="2">
        <v>4</v>
      </c>
      <c r="D248" s="3">
        <v>35522</v>
      </c>
      <c r="E248" t="str">
        <f>VLOOKUP(C248,[1]Employees!$A$1:$O$10,4,FALSE)</f>
        <v>Peacock Margaret</v>
      </c>
      <c r="F248">
        <f>VLOOKUP(A248,[1]!Orders,7,FALSE)</f>
        <v>2</v>
      </c>
      <c r="G248" t="str">
        <f>VLOOKUP(F248,[1]!Shippers,2,FALSE)</f>
        <v>United Package</v>
      </c>
      <c r="H248" t="str">
        <f>VLOOKUP(C248,[1]EmployeeTerritories!$A$1:$B$50,2,FALSE)</f>
        <v>20852</v>
      </c>
      <c r="I248">
        <f>VLOOKUP(C248,[1]EmployeeTerritories!$A$1:$B$50,1,FALSE)</f>
        <v>4</v>
      </c>
      <c r="J248">
        <f>VLOOKUP(H248,[1]!Territories,3,FALSE)</f>
        <v>1</v>
      </c>
      <c r="K248" t="str">
        <f>VLOOKUP(J248,[1]!Region,2,FALSE)</f>
        <v>Eastern</v>
      </c>
      <c r="L248">
        <f>VLOOKUP(A248,[1]Order_Details!$A$1:$F$2156,2,FALSE)</f>
        <v>56</v>
      </c>
      <c r="M248" t="str">
        <f>VLOOKUP(L248,[1]!Products,2,FALSE)</f>
        <v>Gnocchi di nonna Alice</v>
      </c>
      <c r="N248">
        <f>VLOOKUP(L248,[1]!Products,4,FALSE)</f>
        <v>5</v>
      </c>
      <c r="O248" s="6" t="str">
        <f>VLOOKUP(N248,[1]!Categories,2,FALSE)</f>
        <v>Grains/Cereals</v>
      </c>
      <c r="P248" s="6">
        <f>VLOOKUP(A248,[1]Order_Details!$A$1:$F$2156,3,FALSE)</f>
        <v>30.4</v>
      </c>
      <c r="Q248">
        <f>VLOOKUP(A248,[1]Order_Details!$A$1:$F$2156,4,FALSE)</f>
        <v>30</v>
      </c>
      <c r="R248">
        <f>VLOOKUP(A248,[1]Order_Details!$A$1:$F$2156,5,FALSE)</f>
        <v>0</v>
      </c>
      <c r="S248" s="6">
        <f>VLOOKUP(A248,[1]Order_Details!$A$1:$F$2156,6,FALSE)</f>
        <v>912</v>
      </c>
      <c r="T248" s="6">
        <f>VLOOKUP(A248,[1]!Orders,8,FALSE)</f>
        <v>65.989999999999995</v>
      </c>
    </row>
    <row r="249" spans="1:20" x14ac:dyDescent="0.3">
      <c r="A249" s="2">
        <v>10495</v>
      </c>
      <c r="B249" s="2" t="s">
        <v>79</v>
      </c>
      <c r="C249" s="2">
        <v>3</v>
      </c>
      <c r="D249" s="3">
        <v>35523</v>
      </c>
      <c r="E249" t="str">
        <f>VLOOKUP(C249,[1]Employees!$A$1:$O$10,4,FALSE)</f>
        <v>Leverling Janet</v>
      </c>
      <c r="F249">
        <f>VLOOKUP(A249,[1]!Orders,7,FALSE)</f>
        <v>3</v>
      </c>
      <c r="G249" t="str">
        <f>VLOOKUP(F249,[1]!Shippers,2,FALSE)</f>
        <v>Federal Shipping</v>
      </c>
      <c r="H249" t="str">
        <f>VLOOKUP(C249,[1]EmployeeTerritories!$A$1:$B$50,2,FALSE)</f>
        <v>30346</v>
      </c>
      <c r="I249">
        <f>VLOOKUP(C249,[1]EmployeeTerritories!$A$1:$B$50,1,FALSE)</f>
        <v>3</v>
      </c>
      <c r="J249">
        <f>VLOOKUP(H249,[1]!Territories,3,FALSE)</f>
        <v>4</v>
      </c>
      <c r="K249" t="str">
        <f>VLOOKUP(J249,[1]!Region,2,FALSE)</f>
        <v>Southern</v>
      </c>
      <c r="L249">
        <f>VLOOKUP(A249,[1]Order_Details!$A$1:$F$2156,2,FALSE)</f>
        <v>23</v>
      </c>
      <c r="M249" t="str">
        <f>VLOOKUP(L249,[1]!Products,2,FALSE)</f>
        <v>Tunnbröd</v>
      </c>
      <c r="N249">
        <f>VLOOKUP(L249,[1]!Products,4,FALSE)</f>
        <v>5</v>
      </c>
      <c r="O249" s="6" t="str">
        <f>VLOOKUP(N249,[1]!Categories,2,FALSE)</f>
        <v>Grains/Cereals</v>
      </c>
      <c r="P249" s="6">
        <f>VLOOKUP(A249,[1]Order_Details!$A$1:$F$2156,3,FALSE)</f>
        <v>7.2</v>
      </c>
      <c r="Q249">
        <f>VLOOKUP(A249,[1]Order_Details!$A$1:$F$2156,4,FALSE)</f>
        <v>10</v>
      </c>
      <c r="R249">
        <f>VLOOKUP(A249,[1]Order_Details!$A$1:$F$2156,5,FALSE)</f>
        <v>0</v>
      </c>
      <c r="S249" s="6">
        <f>VLOOKUP(A249,[1]Order_Details!$A$1:$F$2156,6,FALSE)</f>
        <v>72</v>
      </c>
      <c r="T249" s="6">
        <f>VLOOKUP(A249,[1]!Orders,8,FALSE)</f>
        <v>4.6500000000000004</v>
      </c>
    </row>
    <row r="250" spans="1:20" x14ac:dyDescent="0.3">
      <c r="A250" s="2">
        <v>10496</v>
      </c>
      <c r="B250" s="2" t="s">
        <v>37</v>
      </c>
      <c r="C250" s="2">
        <v>7</v>
      </c>
      <c r="D250" s="3">
        <v>35524</v>
      </c>
      <c r="E250" t="str">
        <f>VLOOKUP(C250,[1]Employees!$A$1:$O$10,4,FALSE)</f>
        <v>King Robert</v>
      </c>
      <c r="F250">
        <f>VLOOKUP(A250,[1]!Orders,7,FALSE)</f>
        <v>2</v>
      </c>
      <c r="G250" t="str">
        <f>VLOOKUP(F250,[1]!Shippers,2,FALSE)</f>
        <v>United Package</v>
      </c>
      <c r="H250" t="str">
        <f>VLOOKUP(C250,[1]EmployeeTerritories!$A$1:$B$50,2,FALSE)</f>
        <v>60179</v>
      </c>
      <c r="I250">
        <f>VLOOKUP(C250,[1]EmployeeTerritories!$A$1:$B$50,1,FALSE)</f>
        <v>7</v>
      </c>
      <c r="J250">
        <f>VLOOKUP(H250,[1]!Territories,3,FALSE)</f>
        <v>2</v>
      </c>
      <c r="K250" t="str">
        <f>VLOOKUP(J250,[1]!Region,2,FALSE)</f>
        <v>Western</v>
      </c>
      <c r="L250">
        <f>VLOOKUP(A250,[1]Order_Details!$A$1:$F$2156,2,FALSE)</f>
        <v>31</v>
      </c>
      <c r="M250" t="str">
        <f>VLOOKUP(L250,[1]!Products,2,FALSE)</f>
        <v>Gorgonzola Telino</v>
      </c>
      <c r="N250">
        <f>VLOOKUP(L250,[1]!Products,4,FALSE)</f>
        <v>4</v>
      </c>
      <c r="O250" s="6" t="str">
        <f>VLOOKUP(N250,[1]!Categories,2,FALSE)</f>
        <v>Dairy Products</v>
      </c>
      <c r="P250" s="6">
        <f>VLOOKUP(A250,[1]Order_Details!$A$1:$F$2156,3,FALSE)</f>
        <v>10</v>
      </c>
      <c r="Q250">
        <f>VLOOKUP(A250,[1]Order_Details!$A$1:$F$2156,4,FALSE)</f>
        <v>20</v>
      </c>
      <c r="R250">
        <f>VLOOKUP(A250,[1]Order_Details!$A$1:$F$2156,5,FALSE)</f>
        <v>5.000000074505806E-2</v>
      </c>
      <c r="S250" s="6">
        <f>VLOOKUP(A250,[1]Order_Details!$A$1:$F$2156,6,FALSE)</f>
        <v>189.99999985098839</v>
      </c>
      <c r="T250" s="6">
        <f>VLOOKUP(A250,[1]!Orders,8,FALSE)</f>
        <v>46.77</v>
      </c>
    </row>
    <row r="251" spans="1:20" x14ac:dyDescent="0.3">
      <c r="A251" s="2">
        <v>10497</v>
      </c>
      <c r="B251" s="2" t="s">
        <v>30</v>
      </c>
      <c r="C251" s="2">
        <v>7</v>
      </c>
      <c r="D251" s="3">
        <v>35524</v>
      </c>
      <c r="E251" t="str">
        <f>VLOOKUP(C251,[1]Employees!$A$1:$O$10,4,FALSE)</f>
        <v>King Robert</v>
      </c>
      <c r="F251">
        <f>VLOOKUP(A251,[1]!Orders,7,FALSE)</f>
        <v>1</v>
      </c>
      <c r="G251" t="str">
        <f>VLOOKUP(F251,[1]!Shippers,2,FALSE)</f>
        <v>Speedy Express</v>
      </c>
      <c r="H251" t="str">
        <f>VLOOKUP(C251,[1]EmployeeTerritories!$A$1:$B$50,2,FALSE)</f>
        <v>60179</v>
      </c>
      <c r="I251">
        <f>VLOOKUP(C251,[1]EmployeeTerritories!$A$1:$B$50,1,FALSE)</f>
        <v>7</v>
      </c>
      <c r="J251">
        <f>VLOOKUP(H251,[1]!Territories,3,FALSE)</f>
        <v>2</v>
      </c>
      <c r="K251" t="str">
        <f>VLOOKUP(J251,[1]!Region,2,FALSE)</f>
        <v>Western</v>
      </c>
      <c r="L251">
        <f>VLOOKUP(A251,[1]Order_Details!$A$1:$F$2156,2,FALSE)</f>
        <v>56</v>
      </c>
      <c r="M251" t="str">
        <f>VLOOKUP(L251,[1]!Products,2,FALSE)</f>
        <v>Gnocchi di nonna Alice</v>
      </c>
      <c r="N251">
        <f>VLOOKUP(L251,[1]!Products,4,FALSE)</f>
        <v>5</v>
      </c>
      <c r="O251" s="6" t="str">
        <f>VLOOKUP(N251,[1]!Categories,2,FALSE)</f>
        <v>Grains/Cereals</v>
      </c>
      <c r="P251" s="6">
        <f>VLOOKUP(A251,[1]Order_Details!$A$1:$F$2156,3,FALSE)</f>
        <v>30.4</v>
      </c>
      <c r="Q251">
        <f>VLOOKUP(A251,[1]Order_Details!$A$1:$F$2156,4,FALSE)</f>
        <v>14</v>
      </c>
      <c r="R251">
        <f>VLOOKUP(A251,[1]Order_Details!$A$1:$F$2156,5,FALSE)</f>
        <v>0</v>
      </c>
      <c r="S251" s="6">
        <f>VLOOKUP(A251,[1]Order_Details!$A$1:$F$2156,6,FALSE)</f>
        <v>425.59999999999997</v>
      </c>
      <c r="T251" s="6">
        <f>VLOOKUP(A251,[1]!Orders,8,FALSE)</f>
        <v>36.21</v>
      </c>
    </row>
    <row r="252" spans="1:20" x14ac:dyDescent="0.3">
      <c r="A252" s="2">
        <v>10498</v>
      </c>
      <c r="B252" s="2" t="s">
        <v>12</v>
      </c>
      <c r="C252" s="2">
        <v>8</v>
      </c>
      <c r="D252" s="3">
        <v>35527</v>
      </c>
      <c r="E252" t="str">
        <f>VLOOKUP(C252,[1]Employees!$A$1:$O$10,4,FALSE)</f>
        <v>Callahan Laura</v>
      </c>
      <c r="F252">
        <f>VLOOKUP(A252,[1]!Orders,7,FALSE)</f>
        <v>2</v>
      </c>
      <c r="G252" t="str">
        <f>VLOOKUP(F252,[1]!Shippers,2,FALSE)</f>
        <v>United Package</v>
      </c>
      <c r="H252" t="str">
        <f>VLOOKUP(C252,[1]EmployeeTerritories!$A$1:$B$50,2,FALSE)</f>
        <v>19428</v>
      </c>
      <c r="I252">
        <f>VLOOKUP(C252,[1]EmployeeTerritories!$A$1:$B$50,1,FALSE)</f>
        <v>8</v>
      </c>
      <c r="J252">
        <f>VLOOKUP(H252,[1]!Territories,3,FALSE)</f>
        <v>3</v>
      </c>
      <c r="K252" t="str">
        <f>VLOOKUP(J252,[1]!Region,2,FALSE)</f>
        <v>Northern</v>
      </c>
      <c r="L252">
        <f>VLOOKUP(A252,[1]Order_Details!$A$1:$F$2156,2,FALSE)</f>
        <v>24</v>
      </c>
      <c r="M252" t="str">
        <f>VLOOKUP(L252,[1]!Products,2,FALSE)</f>
        <v>Guaraná Fantástica</v>
      </c>
      <c r="N252">
        <f>VLOOKUP(L252,[1]!Products,4,FALSE)</f>
        <v>1</v>
      </c>
      <c r="O252" s="6" t="str">
        <f>VLOOKUP(N252,[1]!Categories,2,FALSE)</f>
        <v>Beverages</v>
      </c>
      <c r="P252" s="6">
        <f>VLOOKUP(A252,[1]Order_Details!$A$1:$F$2156,3,FALSE)</f>
        <v>4.5</v>
      </c>
      <c r="Q252">
        <f>VLOOKUP(A252,[1]Order_Details!$A$1:$F$2156,4,FALSE)</f>
        <v>14</v>
      </c>
      <c r="R252">
        <f>VLOOKUP(A252,[1]Order_Details!$A$1:$F$2156,5,FALSE)</f>
        <v>0</v>
      </c>
      <c r="S252" s="6">
        <f>VLOOKUP(A252,[1]Order_Details!$A$1:$F$2156,6,FALSE)</f>
        <v>63</v>
      </c>
      <c r="T252" s="6">
        <f>VLOOKUP(A252,[1]!Orders,8,FALSE)</f>
        <v>29.75</v>
      </c>
    </row>
    <row r="253" spans="1:20" x14ac:dyDescent="0.3">
      <c r="A253" s="2">
        <v>10499</v>
      </c>
      <c r="B253" s="2" t="s">
        <v>32</v>
      </c>
      <c r="C253" s="2">
        <v>4</v>
      </c>
      <c r="D253" s="3">
        <v>35528</v>
      </c>
      <c r="E253" t="str">
        <f>VLOOKUP(C253,[1]Employees!$A$1:$O$10,4,FALSE)</f>
        <v>Peacock Margaret</v>
      </c>
      <c r="F253">
        <f>VLOOKUP(A253,[1]!Orders,7,FALSE)</f>
        <v>2</v>
      </c>
      <c r="G253" t="str">
        <f>VLOOKUP(F253,[1]!Shippers,2,FALSE)</f>
        <v>United Package</v>
      </c>
      <c r="H253" t="str">
        <f>VLOOKUP(C253,[1]EmployeeTerritories!$A$1:$B$50,2,FALSE)</f>
        <v>20852</v>
      </c>
      <c r="I253">
        <f>VLOOKUP(C253,[1]EmployeeTerritories!$A$1:$B$50,1,FALSE)</f>
        <v>4</v>
      </c>
      <c r="J253">
        <f>VLOOKUP(H253,[1]!Territories,3,FALSE)</f>
        <v>1</v>
      </c>
      <c r="K253" t="str">
        <f>VLOOKUP(J253,[1]!Region,2,FALSE)</f>
        <v>Eastern</v>
      </c>
      <c r="L253">
        <f>VLOOKUP(A253,[1]Order_Details!$A$1:$F$2156,2,FALSE)</f>
        <v>28</v>
      </c>
      <c r="M253" t="str">
        <f>VLOOKUP(L253,[1]!Products,2,FALSE)</f>
        <v>Rössle Sauerkraut</v>
      </c>
      <c r="N253">
        <f>VLOOKUP(L253,[1]!Products,4,FALSE)</f>
        <v>7</v>
      </c>
      <c r="O253" s="6" t="str">
        <f>VLOOKUP(N253,[1]!Categories,2,FALSE)</f>
        <v>Produce</v>
      </c>
      <c r="P253" s="6">
        <f>VLOOKUP(A253,[1]Order_Details!$A$1:$F$2156,3,FALSE)</f>
        <v>45.6</v>
      </c>
      <c r="Q253">
        <f>VLOOKUP(A253,[1]Order_Details!$A$1:$F$2156,4,FALSE)</f>
        <v>20</v>
      </c>
      <c r="R253">
        <f>VLOOKUP(A253,[1]Order_Details!$A$1:$F$2156,5,FALSE)</f>
        <v>0</v>
      </c>
      <c r="S253" s="6">
        <f>VLOOKUP(A253,[1]Order_Details!$A$1:$F$2156,6,FALSE)</f>
        <v>912</v>
      </c>
      <c r="T253" s="6">
        <f>VLOOKUP(A253,[1]!Orders,8,FALSE)</f>
        <v>102.02</v>
      </c>
    </row>
    <row r="254" spans="1:20" x14ac:dyDescent="0.3">
      <c r="A254" s="2">
        <v>10500</v>
      </c>
      <c r="B254" s="2" t="s">
        <v>57</v>
      </c>
      <c r="C254" s="2">
        <v>6</v>
      </c>
      <c r="D254" s="3">
        <v>35529</v>
      </c>
      <c r="E254" t="str">
        <f>VLOOKUP(C254,[1]Employees!$A$1:$O$10,4,FALSE)</f>
        <v>Suyama Michael</v>
      </c>
      <c r="F254">
        <f>VLOOKUP(A254,[1]!Orders,7,FALSE)</f>
        <v>1</v>
      </c>
      <c r="G254" t="str">
        <f>VLOOKUP(F254,[1]!Shippers,2,FALSE)</f>
        <v>Speedy Express</v>
      </c>
      <c r="H254" t="str">
        <f>VLOOKUP(C254,[1]EmployeeTerritories!$A$1:$B$50,2,FALSE)</f>
        <v>85014</v>
      </c>
      <c r="I254">
        <f>VLOOKUP(C254,[1]EmployeeTerritories!$A$1:$B$50,1,FALSE)</f>
        <v>6</v>
      </c>
      <c r="J254">
        <f>VLOOKUP(H254,[1]!Territories,3,FALSE)</f>
        <v>2</v>
      </c>
      <c r="K254" t="str">
        <f>VLOOKUP(J254,[1]!Region,2,FALSE)</f>
        <v>Western</v>
      </c>
      <c r="L254">
        <f>VLOOKUP(A254,[1]Order_Details!$A$1:$F$2156,2,FALSE)</f>
        <v>15</v>
      </c>
      <c r="M254" t="str">
        <f>VLOOKUP(L254,[1]!Products,2,FALSE)</f>
        <v>Genen Shouyu</v>
      </c>
      <c r="N254">
        <f>VLOOKUP(L254,[1]!Products,4,FALSE)</f>
        <v>2</v>
      </c>
      <c r="O254" s="6" t="str">
        <f>VLOOKUP(N254,[1]!Categories,2,FALSE)</f>
        <v>Condiments</v>
      </c>
      <c r="P254" s="6">
        <f>VLOOKUP(A254,[1]Order_Details!$A$1:$F$2156,3,FALSE)</f>
        <v>15.5</v>
      </c>
      <c r="Q254">
        <f>VLOOKUP(A254,[1]Order_Details!$A$1:$F$2156,4,FALSE)</f>
        <v>12</v>
      </c>
      <c r="R254">
        <f>VLOOKUP(A254,[1]Order_Details!$A$1:$F$2156,5,FALSE)</f>
        <v>5.000000074505806E-2</v>
      </c>
      <c r="S254" s="6">
        <f>VLOOKUP(A254,[1]Order_Details!$A$1:$F$2156,6,FALSE)</f>
        <v>176.6999998614192</v>
      </c>
      <c r="T254" s="6">
        <f>VLOOKUP(A254,[1]!Orders,8,FALSE)</f>
        <v>42.68</v>
      </c>
    </row>
    <row r="255" spans="1:20" x14ac:dyDescent="0.3">
      <c r="A255" s="2">
        <v>10501</v>
      </c>
      <c r="B255" s="2" t="s">
        <v>80</v>
      </c>
      <c r="C255" s="2">
        <v>9</v>
      </c>
      <c r="D255" s="3">
        <v>35529</v>
      </c>
      <c r="E255" t="str">
        <f>VLOOKUP(C255,[1]Employees!$A$1:$O$10,4,FALSE)</f>
        <v>Dodsworth Anne</v>
      </c>
      <c r="F255">
        <f>VLOOKUP(A255,[1]!Orders,7,FALSE)</f>
        <v>3</v>
      </c>
      <c r="G255" t="str">
        <f>VLOOKUP(F255,[1]!Shippers,2,FALSE)</f>
        <v>Federal Shipping</v>
      </c>
      <c r="H255" t="str">
        <f>VLOOKUP(C255,[1]EmployeeTerritories!$A$1:$B$50,2,FALSE)</f>
        <v>03049</v>
      </c>
      <c r="I255">
        <f>VLOOKUP(C255,[1]EmployeeTerritories!$A$1:$B$50,1,FALSE)</f>
        <v>9</v>
      </c>
      <c r="J255">
        <f>VLOOKUP(H255,[1]!Territories,3,FALSE)</f>
        <v>3</v>
      </c>
      <c r="K255" t="str">
        <f>VLOOKUP(J255,[1]!Region,2,FALSE)</f>
        <v>Northern</v>
      </c>
      <c r="L255">
        <f>VLOOKUP(A255,[1]Order_Details!$A$1:$F$2156,2,FALSE)</f>
        <v>54</v>
      </c>
      <c r="M255" t="str">
        <f>VLOOKUP(L255,[1]!Products,2,FALSE)</f>
        <v>Tourtière</v>
      </c>
      <c r="N255">
        <f>VLOOKUP(L255,[1]!Products,4,FALSE)</f>
        <v>6</v>
      </c>
      <c r="O255" s="6" t="str">
        <f>VLOOKUP(N255,[1]!Categories,2,FALSE)</f>
        <v>Meat/Poultry</v>
      </c>
      <c r="P255" s="6">
        <f>VLOOKUP(A255,[1]Order_Details!$A$1:$F$2156,3,FALSE)</f>
        <v>7.45</v>
      </c>
      <c r="Q255">
        <f>VLOOKUP(A255,[1]Order_Details!$A$1:$F$2156,4,FALSE)</f>
        <v>20</v>
      </c>
      <c r="R255">
        <f>VLOOKUP(A255,[1]Order_Details!$A$1:$F$2156,5,FALSE)</f>
        <v>0</v>
      </c>
      <c r="S255" s="6">
        <f>VLOOKUP(A255,[1]Order_Details!$A$1:$F$2156,6,FALSE)</f>
        <v>149</v>
      </c>
      <c r="T255" s="6">
        <f>VLOOKUP(A255,[1]!Orders,8,FALSE)</f>
        <v>8.85</v>
      </c>
    </row>
    <row r="256" spans="1:20" x14ac:dyDescent="0.3">
      <c r="A256" s="2">
        <v>10502</v>
      </c>
      <c r="B256" s="2" t="s">
        <v>47</v>
      </c>
      <c r="C256" s="2">
        <v>2</v>
      </c>
      <c r="D256" s="3">
        <v>35530</v>
      </c>
      <c r="E256" t="str">
        <f>VLOOKUP(C256,[1]Employees!$A$1:$O$10,4,FALSE)</f>
        <v>Fuller Andrew</v>
      </c>
      <c r="F256">
        <f>VLOOKUP(A256,[1]!Orders,7,FALSE)</f>
        <v>1</v>
      </c>
      <c r="G256" t="str">
        <f>VLOOKUP(F256,[1]!Shippers,2,FALSE)</f>
        <v>Speedy Express</v>
      </c>
      <c r="H256" t="str">
        <f>VLOOKUP(C256,[1]EmployeeTerritories!$A$1:$B$50,2,FALSE)</f>
        <v>01581</v>
      </c>
      <c r="I256">
        <f>VLOOKUP(C256,[1]EmployeeTerritories!$A$1:$B$50,1,FALSE)</f>
        <v>2</v>
      </c>
      <c r="J256">
        <f>VLOOKUP(H256,[1]!Territories,3,FALSE)</f>
        <v>1</v>
      </c>
      <c r="K256" t="str">
        <f>VLOOKUP(J256,[1]!Region,2,FALSE)</f>
        <v>Eastern</v>
      </c>
      <c r="L256">
        <f>VLOOKUP(A256,[1]Order_Details!$A$1:$F$2156,2,FALSE)</f>
        <v>45</v>
      </c>
      <c r="M256" t="str">
        <f>VLOOKUP(L256,[1]!Products,2,FALSE)</f>
        <v>Rogede sild</v>
      </c>
      <c r="N256">
        <f>VLOOKUP(L256,[1]!Products,4,FALSE)</f>
        <v>8</v>
      </c>
      <c r="O256" s="6" t="str">
        <f>VLOOKUP(N256,[1]!Categories,2,FALSE)</f>
        <v>Seafood</v>
      </c>
      <c r="P256" s="6">
        <f>VLOOKUP(A256,[1]Order_Details!$A$1:$F$2156,3,FALSE)</f>
        <v>9.5</v>
      </c>
      <c r="Q256">
        <f>VLOOKUP(A256,[1]Order_Details!$A$1:$F$2156,4,FALSE)</f>
        <v>21</v>
      </c>
      <c r="R256">
        <f>VLOOKUP(A256,[1]Order_Details!$A$1:$F$2156,5,FALSE)</f>
        <v>0</v>
      </c>
      <c r="S256" s="6">
        <f>VLOOKUP(A256,[1]Order_Details!$A$1:$F$2156,6,FALSE)</f>
        <v>199.5</v>
      </c>
      <c r="T256" s="6">
        <f>VLOOKUP(A256,[1]!Orders,8,FALSE)</f>
        <v>69.319999999999993</v>
      </c>
    </row>
    <row r="257" spans="1:20" x14ac:dyDescent="0.3">
      <c r="A257" s="2">
        <v>10503</v>
      </c>
      <c r="B257" s="2" t="s">
        <v>38</v>
      </c>
      <c r="C257" s="2">
        <v>6</v>
      </c>
      <c r="D257" s="3">
        <v>35531</v>
      </c>
      <c r="E257" t="str">
        <f>VLOOKUP(C257,[1]Employees!$A$1:$O$10,4,FALSE)</f>
        <v>Suyama Michael</v>
      </c>
      <c r="F257">
        <f>VLOOKUP(A257,[1]!Orders,7,FALSE)</f>
        <v>2</v>
      </c>
      <c r="G257" t="str">
        <f>VLOOKUP(F257,[1]!Shippers,2,FALSE)</f>
        <v>United Package</v>
      </c>
      <c r="H257" t="str">
        <f>VLOOKUP(C257,[1]EmployeeTerritories!$A$1:$B$50,2,FALSE)</f>
        <v>85014</v>
      </c>
      <c r="I257">
        <f>VLOOKUP(C257,[1]EmployeeTerritories!$A$1:$B$50,1,FALSE)</f>
        <v>6</v>
      </c>
      <c r="J257">
        <f>VLOOKUP(H257,[1]!Territories,3,FALSE)</f>
        <v>2</v>
      </c>
      <c r="K257" t="str">
        <f>VLOOKUP(J257,[1]!Region,2,FALSE)</f>
        <v>Western</v>
      </c>
      <c r="L257">
        <f>VLOOKUP(A257,[1]Order_Details!$A$1:$F$2156,2,FALSE)</f>
        <v>14</v>
      </c>
      <c r="M257" t="str">
        <f>VLOOKUP(L257,[1]!Products,2,FALSE)</f>
        <v>Tofu</v>
      </c>
      <c r="N257">
        <f>VLOOKUP(L257,[1]!Products,4,FALSE)</f>
        <v>7</v>
      </c>
      <c r="O257" s="6" t="str">
        <f>VLOOKUP(N257,[1]!Categories,2,FALSE)</f>
        <v>Produce</v>
      </c>
      <c r="P257" s="6">
        <f>VLOOKUP(A257,[1]Order_Details!$A$1:$F$2156,3,FALSE)</f>
        <v>23.25</v>
      </c>
      <c r="Q257">
        <f>VLOOKUP(A257,[1]Order_Details!$A$1:$F$2156,4,FALSE)</f>
        <v>70</v>
      </c>
      <c r="R257">
        <f>VLOOKUP(A257,[1]Order_Details!$A$1:$F$2156,5,FALSE)</f>
        <v>0</v>
      </c>
      <c r="S257" s="6">
        <f>VLOOKUP(A257,[1]Order_Details!$A$1:$F$2156,6,FALSE)</f>
        <v>1627.5</v>
      </c>
      <c r="T257" s="6">
        <f>VLOOKUP(A257,[1]!Orders,8,FALSE)</f>
        <v>16.739999999999998</v>
      </c>
    </row>
    <row r="258" spans="1:20" x14ac:dyDescent="0.3">
      <c r="A258" s="2">
        <v>10504</v>
      </c>
      <c r="B258" s="2" t="s">
        <v>23</v>
      </c>
      <c r="C258" s="2">
        <v>4</v>
      </c>
      <c r="D258" s="3">
        <v>35531</v>
      </c>
      <c r="E258" t="str">
        <f>VLOOKUP(C258,[1]Employees!$A$1:$O$10,4,FALSE)</f>
        <v>Peacock Margaret</v>
      </c>
      <c r="F258">
        <f>VLOOKUP(A258,[1]!Orders,7,FALSE)</f>
        <v>3</v>
      </c>
      <c r="G258" t="str">
        <f>VLOOKUP(F258,[1]!Shippers,2,FALSE)</f>
        <v>Federal Shipping</v>
      </c>
      <c r="H258" t="str">
        <f>VLOOKUP(C258,[1]EmployeeTerritories!$A$1:$B$50,2,FALSE)</f>
        <v>20852</v>
      </c>
      <c r="I258">
        <f>VLOOKUP(C258,[1]EmployeeTerritories!$A$1:$B$50,1,FALSE)</f>
        <v>4</v>
      </c>
      <c r="J258">
        <f>VLOOKUP(H258,[1]!Territories,3,FALSE)</f>
        <v>1</v>
      </c>
      <c r="K258" t="str">
        <f>VLOOKUP(J258,[1]!Region,2,FALSE)</f>
        <v>Eastern</v>
      </c>
      <c r="L258">
        <f>VLOOKUP(A258,[1]Order_Details!$A$1:$F$2156,2,FALSE)</f>
        <v>2</v>
      </c>
      <c r="M258" t="str">
        <f>VLOOKUP(L258,[1]!Products,2,FALSE)</f>
        <v>Chang</v>
      </c>
      <c r="N258">
        <f>VLOOKUP(L258,[1]!Products,4,FALSE)</f>
        <v>1</v>
      </c>
      <c r="O258" s="6" t="str">
        <f>VLOOKUP(N258,[1]!Categories,2,FALSE)</f>
        <v>Beverages</v>
      </c>
      <c r="P258" s="6">
        <f>VLOOKUP(A258,[1]Order_Details!$A$1:$F$2156,3,FALSE)</f>
        <v>19</v>
      </c>
      <c r="Q258">
        <f>VLOOKUP(A258,[1]Order_Details!$A$1:$F$2156,4,FALSE)</f>
        <v>12</v>
      </c>
      <c r="R258">
        <f>VLOOKUP(A258,[1]Order_Details!$A$1:$F$2156,5,FALSE)</f>
        <v>0</v>
      </c>
      <c r="S258" s="6">
        <f>VLOOKUP(A258,[1]Order_Details!$A$1:$F$2156,6,FALSE)</f>
        <v>228</v>
      </c>
      <c r="T258" s="6">
        <f>VLOOKUP(A258,[1]!Orders,8,FALSE)</f>
        <v>59.13</v>
      </c>
    </row>
    <row r="259" spans="1:20" x14ac:dyDescent="0.3">
      <c r="A259" s="2">
        <v>10505</v>
      </c>
      <c r="B259" s="2" t="s">
        <v>53</v>
      </c>
      <c r="C259" s="2">
        <v>3</v>
      </c>
      <c r="D259" s="3">
        <v>35534</v>
      </c>
      <c r="E259" t="str">
        <f>VLOOKUP(C259,[1]Employees!$A$1:$O$10,4,FALSE)</f>
        <v>Leverling Janet</v>
      </c>
      <c r="F259">
        <f>VLOOKUP(A259,[1]!Orders,7,FALSE)</f>
        <v>3</v>
      </c>
      <c r="G259" t="str">
        <f>VLOOKUP(F259,[1]!Shippers,2,FALSE)</f>
        <v>Federal Shipping</v>
      </c>
      <c r="H259" t="str">
        <f>VLOOKUP(C259,[1]EmployeeTerritories!$A$1:$B$50,2,FALSE)</f>
        <v>30346</v>
      </c>
      <c r="I259">
        <f>VLOOKUP(C259,[1]EmployeeTerritories!$A$1:$B$50,1,FALSE)</f>
        <v>3</v>
      </c>
      <c r="J259">
        <f>VLOOKUP(H259,[1]!Territories,3,FALSE)</f>
        <v>4</v>
      </c>
      <c r="K259" t="str">
        <f>VLOOKUP(J259,[1]!Region,2,FALSE)</f>
        <v>Southern</v>
      </c>
      <c r="L259">
        <f>VLOOKUP(A259,[1]Order_Details!$A$1:$F$2156,2,FALSE)</f>
        <v>62</v>
      </c>
      <c r="M259" t="str">
        <f>VLOOKUP(L259,[1]!Products,2,FALSE)</f>
        <v>Tarte au sucre</v>
      </c>
      <c r="N259">
        <f>VLOOKUP(L259,[1]!Products,4,FALSE)</f>
        <v>3</v>
      </c>
      <c r="O259" s="6" t="str">
        <f>VLOOKUP(N259,[1]!Categories,2,FALSE)</f>
        <v>Confections</v>
      </c>
      <c r="P259" s="6">
        <f>VLOOKUP(A259,[1]Order_Details!$A$1:$F$2156,3,FALSE)</f>
        <v>49.3</v>
      </c>
      <c r="Q259">
        <f>VLOOKUP(A259,[1]Order_Details!$A$1:$F$2156,4,FALSE)</f>
        <v>3</v>
      </c>
      <c r="R259">
        <f>VLOOKUP(A259,[1]Order_Details!$A$1:$F$2156,5,FALSE)</f>
        <v>0</v>
      </c>
      <c r="S259" s="6">
        <f>VLOOKUP(A259,[1]Order_Details!$A$1:$F$2156,6,FALSE)</f>
        <v>147.89999999999998</v>
      </c>
      <c r="T259" s="6">
        <f>VLOOKUP(A259,[1]!Orders,8,FALSE)</f>
        <v>7.13</v>
      </c>
    </row>
    <row r="260" spans="1:20" x14ac:dyDescent="0.3">
      <c r="A260" s="2">
        <v>10506</v>
      </c>
      <c r="B260" s="2" t="s">
        <v>48</v>
      </c>
      <c r="C260" s="2">
        <v>9</v>
      </c>
      <c r="D260" s="3">
        <v>35535</v>
      </c>
      <c r="E260" t="str">
        <f>VLOOKUP(C260,[1]Employees!$A$1:$O$10,4,FALSE)</f>
        <v>Dodsworth Anne</v>
      </c>
      <c r="F260">
        <f>VLOOKUP(A260,[1]!Orders,7,FALSE)</f>
        <v>2</v>
      </c>
      <c r="G260" t="str">
        <f>VLOOKUP(F260,[1]!Shippers,2,FALSE)</f>
        <v>United Package</v>
      </c>
      <c r="H260" t="str">
        <f>VLOOKUP(C260,[1]EmployeeTerritories!$A$1:$B$50,2,FALSE)</f>
        <v>03049</v>
      </c>
      <c r="I260">
        <f>VLOOKUP(C260,[1]EmployeeTerritories!$A$1:$B$50,1,FALSE)</f>
        <v>9</v>
      </c>
      <c r="J260">
        <f>VLOOKUP(H260,[1]!Territories,3,FALSE)</f>
        <v>3</v>
      </c>
      <c r="K260" t="str">
        <f>VLOOKUP(J260,[1]!Region,2,FALSE)</f>
        <v>Northern</v>
      </c>
      <c r="L260">
        <f>VLOOKUP(A260,[1]Order_Details!$A$1:$F$2156,2,FALSE)</f>
        <v>25</v>
      </c>
      <c r="M260" t="str">
        <f>VLOOKUP(L260,[1]!Products,2,FALSE)</f>
        <v>NuNuCa Nuß-Nougat-Creme</v>
      </c>
      <c r="N260">
        <f>VLOOKUP(L260,[1]!Products,4,FALSE)</f>
        <v>3</v>
      </c>
      <c r="O260" s="6" t="str">
        <f>VLOOKUP(N260,[1]!Categories,2,FALSE)</f>
        <v>Confections</v>
      </c>
      <c r="P260" s="6">
        <f>VLOOKUP(A260,[1]Order_Details!$A$1:$F$2156,3,FALSE)</f>
        <v>14</v>
      </c>
      <c r="Q260">
        <f>VLOOKUP(A260,[1]Order_Details!$A$1:$F$2156,4,FALSE)</f>
        <v>18</v>
      </c>
      <c r="R260">
        <f>VLOOKUP(A260,[1]Order_Details!$A$1:$F$2156,5,FALSE)</f>
        <v>0.10000000149011612</v>
      </c>
      <c r="S260" s="6">
        <f>VLOOKUP(A260,[1]Order_Details!$A$1:$F$2156,6,FALSE)</f>
        <v>226.79999962449074</v>
      </c>
      <c r="T260" s="6">
        <f>VLOOKUP(A260,[1]!Orders,8,FALSE)</f>
        <v>21.19</v>
      </c>
    </row>
    <row r="261" spans="1:20" x14ac:dyDescent="0.3">
      <c r="A261" s="2">
        <v>10507</v>
      </c>
      <c r="B261" s="2" t="s">
        <v>63</v>
      </c>
      <c r="C261" s="2">
        <v>7</v>
      </c>
      <c r="D261" s="3">
        <v>35535</v>
      </c>
      <c r="E261" t="str">
        <f>VLOOKUP(C261,[1]Employees!$A$1:$O$10,4,FALSE)</f>
        <v>King Robert</v>
      </c>
      <c r="F261">
        <f>VLOOKUP(A261,[1]!Orders,7,FALSE)</f>
        <v>1</v>
      </c>
      <c r="G261" t="str">
        <f>VLOOKUP(F261,[1]!Shippers,2,FALSE)</f>
        <v>Speedy Express</v>
      </c>
      <c r="H261" t="str">
        <f>VLOOKUP(C261,[1]EmployeeTerritories!$A$1:$B$50,2,FALSE)</f>
        <v>60179</v>
      </c>
      <c r="I261">
        <f>VLOOKUP(C261,[1]EmployeeTerritories!$A$1:$B$50,1,FALSE)</f>
        <v>7</v>
      </c>
      <c r="J261">
        <f>VLOOKUP(H261,[1]!Territories,3,FALSE)</f>
        <v>2</v>
      </c>
      <c r="K261" t="str">
        <f>VLOOKUP(J261,[1]!Region,2,FALSE)</f>
        <v>Western</v>
      </c>
      <c r="L261">
        <f>VLOOKUP(A261,[1]Order_Details!$A$1:$F$2156,2,FALSE)</f>
        <v>43</v>
      </c>
      <c r="M261" t="str">
        <f>VLOOKUP(L261,[1]!Products,2,FALSE)</f>
        <v>Ipoh Coffee</v>
      </c>
      <c r="N261">
        <f>VLOOKUP(L261,[1]!Products,4,FALSE)</f>
        <v>1</v>
      </c>
      <c r="O261" s="6" t="str">
        <f>VLOOKUP(N261,[1]!Categories,2,FALSE)</f>
        <v>Beverages</v>
      </c>
      <c r="P261" s="6">
        <f>VLOOKUP(A261,[1]Order_Details!$A$1:$F$2156,3,FALSE)</f>
        <v>46</v>
      </c>
      <c r="Q261">
        <f>VLOOKUP(A261,[1]Order_Details!$A$1:$F$2156,4,FALSE)</f>
        <v>15</v>
      </c>
      <c r="R261">
        <f>VLOOKUP(A261,[1]Order_Details!$A$1:$F$2156,5,FALSE)</f>
        <v>0.15000000596046448</v>
      </c>
      <c r="S261" s="6">
        <f>VLOOKUP(A261,[1]Order_Details!$A$1:$F$2156,6,FALSE)</f>
        <v>586.49999588727951</v>
      </c>
      <c r="T261" s="6">
        <f>VLOOKUP(A261,[1]!Orders,8,FALSE)</f>
        <v>47.45</v>
      </c>
    </row>
    <row r="262" spans="1:20" x14ac:dyDescent="0.3">
      <c r="A262" s="2">
        <v>10508</v>
      </c>
      <c r="B262" s="2" t="s">
        <v>15</v>
      </c>
      <c r="C262" s="2">
        <v>1</v>
      </c>
      <c r="D262" s="3">
        <v>35536</v>
      </c>
      <c r="E262" t="str">
        <f>VLOOKUP(C262,[1]Employees!$A$1:$O$10,4,FALSE)</f>
        <v>Davolio Nancy</v>
      </c>
      <c r="F262">
        <f>VLOOKUP(A262,[1]!Orders,7,FALSE)</f>
        <v>2</v>
      </c>
      <c r="G262" t="str">
        <f>VLOOKUP(F262,[1]!Shippers,2,FALSE)</f>
        <v>United Package</v>
      </c>
      <c r="H262" t="str">
        <f>VLOOKUP(C262,[1]EmployeeTerritories!$A$1:$B$50,2,FALSE)</f>
        <v>06897</v>
      </c>
      <c r="I262">
        <f>VLOOKUP(C262,[1]EmployeeTerritories!$A$1:$B$50,1,FALSE)</f>
        <v>1</v>
      </c>
      <c r="J262">
        <f>VLOOKUP(H262,[1]!Territories,3,FALSE)</f>
        <v>1</v>
      </c>
      <c r="K262" t="str">
        <f>VLOOKUP(J262,[1]!Region,2,FALSE)</f>
        <v>Eastern</v>
      </c>
      <c r="L262">
        <f>VLOOKUP(A262,[1]Order_Details!$A$1:$F$2156,2,FALSE)</f>
        <v>13</v>
      </c>
      <c r="M262" t="str">
        <f>VLOOKUP(L262,[1]!Products,2,FALSE)</f>
        <v>Konbu</v>
      </c>
      <c r="N262">
        <f>VLOOKUP(L262,[1]!Products,4,FALSE)</f>
        <v>8</v>
      </c>
      <c r="O262" s="6" t="str">
        <f>VLOOKUP(N262,[1]!Categories,2,FALSE)</f>
        <v>Seafood</v>
      </c>
      <c r="P262" s="6">
        <f>VLOOKUP(A262,[1]Order_Details!$A$1:$F$2156,3,FALSE)</f>
        <v>6</v>
      </c>
      <c r="Q262">
        <f>VLOOKUP(A262,[1]Order_Details!$A$1:$F$2156,4,FALSE)</f>
        <v>10</v>
      </c>
      <c r="R262">
        <f>VLOOKUP(A262,[1]Order_Details!$A$1:$F$2156,5,FALSE)</f>
        <v>0</v>
      </c>
      <c r="S262" s="6">
        <f>VLOOKUP(A262,[1]Order_Details!$A$1:$F$2156,6,FALSE)</f>
        <v>60</v>
      </c>
      <c r="T262" s="6">
        <f>VLOOKUP(A262,[1]!Orders,8,FALSE)</f>
        <v>4.99</v>
      </c>
    </row>
    <row r="263" spans="1:20" x14ac:dyDescent="0.3">
      <c r="A263" s="2">
        <v>10509</v>
      </c>
      <c r="B263" s="2" t="s">
        <v>80</v>
      </c>
      <c r="C263" s="2">
        <v>4</v>
      </c>
      <c r="D263" s="3">
        <v>35537</v>
      </c>
      <c r="E263" t="str">
        <f>VLOOKUP(C263,[1]Employees!$A$1:$O$10,4,FALSE)</f>
        <v>Peacock Margaret</v>
      </c>
      <c r="F263">
        <f>VLOOKUP(A263,[1]!Orders,7,FALSE)</f>
        <v>1</v>
      </c>
      <c r="G263" t="str">
        <f>VLOOKUP(F263,[1]!Shippers,2,FALSE)</f>
        <v>Speedy Express</v>
      </c>
      <c r="H263" t="str">
        <f>VLOOKUP(C263,[1]EmployeeTerritories!$A$1:$B$50,2,FALSE)</f>
        <v>20852</v>
      </c>
      <c r="I263">
        <f>VLOOKUP(C263,[1]EmployeeTerritories!$A$1:$B$50,1,FALSE)</f>
        <v>4</v>
      </c>
      <c r="J263">
        <f>VLOOKUP(H263,[1]!Territories,3,FALSE)</f>
        <v>1</v>
      </c>
      <c r="K263" t="str">
        <f>VLOOKUP(J263,[1]!Region,2,FALSE)</f>
        <v>Eastern</v>
      </c>
      <c r="L263">
        <f>VLOOKUP(A263,[1]Order_Details!$A$1:$F$2156,2,FALSE)</f>
        <v>28</v>
      </c>
      <c r="M263" t="str">
        <f>VLOOKUP(L263,[1]!Products,2,FALSE)</f>
        <v>Rössle Sauerkraut</v>
      </c>
      <c r="N263">
        <f>VLOOKUP(L263,[1]!Products,4,FALSE)</f>
        <v>7</v>
      </c>
      <c r="O263" s="6" t="str">
        <f>VLOOKUP(N263,[1]!Categories,2,FALSE)</f>
        <v>Produce</v>
      </c>
      <c r="P263" s="6">
        <f>VLOOKUP(A263,[1]Order_Details!$A$1:$F$2156,3,FALSE)</f>
        <v>45.6</v>
      </c>
      <c r="Q263">
        <f>VLOOKUP(A263,[1]Order_Details!$A$1:$F$2156,4,FALSE)</f>
        <v>3</v>
      </c>
      <c r="R263">
        <f>VLOOKUP(A263,[1]Order_Details!$A$1:$F$2156,5,FALSE)</f>
        <v>0</v>
      </c>
      <c r="S263" s="6">
        <f>VLOOKUP(A263,[1]Order_Details!$A$1:$F$2156,6,FALSE)</f>
        <v>136.80000000000001</v>
      </c>
      <c r="T263" s="6">
        <f>VLOOKUP(A263,[1]!Orders,8,FALSE)</f>
        <v>0.15</v>
      </c>
    </row>
    <row r="264" spans="1:20" x14ac:dyDescent="0.3">
      <c r="A264" s="2">
        <v>10510</v>
      </c>
      <c r="B264" s="2" t="s">
        <v>49</v>
      </c>
      <c r="C264" s="2">
        <v>6</v>
      </c>
      <c r="D264" s="3">
        <v>35538</v>
      </c>
      <c r="E264" t="str">
        <f>VLOOKUP(C264,[1]Employees!$A$1:$O$10,4,FALSE)</f>
        <v>Suyama Michael</v>
      </c>
      <c r="F264">
        <f>VLOOKUP(A264,[1]!Orders,7,FALSE)</f>
        <v>3</v>
      </c>
      <c r="G264" t="str">
        <f>VLOOKUP(F264,[1]!Shippers,2,FALSE)</f>
        <v>Federal Shipping</v>
      </c>
      <c r="H264" t="str">
        <f>VLOOKUP(C264,[1]EmployeeTerritories!$A$1:$B$50,2,FALSE)</f>
        <v>85014</v>
      </c>
      <c r="I264">
        <f>VLOOKUP(C264,[1]EmployeeTerritories!$A$1:$B$50,1,FALSE)</f>
        <v>6</v>
      </c>
      <c r="J264">
        <f>VLOOKUP(H264,[1]!Territories,3,FALSE)</f>
        <v>2</v>
      </c>
      <c r="K264" t="str">
        <f>VLOOKUP(J264,[1]!Region,2,FALSE)</f>
        <v>Western</v>
      </c>
      <c r="L264">
        <f>VLOOKUP(A264,[1]Order_Details!$A$1:$F$2156,2,FALSE)</f>
        <v>29</v>
      </c>
      <c r="M264" t="str">
        <f>VLOOKUP(L264,[1]!Products,2,FALSE)</f>
        <v>Thüringer Rostbratwurst</v>
      </c>
      <c r="N264">
        <f>VLOOKUP(L264,[1]!Products,4,FALSE)</f>
        <v>6</v>
      </c>
      <c r="O264" s="6" t="str">
        <f>VLOOKUP(N264,[1]!Categories,2,FALSE)</f>
        <v>Meat/Poultry</v>
      </c>
      <c r="P264" s="6">
        <f>VLOOKUP(A264,[1]Order_Details!$A$1:$F$2156,3,FALSE)</f>
        <v>123.79</v>
      </c>
      <c r="Q264">
        <f>VLOOKUP(A264,[1]Order_Details!$A$1:$F$2156,4,FALSE)</f>
        <v>36</v>
      </c>
      <c r="R264">
        <f>VLOOKUP(A264,[1]Order_Details!$A$1:$F$2156,5,FALSE)</f>
        <v>0</v>
      </c>
      <c r="S264" s="6">
        <f>VLOOKUP(A264,[1]Order_Details!$A$1:$F$2156,6,FALSE)</f>
        <v>4456.4400000000005</v>
      </c>
      <c r="T264" s="6">
        <f>VLOOKUP(A264,[1]!Orders,8,FALSE)</f>
        <v>367.63</v>
      </c>
    </row>
    <row r="265" spans="1:20" x14ac:dyDescent="0.3">
      <c r="A265" s="2">
        <v>10511</v>
      </c>
      <c r="B265" s="2" t="s">
        <v>52</v>
      </c>
      <c r="C265" s="2">
        <v>4</v>
      </c>
      <c r="D265" s="3">
        <v>35538</v>
      </c>
      <c r="E265" t="str">
        <f>VLOOKUP(C265,[1]Employees!$A$1:$O$10,4,FALSE)</f>
        <v>Peacock Margaret</v>
      </c>
      <c r="F265">
        <f>VLOOKUP(A265,[1]!Orders,7,FALSE)</f>
        <v>3</v>
      </c>
      <c r="G265" t="str">
        <f>VLOOKUP(F265,[1]!Shippers,2,FALSE)</f>
        <v>Federal Shipping</v>
      </c>
      <c r="H265" t="str">
        <f>VLOOKUP(C265,[1]EmployeeTerritories!$A$1:$B$50,2,FALSE)</f>
        <v>20852</v>
      </c>
      <c r="I265">
        <f>VLOOKUP(C265,[1]EmployeeTerritories!$A$1:$B$50,1,FALSE)</f>
        <v>4</v>
      </c>
      <c r="J265">
        <f>VLOOKUP(H265,[1]!Territories,3,FALSE)</f>
        <v>1</v>
      </c>
      <c r="K265" t="str">
        <f>VLOOKUP(J265,[1]!Region,2,FALSE)</f>
        <v>Eastern</v>
      </c>
      <c r="L265">
        <f>VLOOKUP(A265,[1]Order_Details!$A$1:$F$2156,2,FALSE)</f>
        <v>4</v>
      </c>
      <c r="M265" t="str">
        <f>VLOOKUP(L265,[1]!Products,2,FALSE)</f>
        <v>Chef Anton's Cajun Seasoning</v>
      </c>
      <c r="N265">
        <f>VLOOKUP(L265,[1]!Products,4,FALSE)</f>
        <v>2</v>
      </c>
      <c r="O265" s="6" t="str">
        <f>VLOOKUP(N265,[1]!Categories,2,FALSE)</f>
        <v>Condiments</v>
      </c>
      <c r="P265" s="6">
        <f>VLOOKUP(A265,[1]Order_Details!$A$1:$F$2156,3,FALSE)</f>
        <v>22</v>
      </c>
      <c r="Q265">
        <f>VLOOKUP(A265,[1]Order_Details!$A$1:$F$2156,4,FALSE)</f>
        <v>50</v>
      </c>
      <c r="R265">
        <f>VLOOKUP(A265,[1]Order_Details!$A$1:$F$2156,5,FALSE)</f>
        <v>0.15000000596046448</v>
      </c>
      <c r="S265" s="6">
        <f>VLOOKUP(A265,[1]Order_Details!$A$1:$F$2156,6,FALSE)</f>
        <v>934.99999344348907</v>
      </c>
      <c r="T265" s="6">
        <f>VLOOKUP(A265,[1]!Orders,8,FALSE)</f>
        <v>350.64</v>
      </c>
    </row>
    <row r="266" spans="1:20" x14ac:dyDescent="0.3">
      <c r="A266" s="2">
        <v>10512</v>
      </c>
      <c r="B266" s="2" t="s">
        <v>56</v>
      </c>
      <c r="C266" s="2">
        <v>7</v>
      </c>
      <c r="D266" s="3">
        <v>35541</v>
      </c>
      <c r="E266" t="str">
        <f>VLOOKUP(C266,[1]Employees!$A$1:$O$10,4,FALSE)</f>
        <v>King Robert</v>
      </c>
      <c r="F266">
        <f>VLOOKUP(A266,[1]!Orders,7,FALSE)</f>
        <v>2</v>
      </c>
      <c r="G266" t="str">
        <f>VLOOKUP(F266,[1]!Shippers,2,FALSE)</f>
        <v>United Package</v>
      </c>
      <c r="H266" t="str">
        <f>VLOOKUP(C266,[1]EmployeeTerritories!$A$1:$B$50,2,FALSE)</f>
        <v>60179</v>
      </c>
      <c r="I266">
        <f>VLOOKUP(C266,[1]EmployeeTerritories!$A$1:$B$50,1,FALSE)</f>
        <v>7</v>
      </c>
      <c r="J266">
        <f>VLOOKUP(H266,[1]!Territories,3,FALSE)</f>
        <v>2</v>
      </c>
      <c r="K266" t="str">
        <f>VLOOKUP(J266,[1]!Region,2,FALSE)</f>
        <v>Western</v>
      </c>
      <c r="L266">
        <f>VLOOKUP(A266,[1]Order_Details!$A$1:$F$2156,2,FALSE)</f>
        <v>24</v>
      </c>
      <c r="M266" t="str">
        <f>VLOOKUP(L266,[1]!Products,2,FALSE)</f>
        <v>Guaraná Fantástica</v>
      </c>
      <c r="N266">
        <f>VLOOKUP(L266,[1]!Products,4,FALSE)</f>
        <v>1</v>
      </c>
      <c r="O266" s="6" t="str">
        <f>VLOOKUP(N266,[1]!Categories,2,FALSE)</f>
        <v>Beverages</v>
      </c>
      <c r="P266" s="6">
        <f>VLOOKUP(A266,[1]Order_Details!$A$1:$F$2156,3,FALSE)</f>
        <v>4.5</v>
      </c>
      <c r="Q266">
        <f>VLOOKUP(A266,[1]Order_Details!$A$1:$F$2156,4,FALSE)</f>
        <v>10</v>
      </c>
      <c r="R266">
        <f>VLOOKUP(A266,[1]Order_Details!$A$1:$F$2156,5,FALSE)</f>
        <v>0.15000000596046448</v>
      </c>
      <c r="S266" s="6">
        <f>VLOOKUP(A266,[1]Order_Details!$A$1:$F$2156,6,FALSE)</f>
        <v>38.249999731779099</v>
      </c>
      <c r="T266" s="6">
        <f>VLOOKUP(A266,[1]!Orders,8,FALSE)</f>
        <v>3.53</v>
      </c>
    </row>
    <row r="267" spans="1:20" x14ac:dyDescent="0.3">
      <c r="A267" s="2">
        <v>10513</v>
      </c>
      <c r="B267" s="2" t="s">
        <v>39</v>
      </c>
      <c r="C267" s="2">
        <v>7</v>
      </c>
      <c r="D267" s="3">
        <v>35542</v>
      </c>
      <c r="E267" t="str">
        <f>VLOOKUP(C267,[1]Employees!$A$1:$O$10,4,FALSE)</f>
        <v>King Robert</v>
      </c>
      <c r="F267">
        <f>VLOOKUP(A267,[1]!Orders,7,FALSE)</f>
        <v>1</v>
      </c>
      <c r="G267" t="str">
        <f>VLOOKUP(F267,[1]!Shippers,2,FALSE)</f>
        <v>Speedy Express</v>
      </c>
      <c r="H267" t="str">
        <f>VLOOKUP(C267,[1]EmployeeTerritories!$A$1:$B$50,2,FALSE)</f>
        <v>60179</v>
      </c>
      <c r="I267">
        <f>VLOOKUP(C267,[1]EmployeeTerritories!$A$1:$B$50,1,FALSE)</f>
        <v>7</v>
      </c>
      <c r="J267">
        <f>VLOOKUP(H267,[1]!Territories,3,FALSE)</f>
        <v>2</v>
      </c>
      <c r="K267" t="str">
        <f>VLOOKUP(J267,[1]!Region,2,FALSE)</f>
        <v>Western</v>
      </c>
      <c r="L267">
        <f>VLOOKUP(A267,[1]Order_Details!$A$1:$F$2156,2,FALSE)</f>
        <v>21</v>
      </c>
      <c r="M267" t="str">
        <f>VLOOKUP(L267,[1]!Products,2,FALSE)</f>
        <v>Sir Rodney's Scones</v>
      </c>
      <c r="N267">
        <f>VLOOKUP(L267,[1]!Products,4,FALSE)</f>
        <v>3</v>
      </c>
      <c r="O267" s="6" t="str">
        <f>VLOOKUP(N267,[1]!Categories,2,FALSE)</f>
        <v>Confections</v>
      </c>
      <c r="P267" s="6">
        <f>VLOOKUP(A267,[1]Order_Details!$A$1:$F$2156,3,FALSE)</f>
        <v>10</v>
      </c>
      <c r="Q267">
        <f>VLOOKUP(A267,[1]Order_Details!$A$1:$F$2156,4,FALSE)</f>
        <v>40</v>
      </c>
      <c r="R267">
        <f>VLOOKUP(A267,[1]Order_Details!$A$1:$F$2156,5,FALSE)</f>
        <v>0.20000000298023224</v>
      </c>
      <c r="S267" s="6">
        <f>VLOOKUP(A267,[1]Order_Details!$A$1:$F$2156,6,FALSE)</f>
        <v>319.9999988079071</v>
      </c>
      <c r="T267" s="6">
        <f>VLOOKUP(A267,[1]!Orders,8,FALSE)</f>
        <v>105.65</v>
      </c>
    </row>
    <row r="268" spans="1:20" x14ac:dyDescent="0.3">
      <c r="A268" s="2">
        <v>10514</v>
      </c>
      <c r="B268" s="2" t="s">
        <v>13</v>
      </c>
      <c r="C268" s="2">
        <v>3</v>
      </c>
      <c r="D268" s="3">
        <v>35542</v>
      </c>
      <c r="E268" t="str">
        <f>VLOOKUP(C268,[1]Employees!$A$1:$O$10,4,FALSE)</f>
        <v>Leverling Janet</v>
      </c>
      <c r="F268">
        <f>VLOOKUP(A268,[1]!Orders,7,FALSE)</f>
        <v>2</v>
      </c>
      <c r="G268" t="str">
        <f>VLOOKUP(F268,[1]!Shippers,2,FALSE)</f>
        <v>United Package</v>
      </c>
      <c r="H268" t="str">
        <f>VLOOKUP(C268,[1]EmployeeTerritories!$A$1:$B$50,2,FALSE)</f>
        <v>30346</v>
      </c>
      <c r="I268">
        <f>VLOOKUP(C268,[1]EmployeeTerritories!$A$1:$B$50,1,FALSE)</f>
        <v>3</v>
      </c>
      <c r="J268">
        <f>VLOOKUP(H268,[1]!Territories,3,FALSE)</f>
        <v>4</v>
      </c>
      <c r="K268" t="str">
        <f>VLOOKUP(J268,[1]!Region,2,FALSE)</f>
        <v>Southern</v>
      </c>
      <c r="L268">
        <f>VLOOKUP(A268,[1]Order_Details!$A$1:$F$2156,2,FALSE)</f>
        <v>20</v>
      </c>
      <c r="M268" t="str">
        <f>VLOOKUP(L268,[1]!Products,2,FALSE)</f>
        <v>Sir Rodney's Marmalade</v>
      </c>
      <c r="N268">
        <f>VLOOKUP(L268,[1]!Products,4,FALSE)</f>
        <v>3</v>
      </c>
      <c r="O268" s="6" t="str">
        <f>VLOOKUP(N268,[1]!Categories,2,FALSE)</f>
        <v>Confections</v>
      </c>
      <c r="P268" s="6">
        <f>VLOOKUP(A268,[1]Order_Details!$A$1:$F$2156,3,FALSE)</f>
        <v>81</v>
      </c>
      <c r="Q268">
        <f>VLOOKUP(A268,[1]Order_Details!$A$1:$F$2156,4,FALSE)</f>
        <v>39</v>
      </c>
      <c r="R268">
        <f>VLOOKUP(A268,[1]Order_Details!$A$1:$F$2156,5,FALSE)</f>
        <v>0</v>
      </c>
      <c r="S268" s="6">
        <f>VLOOKUP(A268,[1]Order_Details!$A$1:$F$2156,6,FALSE)</f>
        <v>3159</v>
      </c>
      <c r="T268" s="6">
        <f>VLOOKUP(A268,[1]!Orders,8,FALSE)</f>
        <v>789.95</v>
      </c>
    </row>
    <row r="269" spans="1:20" x14ac:dyDescent="0.3">
      <c r="A269" s="2">
        <v>10515</v>
      </c>
      <c r="B269" s="2" t="s">
        <v>25</v>
      </c>
      <c r="C269" s="2">
        <v>2</v>
      </c>
      <c r="D269" s="3">
        <v>35543</v>
      </c>
      <c r="E269" t="str">
        <f>VLOOKUP(C269,[1]Employees!$A$1:$O$10,4,FALSE)</f>
        <v>Fuller Andrew</v>
      </c>
      <c r="F269">
        <f>VLOOKUP(A269,[1]!Orders,7,FALSE)</f>
        <v>1</v>
      </c>
      <c r="G269" t="str">
        <f>VLOOKUP(F269,[1]!Shippers,2,FALSE)</f>
        <v>Speedy Express</v>
      </c>
      <c r="H269" t="str">
        <f>VLOOKUP(C269,[1]EmployeeTerritories!$A$1:$B$50,2,FALSE)</f>
        <v>01581</v>
      </c>
      <c r="I269">
        <f>VLOOKUP(C269,[1]EmployeeTerritories!$A$1:$B$50,1,FALSE)</f>
        <v>2</v>
      </c>
      <c r="J269">
        <f>VLOOKUP(H269,[1]!Territories,3,FALSE)</f>
        <v>1</v>
      </c>
      <c r="K269" t="str">
        <f>VLOOKUP(J269,[1]!Region,2,FALSE)</f>
        <v>Eastern</v>
      </c>
      <c r="L269">
        <f>VLOOKUP(A269,[1]Order_Details!$A$1:$F$2156,2,FALSE)</f>
        <v>9</v>
      </c>
      <c r="M269" t="str">
        <f>VLOOKUP(L269,[1]!Products,2,FALSE)</f>
        <v>Mishi Kobe Niku</v>
      </c>
      <c r="N269">
        <f>VLOOKUP(L269,[1]!Products,4,FALSE)</f>
        <v>6</v>
      </c>
      <c r="O269" s="6" t="str">
        <f>VLOOKUP(N269,[1]!Categories,2,FALSE)</f>
        <v>Meat/Poultry</v>
      </c>
      <c r="P269" s="6">
        <f>VLOOKUP(A269,[1]Order_Details!$A$1:$F$2156,3,FALSE)</f>
        <v>97</v>
      </c>
      <c r="Q269">
        <f>VLOOKUP(A269,[1]Order_Details!$A$1:$F$2156,4,FALSE)</f>
        <v>16</v>
      </c>
      <c r="R269">
        <f>VLOOKUP(A269,[1]Order_Details!$A$1:$F$2156,5,FALSE)</f>
        <v>0.15000000596046448</v>
      </c>
      <c r="S269" s="6">
        <f>VLOOKUP(A269,[1]Order_Details!$A$1:$F$2156,6,FALSE)</f>
        <v>1319.1999907493591</v>
      </c>
      <c r="T269" s="6">
        <f>VLOOKUP(A269,[1]!Orders,8,FALSE)</f>
        <v>204.47</v>
      </c>
    </row>
    <row r="270" spans="1:20" x14ac:dyDescent="0.3">
      <c r="A270" s="2">
        <v>10516</v>
      </c>
      <c r="B270" s="2" t="s">
        <v>38</v>
      </c>
      <c r="C270" s="2">
        <v>2</v>
      </c>
      <c r="D270" s="3">
        <v>35544</v>
      </c>
      <c r="E270" t="str">
        <f>VLOOKUP(C270,[1]Employees!$A$1:$O$10,4,FALSE)</f>
        <v>Fuller Andrew</v>
      </c>
      <c r="F270">
        <f>VLOOKUP(A270,[1]!Orders,7,FALSE)</f>
        <v>3</v>
      </c>
      <c r="G270" t="str">
        <f>VLOOKUP(F270,[1]!Shippers,2,FALSE)</f>
        <v>Federal Shipping</v>
      </c>
      <c r="H270" t="str">
        <f>VLOOKUP(C270,[1]EmployeeTerritories!$A$1:$B$50,2,FALSE)</f>
        <v>01581</v>
      </c>
      <c r="I270">
        <f>VLOOKUP(C270,[1]EmployeeTerritories!$A$1:$B$50,1,FALSE)</f>
        <v>2</v>
      </c>
      <c r="J270">
        <f>VLOOKUP(H270,[1]!Territories,3,FALSE)</f>
        <v>1</v>
      </c>
      <c r="K270" t="str">
        <f>VLOOKUP(J270,[1]!Region,2,FALSE)</f>
        <v>Eastern</v>
      </c>
      <c r="L270">
        <f>VLOOKUP(A270,[1]Order_Details!$A$1:$F$2156,2,FALSE)</f>
        <v>18</v>
      </c>
      <c r="M270" t="str">
        <f>VLOOKUP(L270,[1]!Products,2,FALSE)</f>
        <v>Carnarvon Tigers</v>
      </c>
      <c r="N270">
        <f>VLOOKUP(L270,[1]!Products,4,FALSE)</f>
        <v>8</v>
      </c>
      <c r="O270" s="6" t="str">
        <f>VLOOKUP(N270,[1]!Categories,2,FALSE)</f>
        <v>Seafood</v>
      </c>
      <c r="P270" s="6">
        <f>VLOOKUP(A270,[1]Order_Details!$A$1:$F$2156,3,FALSE)</f>
        <v>62.5</v>
      </c>
      <c r="Q270">
        <f>VLOOKUP(A270,[1]Order_Details!$A$1:$F$2156,4,FALSE)</f>
        <v>25</v>
      </c>
      <c r="R270">
        <f>VLOOKUP(A270,[1]Order_Details!$A$1:$F$2156,5,FALSE)</f>
        <v>0.10000000149011612</v>
      </c>
      <c r="S270" s="6">
        <f>VLOOKUP(A270,[1]Order_Details!$A$1:$F$2156,6,FALSE)</f>
        <v>1406.2499976716936</v>
      </c>
      <c r="T270" s="6">
        <f>VLOOKUP(A270,[1]!Orders,8,FALSE)</f>
        <v>62.78</v>
      </c>
    </row>
    <row r="271" spans="1:20" x14ac:dyDescent="0.3">
      <c r="A271" s="2">
        <v>10517</v>
      </c>
      <c r="B271" s="2" t="s">
        <v>81</v>
      </c>
      <c r="C271" s="2">
        <v>3</v>
      </c>
      <c r="D271" s="3">
        <v>35544</v>
      </c>
      <c r="E271" t="str">
        <f>VLOOKUP(C271,[1]Employees!$A$1:$O$10,4,FALSE)</f>
        <v>Leverling Janet</v>
      </c>
      <c r="F271">
        <f>VLOOKUP(A271,[1]!Orders,7,FALSE)</f>
        <v>3</v>
      </c>
      <c r="G271" t="str">
        <f>VLOOKUP(F271,[1]!Shippers,2,FALSE)</f>
        <v>Federal Shipping</v>
      </c>
      <c r="H271" t="str">
        <f>VLOOKUP(C271,[1]EmployeeTerritories!$A$1:$B$50,2,FALSE)</f>
        <v>30346</v>
      </c>
      <c r="I271">
        <f>VLOOKUP(C271,[1]EmployeeTerritories!$A$1:$B$50,1,FALSE)</f>
        <v>3</v>
      </c>
      <c r="J271">
        <f>VLOOKUP(H271,[1]!Territories,3,FALSE)</f>
        <v>4</v>
      </c>
      <c r="K271" t="str">
        <f>VLOOKUP(J271,[1]!Region,2,FALSE)</f>
        <v>Southern</v>
      </c>
      <c r="L271">
        <f>VLOOKUP(A271,[1]Order_Details!$A$1:$F$2156,2,FALSE)</f>
        <v>52</v>
      </c>
      <c r="M271" t="str">
        <f>VLOOKUP(L271,[1]!Products,2,FALSE)</f>
        <v>Filo Mix</v>
      </c>
      <c r="N271">
        <f>VLOOKUP(L271,[1]!Products,4,FALSE)</f>
        <v>5</v>
      </c>
      <c r="O271" s="6" t="str">
        <f>VLOOKUP(N271,[1]!Categories,2,FALSE)</f>
        <v>Grains/Cereals</v>
      </c>
      <c r="P271" s="6">
        <f>VLOOKUP(A271,[1]Order_Details!$A$1:$F$2156,3,FALSE)</f>
        <v>7</v>
      </c>
      <c r="Q271">
        <f>VLOOKUP(A271,[1]Order_Details!$A$1:$F$2156,4,FALSE)</f>
        <v>6</v>
      </c>
      <c r="R271">
        <f>VLOOKUP(A271,[1]Order_Details!$A$1:$F$2156,5,FALSE)</f>
        <v>0</v>
      </c>
      <c r="S271" s="6">
        <f>VLOOKUP(A271,[1]Order_Details!$A$1:$F$2156,6,FALSE)</f>
        <v>42</v>
      </c>
      <c r="T271" s="6">
        <f>VLOOKUP(A271,[1]!Orders,8,FALSE)</f>
        <v>32.07</v>
      </c>
    </row>
    <row r="272" spans="1:20" x14ac:dyDescent="0.3">
      <c r="A272" s="2">
        <v>10518</v>
      </c>
      <c r="B272" s="2" t="s">
        <v>27</v>
      </c>
      <c r="C272" s="2">
        <v>4</v>
      </c>
      <c r="D272" s="3">
        <v>35545</v>
      </c>
      <c r="E272" t="str">
        <f>VLOOKUP(C272,[1]Employees!$A$1:$O$10,4,FALSE)</f>
        <v>Peacock Margaret</v>
      </c>
      <c r="F272">
        <f>VLOOKUP(A272,[1]!Orders,7,FALSE)</f>
        <v>2</v>
      </c>
      <c r="G272" t="str">
        <f>VLOOKUP(F272,[1]!Shippers,2,FALSE)</f>
        <v>United Package</v>
      </c>
      <c r="H272" t="str">
        <f>VLOOKUP(C272,[1]EmployeeTerritories!$A$1:$B$50,2,FALSE)</f>
        <v>20852</v>
      </c>
      <c r="I272">
        <f>VLOOKUP(C272,[1]EmployeeTerritories!$A$1:$B$50,1,FALSE)</f>
        <v>4</v>
      </c>
      <c r="J272">
        <f>VLOOKUP(H272,[1]!Territories,3,FALSE)</f>
        <v>1</v>
      </c>
      <c r="K272" t="str">
        <f>VLOOKUP(J272,[1]!Region,2,FALSE)</f>
        <v>Eastern</v>
      </c>
      <c r="L272">
        <f>VLOOKUP(A272,[1]Order_Details!$A$1:$F$2156,2,FALSE)</f>
        <v>24</v>
      </c>
      <c r="M272" t="str">
        <f>VLOOKUP(L272,[1]!Products,2,FALSE)</f>
        <v>Guaraná Fantástica</v>
      </c>
      <c r="N272">
        <f>VLOOKUP(L272,[1]!Products,4,FALSE)</f>
        <v>1</v>
      </c>
      <c r="O272" s="6" t="str">
        <f>VLOOKUP(N272,[1]!Categories,2,FALSE)</f>
        <v>Beverages</v>
      </c>
      <c r="P272" s="6">
        <f>VLOOKUP(A272,[1]Order_Details!$A$1:$F$2156,3,FALSE)</f>
        <v>4.5</v>
      </c>
      <c r="Q272">
        <f>VLOOKUP(A272,[1]Order_Details!$A$1:$F$2156,4,FALSE)</f>
        <v>5</v>
      </c>
      <c r="R272">
        <f>VLOOKUP(A272,[1]Order_Details!$A$1:$F$2156,5,FALSE)</f>
        <v>0</v>
      </c>
      <c r="S272" s="6">
        <f>VLOOKUP(A272,[1]Order_Details!$A$1:$F$2156,6,FALSE)</f>
        <v>22.5</v>
      </c>
      <c r="T272" s="6">
        <f>VLOOKUP(A272,[1]!Orders,8,FALSE)</f>
        <v>218.15</v>
      </c>
    </row>
    <row r="273" spans="1:20" x14ac:dyDescent="0.3">
      <c r="A273" s="2">
        <v>10519</v>
      </c>
      <c r="B273" s="2" t="s">
        <v>9</v>
      </c>
      <c r="C273" s="2">
        <v>6</v>
      </c>
      <c r="D273" s="3">
        <v>35548</v>
      </c>
      <c r="E273" t="str">
        <f>VLOOKUP(C273,[1]Employees!$A$1:$O$10,4,FALSE)</f>
        <v>Suyama Michael</v>
      </c>
      <c r="F273">
        <f>VLOOKUP(A273,[1]!Orders,7,FALSE)</f>
        <v>3</v>
      </c>
      <c r="G273" t="str">
        <f>VLOOKUP(F273,[1]!Shippers,2,FALSE)</f>
        <v>Federal Shipping</v>
      </c>
      <c r="H273" t="str">
        <f>VLOOKUP(C273,[1]EmployeeTerritories!$A$1:$B$50,2,FALSE)</f>
        <v>85014</v>
      </c>
      <c r="I273">
        <f>VLOOKUP(C273,[1]EmployeeTerritories!$A$1:$B$50,1,FALSE)</f>
        <v>6</v>
      </c>
      <c r="J273">
        <f>VLOOKUP(H273,[1]!Territories,3,FALSE)</f>
        <v>2</v>
      </c>
      <c r="K273" t="str">
        <f>VLOOKUP(J273,[1]!Region,2,FALSE)</f>
        <v>Western</v>
      </c>
      <c r="L273">
        <f>VLOOKUP(A273,[1]Order_Details!$A$1:$F$2156,2,FALSE)</f>
        <v>10</v>
      </c>
      <c r="M273" t="str">
        <f>VLOOKUP(L273,[1]!Products,2,FALSE)</f>
        <v>Ikura</v>
      </c>
      <c r="N273">
        <f>VLOOKUP(L273,[1]!Products,4,FALSE)</f>
        <v>8</v>
      </c>
      <c r="O273" s="6" t="str">
        <f>VLOOKUP(N273,[1]!Categories,2,FALSE)</f>
        <v>Seafood</v>
      </c>
      <c r="P273" s="6">
        <f>VLOOKUP(A273,[1]Order_Details!$A$1:$F$2156,3,FALSE)</f>
        <v>31</v>
      </c>
      <c r="Q273">
        <f>VLOOKUP(A273,[1]Order_Details!$A$1:$F$2156,4,FALSE)</f>
        <v>16</v>
      </c>
      <c r="R273">
        <f>VLOOKUP(A273,[1]Order_Details!$A$1:$F$2156,5,FALSE)</f>
        <v>5.000000074505806E-2</v>
      </c>
      <c r="S273" s="6">
        <f>VLOOKUP(A273,[1]Order_Details!$A$1:$F$2156,6,FALSE)</f>
        <v>471.1999996304512</v>
      </c>
      <c r="T273" s="6">
        <f>VLOOKUP(A273,[1]!Orders,8,FALSE)</f>
        <v>91.76</v>
      </c>
    </row>
    <row r="274" spans="1:20" x14ac:dyDescent="0.3">
      <c r="A274" s="2">
        <v>10520</v>
      </c>
      <c r="B274" s="2" t="s">
        <v>69</v>
      </c>
      <c r="C274" s="2">
        <v>7</v>
      </c>
      <c r="D274" s="3">
        <v>35549</v>
      </c>
      <c r="E274" t="str">
        <f>VLOOKUP(C274,[1]Employees!$A$1:$O$10,4,FALSE)</f>
        <v>King Robert</v>
      </c>
      <c r="F274">
        <f>VLOOKUP(A274,[1]!Orders,7,FALSE)</f>
        <v>1</v>
      </c>
      <c r="G274" t="str">
        <f>VLOOKUP(F274,[1]!Shippers,2,FALSE)</f>
        <v>Speedy Express</v>
      </c>
      <c r="H274" t="str">
        <f>VLOOKUP(C274,[1]EmployeeTerritories!$A$1:$B$50,2,FALSE)</f>
        <v>60179</v>
      </c>
      <c r="I274">
        <f>VLOOKUP(C274,[1]EmployeeTerritories!$A$1:$B$50,1,FALSE)</f>
        <v>7</v>
      </c>
      <c r="J274">
        <f>VLOOKUP(H274,[1]!Territories,3,FALSE)</f>
        <v>2</v>
      </c>
      <c r="K274" t="str">
        <f>VLOOKUP(J274,[1]!Region,2,FALSE)</f>
        <v>Western</v>
      </c>
      <c r="L274">
        <f>VLOOKUP(A274,[1]Order_Details!$A$1:$F$2156,2,FALSE)</f>
        <v>24</v>
      </c>
      <c r="M274" t="str">
        <f>VLOOKUP(L274,[1]!Products,2,FALSE)</f>
        <v>Guaraná Fantástica</v>
      </c>
      <c r="N274">
        <f>VLOOKUP(L274,[1]!Products,4,FALSE)</f>
        <v>1</v>
      </c>
      <c r="O274" s="6" t="str">
        <f>VLOOKUP(N274,[1]!Categories,2,FALSE)</f>
        <v>Beverages</v>
      </c>
      <c r="P274" s="6">
        <f>VLOOKUP(A274,[1]Order_Details!$A$1:$F$2156,3,FALSE)</f>
        <v>4.5</v>
      </c>
      <c r="Q274">
        <f>VLOOKUP(A274,[1]Order_Details!$A$1:$F$2156,4,FALSE)</f>
        <v>8</v>
      </c>
      <c r="R274">
        <f>VLOOKUP(A274,[1]Order_Details!$A$1:$F$2156,5,FALSE)</f>
        <v>0</v>
      </c>
      <c r="S274" s="6">
        <f>VLOOKUP(A274,[1]Order_Details!$A$1:$F$2156,6,FALSE)</f>
        <v>36</v>
      </c>
      <c r="T274" s="6">
        <f>VLOOKUP(A274,[1]!Orders,8,FALSE)</f>
        <v>13.37</v>
      </c>
    </row>
    <row r="275" spans="1:20" x14ac:dyDescent="0.3">
      <c r="A275" s="2">
        <v>10521</v>
      </c>
      <c r="B275" s="2" t="s">
        <v>82</v>
      </c>
      <c r="C275" s="2">
        <v>8</v>
      </c>
      <c r="D275" s="3">
        <v>35549</v>
      </c>
      <c r="E275" t="str">
        <f>VLOOKUP(C275,[1]Employees!$A$1:$O$10,4,FALSE)</f>
        <v>Callahan Laura</v>
      </c>
      <c r="F275">
        <f>VLOOKUP(A275,[1]!Orders,7,FALSE)</f>
        <v>2</v>
      </c>
      <c r="G275" t="str">
        <f>VLOOKUP(F275,[1]!Shippers,2,FALSE)</f>
        <v>United Package</v>
      </c>
      <c r="H275" t="str">
        <f>VLOOKUP(C275,[1]EmployeeTerritories!$A$1:$B$50,2,FALSE)</f>
        <v>19428</v>
      </c>
      <c r="I275">
        <f>VLOOKUP(C275,[1]EmployeeTerritories!$A$1:$B$50,1,FALSE)</f>
        <v>8</v>
      </c>
      <c r="J275">
        <f>VLOOKUP(H275,[1]!Territories,3,FALSE)</f>
        <v>3</v>
      </c>
      <c r="K275" t="str">
        <f>VLOOKUP(J275,[1]!Region,2,FALSE)</f>
        <v>Northern</v>
      </c>
      <c r="L275">
        <f>VLOOKUP(A275,[1]Order_Details!$A$1:$F$2156,2,FALSE)</f>
        <v>35</v>
      </c>
      <c r="M275" t="str">
        <f>VLOOKUP(L275,[1]!Products,2,FALSE)</f>
        <v>Steeleye Stout</v>
      </c>
      <c r="N275">
        <f>VLOOKUP(L275,[1]!Products,4,FALSE)</f>
        <v>1</v>
      </c>
      <c r="O275" s="6" t="str">
        <f>VLOOKUP(N275,[1]!Categories,2,FALSE)</f>
        <v>Beverages</v>
      </c>
      <c r="P275" s="6">
        <f>VLOOKUP(A275,[1]Order_Details!$A$1:$F$2156,3,FALSE)</f>
        <v>18</v>
      </c>
      <c r="Q275">
        <f>VLOOKUP(A275,[1]Order_Details!$A$1:$F$2156,4,FALSE)</f>
        <v>3</v>
      </c>
      <c r="R275">
        <f>VLOOKUP(A275,[1]Order_Details!$A$1:$F$2156,5,FALSE)</f>
        <v>0</v>
      </c>
      <c r="S275" s="6">
        <f>VLOOKUP(A275,[1]Order_Details!$A$1:$F$2156,6,FALSE)</f>
        <v>54</v>
      </c>
      <c r="T275" s="6">
        <f>VLOOKUP(A275,[1]!Orders,8,FALSE)</f>
        <v>17.22</v>
      </c>
    </row>
    <row r="276" spans="1:20" x14ac:dyDescent="0.3">
      <c r="A276" s="2">
        <v>10522</v>
      </c>
      <c r="B276" s="2" t="s">
        <v>30</v>
      </c>
      <c r="C276" s="2">
        <v>4</v>
      </c>
      <c r="D276" s="3">
        <v>35550</v>
      </c>
      <c r="E276" t="str">
        <f>VLOOKUP(C276,[1]Employees!$A$1:$O$10,4,FALSE)</f>
        <v>Peacock Margaret</v>
      </c>
      <c r="F276">
        <f>VLOOKUP(A276,[1]!Orders,7,FALSE)</f>
        <v>1</v>
      </c>
      <c r="G276" t="str">
        <f>VLOOKUP(F276,[1]!Shippers,2,FALSE)</f>
        <v>Speedy Express</v>
      </c>
      <c r="H276" t="str">
        <f>VLOOKUP(C276,[1]EmployeeTerritories!$A$1:$B$50,2,FALSE)</f>
        <v>20852</v>
      </c>
      <c r="I276">
        <f>VLOOKUP(C276,[1]EmployeeTerritories!$A$1:$B$50,1,FALSE)</f>
        <v>4</v>
      </c>
      <c r="J276">
        <f>VLOOKUP(H276,[1]!Territories,3,FALSE)</f>
        <v>1</v>
      </c>
      <c r="K276" t="str">
        <f>VLOOKUP(J276,[1]!Region,2,FALSE)</f>
        <v>Eastern</v>
      </c>
      <c r="L276">
        <f>VLOOKUP(A276,[1]Order_Details!$A$1:$F$2156,2,FALSE)</f>
        <v>1</v>
      </c>
      <c r="M276" t="str">
        <f>VLOOKUP(L276,[1]!Products,2,FALSE)</f>
        <v>Chai</v>
      </c>
      <c r="N276">
        <f>VLOOKUP(L276,[1]!Products,4,FALSE)</f>
        <v>1</v>
      </c>
      <c r="O276" s="6" t="str">
        <f>VLOOKUP(N276,[1]!Categories,2,FALSE)</f>
        <v>Beverages</v>
      </c>
      <c r="P276" s="6">
        <f>VLOOKUP(A276,[1]Order_Details!$A$1:$F$2156,3,FALSE)</f>
        <v>18</v>
      </c>
      <c r="Q276">
        <f>VLOOKUP(A276,[1]Order_Details!$A$1:$F$2156,4,FALSE)</f>
        <v>40</v>
      </c>
      <c r="R276">
        <f>VLOOKUP(A276,[1]Order_Details!$A$1:$F$2156,5,FALSE)</f>
        <v>0.20000000298023224</v>
      </c>
      <c r="S276" s="6">
        <f>VLOOKUP(A276,[1]Order_Details!$A$1:$F$2156,6,FALSE)</f>
        <v>575.99999785423279</v>
      </c>
      <c r="T276" s="6">
        <f>VLOOKUP(A276,[1]!Orders,8,FALSE)</f>
        <v>45.33</v>
      </c>
    </row>
    <row r="277" spans="1:20" x14ac:dyDescent="0.3">
      <c r="A277" s="2">
        <v>10523</v>
      </c>
      <c r="B277" s="2" t="s">
        <v>60</v>
      </c>
      <c r="C277" s="2">
        <v>7</v>
      </c>
      <c r="D277" s="3">
        <v>35551</v>
      </c>
      <c r="E277" t="str">
        <f>VLOOKUP(C277,[1]Employees!$A$1:$O$10,4,FALSE)</f>
        <v>King Robert</v>
      </c>
      <c r="F277">
        <f>VLOOKUP(A277,[1]!Orders,7,FALSE)</f>
        <v>2</v>
      </c>
      <c r="G277" t="str">
        <f>VLOOKUP(F277,[1]!Shippers,2,FALSE)</f>
        <v>United Package</v>
      </c>
      <c r="H277" t="str">
        <f>VLOOKUP(C277,[1]EmployeeTerritories!$A$1:$B$50,2,FALSE)</f>
        <v>60179</v>
      </c>
      <c r="I277">
        <f>VLOOKUP(C277,[1]EmployeeTerritories!$A$1:$B$50,1,FALSE)</f>
        <v>7</v>
      </c>
      <c r="J277">
        <f>VLOOKUP(H277,[1]!Territories,3,FALSE)</f>
        <v>2</v>
      </c>
      <c r="K277" t="str">
        <f>VLOOKUP(J277,[1]!Region,2,FALSE)</f>
        <v>Western</v>
      </c>
      <c r="L277">
        <f>VLOOKUP(A277,[1]Order_Details!$A$1:$F$2156,2,FALSE)</f>
        <v>17</v>
      </c>
      <c r="M277" t="str">
        <f>VLOOKUP(L277,[1]!Products,2,FALSE)</f>
        <v>Alice Mutton</v>
      </c>
      <c r="N277">
        <f>VLOOKUP(L277,[1]!Products,4,FALSE)</f>
        <v>6</v>
      </c>
      <c r="O277" s="6" t="str">
        <f>VLOOKUP(N277,[1]!Categories,2,FALSE)</f>
        <v>Meat/Poultry</v>
      </c>
      <c r="P277" s="6">
        <f>VLOOKUP(A277,[1]Order_Details!$A$1:$F$2156,3,FALSE)</f>
        <v>39</v>
      </c>
      <c r="Q277">
        <f>VLOOKUP(A277,[1]Order_Details!$A$1:$F$2156,4,FALSE)</f>
        <v>25</v>
      </c>
      <c r="R277">
        <f>VLOOKUP(A277,[1]Order_Details!$A$1:$F$2156,5,FALSE)</f>
        <v>0.10000000149011612</v>
      </c>
      <c r="S277" s="6">
        <f>VLOOKUP(A277,[1]Order_Details!$A$1:$F$2156,6,FALSE)</f>
        <v>877.49999854713678</v>
      </c>
      <c r="T277" s="6">
        <f>VLOOKUP(A277,[1]!Orders,8,FALSE)</f>
        <v>77.63</v>
      </c>
    </row>
    <row r="278" spans="1:20" x14ac:dyDescent="0.3">
      <c r="A278" s="2">
        <v>10524</v>
      </c>
      <c r="B278" s="2" t="s">
        <v>29</v>
      </c>
      <c r="C278" s="2">
        <v>1</v>
      </c>
      <c r="D278" s="3">
        <v>35551</v>
      </c>
      <c r="E278" t="str">
        <f>VLOOKUP(C278,[1]Employees!$A$1:$O$10,4,FALSE)</f>
        <v>Davolio Nancy</v>
      </c>
      <c r="F278">
        <f>VLOOKUP(A278,[1]!Orders,7,FALSE)</f>
        <v>2</v>
      </c>
      <c r="G278" t="str">
        <f>VLOOKUP(F278,[1]!Shippers,2,FALSE)</f>
        <v>United Package</v>
      </c>
      <c r="H278" t="str">
        <f>VLOOKUP(C278,[1]EmployeeTerritories!$A$1:$B$50,2,FALSE)</f>
        <v>06897</v>
      </c>
      <c r="I278">
        <f>VLOOKUP(C278,[1]EmployeeTerritories!$A$1:$B$50,1,FALSE)</f>
        <v>1</v>
      </c>
      <c r="J278">
        <f>VLOOKUP(H278,[1]!Territories,3,FALSE)</f>
        <v>1</v>
      </c>
      <c r="K278" t="str">
        <f>VLOOKUP(J278,[1]!Region,2,FALSE)</f>
        <v>Eastern</v>
      </c>
      <c r="L278">
        <f>VLOOKUP(A278,[1]Order_Details!$A$1:$F$2156,2,FALSE)</f>
        <v>10</v>
      </c>
      <c r="M278" t="str">
        <f>VLOOKUP(L278,[1]!Products,2,FALSE)</f>
        <v>Ikura</v>
      </c>
      <c r="N278">
        <f>VLOOKUP(L278,[1]!Products,4,FALSE)</f>
        <v>8</v>
      </c>
      <c r="O278" s="6" t="str">
        <f>VLOOKUP(N278,[1]!Categories,2,FALSE)</f>
        <v>Seafood</v>
      </c>
      <c r="P278" s="6">
        <f>VLOOKUP(A278,[1]Order_Details!$A$1:$F$2156,3,FALSE)</f>
        <v>31</v>
      </c>
      <c r="Q278">
        <f>VLOOKUP(A278,[1]Order_Details!$A$1:$F$2156,4,FALSE)</f>
        <v>2</v>
      </c>
      <c r="R278">
        <f>VLOOKUP(A278,[1]Order_Details!$A$1:$F$2156,5,FALSE)</f>
        <v>0</v>
      </c>
      <c r="S278" s="6">
        <f>VLOOKUP(A278,[1]Order_Details!$A$1:$F$2156,6,FALSE)</f>
        <v>62</v>
      </c>
      <c r="T278" s="6">
        <f>VLOOKUP(A278,[1]!Orders,8,FALSE)</f>
        <v>244.79</v>
      </c>
    </row>
    <row r="279" spans="1:20" x14ac:dyDescent="0.3">
      <c r="A279" s="2">
        <v>10525</v>
      </c>
      <c r="B279" s="2" t="s">
        <v>52</v>
      </c>
      <c r="C279" s="2">
        <v>1</v>
      </c>
      <c r="D279" s="3">
        <v>35552</v>
      </c>
      <c r="E279" t="str">
        <f>VLOOKUP(C279,[1]Employees!$A$1:$O$10,4,FALSE)</f>
        <v>Davolio Nancy</v>
      </c>
      <c r="F279">
        <f>VLOOKUP(A279,[1]!Orders,7,FALSE)</f>
        <v>2</v>
      </c>
      <c r="G279" t="str">
        <f>VLOOKUP(F279,[1]!Shippers,2,FALSE)</f>
        <v>United Package</v>
      </c>
      <c r="H279" t="str">
        <f>VLOOKUP(C279,[1]EmployeeTerritories!$A$1:$B$50,2,FALSE)</f>
        <v>06897</v>
      </c>
      <c r="I279">
        <f>VLOOKUP(C279,[1]EmployeeTerritories!$A$1:$B$50,1,FALSE)</f>
        <v>1</v>
      </c>
      <c r="J279">
        <f>VLOOKUP(H279,[1]!Territories,3,FALSE)</f>
        <v>1</v>
      </c>
      <c r="K279" t="str">
        <f>VLOOKUP(J279,[1]!Region,2,FALSE)</f>
        <v>Eastern</v>
      </c>
      <c r="L279">
        <f>VLOOKUP(A279,[1]Order_Details!$A$1:$F$2156,2,FALSE)</f>
        <v>36</v>
      </c>
      <c r="M279" t="str">
        <f>VLOOKUP(L279,[1]!Products,2,FALSE)</f>
        <v>Inlagd Sill</v>
      </c>
      <c r="N279">
        <f>VLOOKUP(L279,[1]!Products,4,FALSE)</f>
        <v>8</v>
      </c>
      <c r="O279" s="6" t="str">
        <f>VLOOKUP(N279,[1]!Categories,2,FALSE)</f>
        <v>Seafood</v>
      </c>
      <c r="P279" s="6">
        <f>VLOOKUP(A279,[1]Order_Details!$A$1:$F$2156,3,FALSE)</f>
        <v>19</v>
      </c>
      <c r="Q279">
        <f>VLOOKUP(A279,[1]Order_Details!$A$1:$F$2156,4,FALSE)</f>
        <v>30</v>
      </c>
      <c r="R279">
        <f>VLOOKUP(A279,[1]Order_Details!$A$1:$F$2156,5,FALSE)</f>
        <v>0</v>
      </c>
      <c r="S279" s="6">
        <f>VLOOKUP(A279,[1]Order_Details!$A$1:$F$2156,6,FALSE)</f>
        <v>570</v>
      </c>
      <c r="T279" s="6">
        <f>VLOOKUP(A279,[1]!Orders,8,FALSE)</f>
        <v>11.06</v>
      </c>
    </row>
    <row r="280" spans="1:20" x14ac:dyDescent="0.3">
      <c r="A280" s="2">
        <v>10526</v>
      </c>
      <c r="B280" s="2" t="s">
        <v>20</v>
      </c>
      <c r="C280" s="2">
        <v>4</v>
      </c>
      <c r="D280" s="3">
        <v>35555</v>
      </c>
      <c r="E280" t="str">
        <f>VLOOKUP(C280,[1]Employees!$A$1:$O$10,4,FALSE)</f>
        <v>Peacock Margaret</v>
      </c>
      <c r="F280">
        <f>VLOOKUP(A280,[1]!Orders,7,FALSE)</f>
        <v>2</v>
      </c>
      <c r="G280" t="str">
        <f>VLOOKUP(F280,[1]!Shippers,2,FALSE)</f>
        <v>United Package</v>
      </c>
      <c r="H280" t="str">
        <f>VLOOKUP(C280,[1]EmployeeTerritories!$A$1:$B$50,2,FALSE)</f>
        <v>20852</v>
      </c>
      <c r="I280">
        <f>VLOOKUP(C280,[1]EmployeeTerritories!$A$1:$B$50,1,FALSE)</f>
        <v>4</v>
      </c>
      <c r="J280">
        <f>VLOOKUP(H280,[1]!Territories,3,FALSE)</f>
        <v>1</v>
      </c>
      <c r="K280" t="str">
        <f>VLOOKUP(J280,[1]!Region,2,FALSE)</f>
        <v>Eastern</v>
      </c>
      <c r="L280">
        <f>VLOOKUP(A280,[1]Order_Details!$A$1:$F$2156,2,FALSE)</f>
        <v>1</v>
      </c>
      <c r="M280" t="str">
        <f>VLOOKUP(L280,[1]!Products,2,FALSE)</f>
        <v>Chai</v>
      </c>
      <c r="N280">
        <f>VLOOKUP(L280,[1]!Products,4,FALSE)</f>
        <v>1</v>
      </c>
      <c r="O280" s="6" t="str">
        <f>VLOOKUP(N280,[1]!Categories,2,FALSE)</f>
        <v>Beverages</v>
      </c>
      <c r="P280" s="6">
        <f>VLOOKUP(A280,[1]Order_Details!$A$1:$F$2156,3,FALSE)</f>
        <v>18</v>
      </c>
      <c r="Q280">
        <f>VLOOKUP(A280,[1]Order_Details!$A$1:$F$2156,4,FALSE)</f>
        <v>8</v>
      </c>
      <c r="R280">
        <f>VLOOKUP(A280,[1]Order_Details!$A$1:$F$2156,5,FALSE)</f>
        <v>0.15000000596046448</v>
      </c>
      <c r="S280" s="6">
        <f>VLOOKUP(A280,[1]Order_Details!$A$1:$F$2156,6,FALSE)</f>
        <v>122.39999914169312</v>
      </c>
      <c r="T280" s="6">
        <f>VLOOKUP(A280,[1]!Orders,8,FALSE)</f>
        <v>58.59</v>
      </c>
    </row>
    <row r="281" spans="1:20" x14ac:dyDescent="0.3">
      <c r="A281" s="2">
        <v>10527</v>
      </c>
      <c r="B281" s="2" t="s">
        <v>25</v>
      </c>
      <c r="C281" s="2">
        <v>7</v>
      </c>
      <c r="D281" s="3">
        <v>35555</v>
      </c>
      <c r="E281" t="str">
        <f>VLOOKUP(C281,[1]Employees!$A$1:$O$10,4,FALSE)</f>
        <v>King Robert</v>
      </c>
      <c r="F281">
        <f>VLOOKUP(A281,[1]!Orders,7,FALSE)</f>
        <v>1</v>
      </c>
      <c r="G281" t="str">
        <f>VLOOKUP(F281,[1]!Shippers,2,FALSE)</f>
        <v>Speedy Express</v>
      </c>
      <c r="H281" t="str">
        <f>VLOOKUP(C281,[1]EmployeeTerritories!$A$1:$B$50,2,FALSE)</f>
        <v>60179</v>
      </c>
      <c r="I281">
        <f>VLOOKUP(C281,[1]EmployeeTerritories!$A$1:$B$50,1,FALSE)</f>
        <v>7</v>
      </c>
      <c r="J281">
        <f>VLOOKUP(H281,[1]!Territories,3,FALSE)</f>
        <v>2</v>
      </c>
      <c r="K281" t="str">
        <f>VLOOKUP(J281,[1]!Region,2,FALSE)</f>
        <v>Western</v>
      </c>
      <c r="L281">
        <f>VLOOKUP(A281,[1]Order_Details!$A$1:$F$2156,2,FALSE)</f>
        <v>4</v>
      </c>
      <c r="M281" t="str">
        <f>VLOOKUP(L281,[1]!Products,2,FALSE)</f>
        <v>Chef Anton's Cajun Seasoning</v>
      </c>
      <c r="N281">
        <f>VLOOKUP(L281,[1]!Products,4,FALSE)</f>
        <v>2</v>
      </c>
      <c r="O281" s="6" t="str">
        <f>VLOOKUP(N281,[1]!Categories,2,FALSE)</f>
        <v>Condiments</v>
      </c>
      <c r="P281" s="6">
        <f>VLOOKUP(A281,[1]Order_Details!$A$1:$F$2156,3,FALSE)</f>
        <v>22</v>
      </c>
      <c r="Q281">
        <f>VLOOKUP(A281,[1]Order_Details!$A$1:$F$2156,4,FALSE)</f>
        <v>50</v>
      </c>
      <c r="R281">
        <f>VLOOKUP(A281,[1]Order_Details!$A$1:$F$2156,5,FALSE)</f>
        <v>0.10000000149011612</v>
      </c>
      <c r="S281" s="6">
        <f>VLOOKUP(A281,[1]Order_Details!$A$1:$F$2156,6,FALSE)</f>
        <v>989.99999836087227</v>
      </c>
      <c r="T281" s="6">
        <f>VLOOKUP(A281,[1]!Orders,8,FALSE)</f>
        <v>41.9</v>
      </c>
    </row>
    <row r="282" spans="1:20" x14ac:dyDescent="0.3">
      <c r="A282" s="2">
        <v>10528</v>
      </c>
      <c r="B282" s="2" t="s">
        <v>83</v>
      </c>
      <c r="C282" s="2">
        <v>6</v>
      </c>
      <c r="D282" s="3">
        <v>35556</v>
      </c>
      <c r="E282" t="str">
        <f>VLOOKUP(C282,[1]Employees!$A$1:$O$10,4,FALSE)</f>
        <v>Suyama Michael</v>
      </c>
      <c r="F282">
        <f>VLOOKUP(A282,[1]!Orders,7,FALSE)</f>
        <v>2</v>
      </c>
      <c r="G282" t="str">
        <f>VLOOKUP(F282,[1]!Shippers,2,FALSE)</f>
        <v>United Package</v>
      </c>
      <c r="H282" t="str">
        <f>VLOOKUP(C282,[1]EmployeeTerritories!$A$1:$B$50,2,FALSE)</f>
        <v>85014</v>
      </c>
      <c r="I282">
        <f>VLOOKUP(C282,[1]EmployeeTerritories!$A$1:$B$50,1,FALSE)</f>
        <v>6</v>
      </c>
      <c r="J282">
        <f>VLOOKUP(H282,[1]!Territories,3,FALSE)</f>
        <v>2</v>
      </c>
      <c r="K282" t="str">
        <f>VLOOKUP(J282,[1]!Region,2,FALSE)</f>
        <v>Western</v>
      </c>
      <c r="L282">
        <f>VLOOKUP(A282,[1]Order_Details!$A$1:$F$2156,2,FALSE)</f>
        <v>11</v>
      </c>
      <c r="M282" t="str">
        <f>VLOOKUP(L282,[1]!Products,2,FALSE)</f>
        <v>Queso Cabrales</v>
      </c>
      <c r="N282">
        <f>VLOOKUP(L282,[1]!Products,4,FALSE)</f>
        <v>4</v>
      </c>
      <c r="O282" s="6" t="str">
        <f>VLOOKUP(N282,[1]!Categories,2,FALSE)</f>
        <v>Dairy Products</v>
      </c>
      <c r="P282" s="6">
        <f>VLOOKUP(A282,[1]Order_Details!$A$1:$F$2156,3,FALSE)</f>
        <v>21</v>
      </c>
      <c r="Q282">
        <f>VLOOKUP(A282,[1]Order_Details!$A$1:$F$2156,4,FALSE)</f>
        <v>3</v>
      </c>
      <c r="R282">
        <f>VLOOKUP(A282,[1]Order_Details!$A$1:$F$2156,5,FALSE)</f>
        <v>0</v>
      </c>
      <c r="S282" s="6">
        <f>VLOOKUP(A282,[1]Order_Details!$A$1:$F$2156,6,FALSE)</f>
        <v>63</v>
      </c>
      <c r="T282" s="6">
        <f>VLOOKUP(A282,[1]!Orders,8,FALSE)</f>
        <v>3.35</v>
      </c>
    </row>
    <row r="283" spans="1:20" x14ac:dyDescent="0.3">
      <c r="A283" s="2">
        <v>10529</v>
      </c>
      <c r="B283" s="2" t="s">
        <v>84</v>
      </c>
      <c r="C283" s="2">
        <v>5</v>
      </c>
      <c r="D283" s="3">
        <v>35557</v>
      </c>
      <c r="E283" t="str">
        <f>VLOOKUP(C283,[1]Employees!$A$1:$O$10,4,FALSE)</f>
        <v>Buchanan Steven</v>
      </c>
      <c r="F283">
        <f>VLOOKUP(A283,[1]!Orders,7,FALSE)</f>
        <v>2</v>
      </c>
      <c r="G283" t="str">
        <f>VLOOKUP(F283,[1]!Shippers,2,FALSE)</f>
        <v>United Package</v>
      </c>
      <c r="H283" t="str">
        <f>VLOOKUP(C283,[1]EmployeeTerritories!$A$1:$B$50,2,FALSE)</f>
        <v>02903</v>
      </c>
      <c r="I283">
        <f>VLOOKUP(C283,[1]EmployeeTerritories!$A$1:$B$50,1,FALSE)</f>
        <v>5</v>
      </c>
      <c r="J283">
        <f>VLOOKUP(H283,[1]!Territories,3,FALSE)</f>
        <v>1</v>
      </c>
      <c r="K283" t="str">
        <f>VLOOKUP(J283,[1]!Region,2,FALSE)</f>
        <v>Eastern</v>
      </c>
      <c r="L283">
        <f>VLOOKUP(A283,[1]Order_Details!$A$1:$F$2156,2,FALSE)</f>
        <v>55</v>
      </c>
      <c r="M283" t="str">
        <f>VLOOKUP(L283,[1]!Products,2,FALSE)</f>
        <v>Pâté chinois</v>
      </c>
      <c r="N283">
        <f>VLOOKUP(L283,[1]!Products,4,FALSE)</f>
        <v>6</v>
      </c>
      <c r="O283" s="6" t="str">
        <f>VLOOKUP(N283,[1]!Categories,2,FALSE)</f>
        <v>Meat/Poultry</v>
      </c>
      <c r="P283" s="6">
        <f>VLOOKUP(A283,[1]Order_Details!$A$1:$F$2156,3,FALSE)</f>
        <v>24</v>
      </c>
      <c r="Q283">
        <f>VLOOKUP(A283,[1]Order_Details!$A$1:$F$2156,4,FALSE)</f>
        <v>14</v>
      </c>
      <c r="R283">
        <f>VLOOKUP(A283,[1]Order_Details!$A$1:$F$2156,5,FALSE)</f>
        <v>0</v>
      </c>
      <c r="S283" s="6">
        <f>VLOOKUP(A283,[1]Order_Details!$A$1:$F$2156,6,FALSE)</f>
        <v>336</v>
      </c>
      <c r="T283" s="6">
        <f>VLOOKUP(A283,[1]!Orders,8,FALSE)</f>
        <v>66.69</v>
      </c>
    </row>
    <row r="284" spans="1:20" x14ac:dyDescent="0.3">
      <c r="A284" s="2">
        <v>10530</v>
      </c>
      <c r="B284" s="2" t="s">
        <v>58</v>
      </c>
      <c r="C284" s="2">
        <v>3</v>
      </c>
      <c r="D284" s="3">
        <v>35558</v>
      </c>
      <c r="E284" t="str">
        <f>VLOOKUP(C284,[1]Employees!$A$1:$O$10,4,FALSE)</f>
        <v>Leverling Janet</v>
      </c>
      <c r="F284">
        <f>VLOOKUP(A284,[1]!Orders,7,FALSE)</f>
        <v>2</v>
      </c>
      <c r="G284" t="str">
        <f>VLOOKUP(F284,[1]!Shippers,2,FALSE)</f>
        <v>United Package</v>
      </c>
      <c r="H284" t="str">
        <f>VLOOKUP(C284,[1]EmployeeTerritories!$A$1:$B$50,2,FALSE)</f>
        <v>30346</v>
      </c>
      <c r="I284">
        <f>VLOOKUP(C284,[1]EmployeeTerritories!$A$1:$B$50,1,FALSE)</f>
        <v>3</v>
      </c>
      <c r="J284">
        <f>VLOOKUP(H284,[1]!Territories,3,FALSE)</f>
        <v>4</v>
      </c>
      <c r="K284" t="str">
        <f>VLOOKUP(J284,[1]!Region,2,FALSE)</f>
        <v>Southern</v>
      </c>
      <c r="L284">
        <f>VLOOKUP(A284,[1]Order_Details!$A$1:$F$2156,2,FALSE)</f>
        <v>17</v>
      </c>
      <c r="M284" t="str">
        <f>VLOOKUP(L284,[1]!Products,2,FALSE)</f>
        <v>Alice Mutton</v>
      </c>
      <c r="N284">
        <f>VLOOKUP(L284,[1]!Products,4,FALSE)</f>
        <v>6</v>
      </c>
      <c r="O284" s="6" t="str">
        <f>VLOOKUP(N284,[1]!Categories,2,FALSE)</f>
        <v>Meat/Poultry</v>
      </c>
      <c r="P284" s="6">
        <f>VLOOKUP(A284,[1]Order_Details!$A$1:$F$2156,3,FALSE)</f>
        <v>39</v>
      </c>
      <c r="Q284">
        <f>VLOOKUP(A284,[1]Order_Details!$A$1:$F$2156,4,FALSE)</f>
        <v>40</v>
      </c>
      <c r="R284">
        <f>VLOOKUP(A284,[1]Order_Details!$A$1:$F$2156,5,FALSE)</f>
        <v>0</v>
      </c>
      <c r="S284" s="6">
        <f>VLOOKUP(A284,[1]Order_Details!$A$1:$F$2156,6,FALSE)</f>
        <v>1560</v>
      </c>
      <c r="T284" s="6">
        <f>VLOOKUP(A284,[1]!Orders,8,FALSE)</f>
        <v>339.22</v>
      </c>
    </row>
    <row r="285" spans="1:20" x14ac:dyDescent="0.3">
      <c r="A285" s="2">
        <v>10531</v>
      </c>
      <c r="B285" s="2" t="s">
        <v>73</v>
      </c>
      <c r="C285" s="2">
        <v>7</v>
      </c>
      <c r="D285" s="3">
        <v>35558</v>
      </c>
      <c r="E285" t="str">
        <f>VLOOKUP(C285,[1]Employees!$A$1:$O$10,4,FALSE)</f>
        <v>King Robert</v>
      </c>
      <c r="F285">
        <f>VLOOKUP(A285,[1]!Orders,7,FALSE)</f>
        <v>1</v>
      </c>
      <c r="G285" t="str">
        <f>VLOOKUP(F285,[1]!Shippers,2,FALSE)</f>
        <v>Speedy Express</v>
      </c>
      <c r="H285" t="str">
        <f>VLOOKUP(C285,[1]EmployeeTerritories!$A$1:$B$50,2,FALSE)</f>
        <v>60179</v>
      </c>
      <c r="I285">
        <f>VLOOKUP(C285,[1]EmployeeTerritories!$A$1:$B$50,1,FALSE)</f>
        <v>7</v>
      </c>
      <c r="J285">
        <f>VLOOKUP(H285,[1]!Territories,3,FALSE)</f>
        <v>2</v>
      </c>
      <c r="K285" t="str">
        <f>VLOOKUP(J285,[1]!Region,2,FALSE)</f>
        <v>Western</v>
      </c>
      <c r="L285">
        <f>VLOOKUP(A285,[1]Order_Details!$A$1:$F$2156,2,FALSE)</f>
        <v>59</v>
      </c>
      <c r="M285" t="str">
        <f>VLOOKUP(L285,[1]!Products,2,FALSE)</f>
        <v>Raclette Courdavault</v>
      </c>
      <c r="N285">
        <f>VLOOKUP(L285,[1]!Products,4,FALSE)</f>
        <v>4</v>
      </c>
      <c r="O285" s="6" t="str">
        <f>VLOOKUP(N285,[1]!Categories,2,FALSE)</f>
        <v>Dairy Products</v>
      </c>
      <c r="P285" s="6">
        <f>VLOOKUP(A285,[1]Order_Details!$A$1:$F$2156,3,FALSE)</f>
        <v>55</v>
      </c>
      <c r="Q285">
        <f>VLOOKUP(A285,[1]Order_Details!$A$1:$F$2156,4,FALSE)</f>
        <v>2</v>
      </c>
      <c r="R285">
        <f>VLOOKUP(A285,[1]Order_Details!$A$1:$F$2156,5,FALSE)</f>
        <v>0</v>
      </c>
      <c r="S285" s="6">
        <f>VLOOKUP(A285,[1]Order_Details!$A$1:$F$2156,6,FALSE)</f>
        <v>110</v>
      </c>
      <c r="T285" s="6">
        <f>VLOOKUP(A285,[1]!Orders,8,FALSE)</f>
        <v>8.1199999999999992</v>
      </c>
    </row>
    <row r="286" spans="1:20" x14ac:dyDescent="0.3">
      <c r="A286" s="2">
        <v>10532</v>
      </c>
      <c r="B286" s="2" t="s">
        <v>62</v>
      </c>
      <c r="C286" s="2">
        <v>7</v>
      </c>
      <c r="D286" s="3">
        <v>35559</v>
      </c>
      <c r="E286" t="str">
        <f>VLOOKUP(C286,[1]Employees!$A$1:$O$10,4,FALSE)</f>
        <v>King Robert</v>
      </c>
      <c r="F286">
        <f>VLOOKUP(A286,[1]!Orders,7,FALSE)</f>
        <v>3</v>
      </c>
      <c r="G286" t="str">
        <f>VLOOKUP(F286,[1]!Shippers,2,FALSE)</f>
        <v>Federal Shipping</v>
      </c>
      <c r="H286" t="str">
        <f>VLOOKUP(C286,[1]EmployeeTerritories!$A$1:$B$50,2,FALSE)</f>
        <v>60179</v>
      </c>
      <c r="I286">
        <f>VLOOKUP(C286,[1]EmployeeTerritories!$A$1:$B$50,1,FALSE)</f>
        <v>7</v>
      </c>
      <c r="J286">
        <f>VLOOKUP(H286,[1]!Territories,3,FALSE)</f>
        <v>2</v>
      </c>
      <c r="K286" t="str">
        <f>VLOOKUP(J286,[1]!Region,2,FALSE)</f>
        <v>Western</v>
      </c>
      <c r="L286">
        <f>VLOOKUP(A286,[1]Order_Details!$A$1:$F$2156,2,FALSE)</f>
        <v>30</v>
      </c>
      <c r="M286" t="str">
        <f>VLOOKUP(L286,[1]!Products,2,FALSE)</f>
        <v>Nord-Ost Matjeshering</v>
      </c>
      <c r="N286">
        <f>VLOOKUP(L286,[1]!Products,4,FALSE)</f>
        <v>8</v>
      </c>
      <c r="O286" s="6" t="str">
        <f>VLOOKUP(N286,[1]!Categories,2,FALSE)</f>
        <v>Seafood</v>
      </c>
      <c r="P286" s="6">
        <f>VLOOKUP(A286,[1]Order_Details!$A$1:$F$2156,3,FALSE)</f>
        <v>25.89</v>
      </c>
      <c r="Q286">
        <f>VLOOKUP(A286,[1]Order_Details!$A$1:$F$2156,4,FALSE)</f>
        <v>15</v>
      </c>
      <c r="R286">
        <f>VLOOKUP(A286,[1]Order_Details!$A$1:$F$2156,5,FALSE)</f>
        <v>0</v>
      </c>
      <c r="S286" s="6">
        <f>VLOOKUP(A286,[1]Order_Details!$A$1:$F$2156,6,FALSE)</f>
        <v>388.35</v>
      </c>
      <c r="T286" s="6">
        <f>VLOOKUP(A286,[1]!Orders,8,FALSE)</f>
        <v>74.459999999999994</v>
      </c>
    </row>
    <row r="287" spans="1:20" x14ac:dyDescent="0.3">
      <c r="A287" s="2">
        <v>10533</v>
      </c>
      <c r="B287" s="2" t="s">
        <v>18</v>
      </c>
      <c r="C287" s="2">
        <v>8</v>
      </c>
      <c r="D287" s="3">
        <v>35562</v>
      </c>
      <c r="E287" t="str">
        <f>VLOOKUP(C287,[1]Employees!$A$1:$O$10,4,FALSE)</f>
        <v>Callahan Laura</v>
      </c>
      <c r="F287">
        <f>VLOOKUP(A287,[1]!Orders,7,FALSE)</f>
        <v>1</v>
      </c>
      <c r="G287" t="str">
        <f>VLOOKUP(F287,[1]!Shippers,2,FALSE)</f>
        <v>Speedy Express</v>
      </c>
      <c r="H287" t="str">
        <f>VLOOKUP(C287,[1]EmployeeTerritories!$A$1:$B$50,2,FALSE)</f>
        <v>19428</v>
      </c>
      <c r="I287">
        <f>VLOOKUP(C287,[1]EmployeeTerritories!$A$1:$B$50,1,FALSE)</f>
        <v>8</v>
      </c>
      <c r="J287">
        <f>VLOOKUP(H287,[1]!Territories,3,FALSE)</f>
        <v>3</v>
      </c>
      <c r="K287" t="str">
        <f>VLOOKUP(J287,[1]!Region,2,FALSE)</f>
        <v>Northern</v>
      </c>
      <c r="L287">
        <f>VLOOKUP(A287,[1]Order_Details!$A$1:$F$2156,2,FALSE)</f>
        <v>4</v>
      </c>
      <c r="M287" t="str">
        <f>VLOOKUP(L287,[1]!Products,2,FALSE)</f>
        <v>Chef Anton's Cajun Seasoning</v>
      </c>
      <c r="N287">
        <f>VLOOKUP(L287,[1]!Products,4,FALSE)</f>
        <v>2</v>
      </c>
      <c r="O287" s="6" t="str">
        <f>VLOOKUP(N287,[1]!Categories,2,FALSE)</f>
        <v>Condiments</v>
      </c>
      <c r="P287" s="6">
        <f>VLOOKUP(A287,[1]Order_Details!$A$1:$F$2156,3,FALSE)</f>
        <v>22</v>
      </c>
      <c r="Q287">
        <f>VLOOKUP(A287,[1]Order_Details!$A$1:$F$2156,4,FALSE)</f>
        <v>50</v>
      </c>
      <c r="R287">
        <f>VLOOKUP(A287,[1]Order_Details!$A$1:$F$2156,5,FALSE)</f>
        <v>5.000000074505806E-2</v>
      </c>
      <c r="S287" s="6">
        <f>VLOOKUP(A287,[1]Order_Details!$A$1:$F$2156,6,FALSE)</f>
        <v>1044.9999991804361</v>
      </c>
      <c r="T287" s="6">
        <f>VLOOKUP(A287,[1]!Orders,8,FALSE)</f>
        <v>188.04</v>
      </c>
    </row>
    <row r="288" spans="1:20" x14ac:dyDescent="0.3">
      <c r="A288" s="2">
        <v>10534</v>
      </c>
      <c r="B288" s="2" t="s">
        <v>30</v>
      </c>
      <c r="C288" s="2">
        <v>8</v>
      </c>
      <c r="D288" s="3">
        <v>35562</v>
      </c>
      <c r="E288" t="str">
        <f>VLOOKUP(C288,[1]Employees!$A$1:$O$10,4,FALSE)</f>
        <v>Callahan Laura</v>
      </c>
      <c r="F288">
        <f>VLOOKUP(A288,[1]!Orders,7,FALSE)</f>
        <v>2</v>
      </c>
      <c r="G288" t="str">
        <f>VLOOKUP(F288,[1]!Shippers,2,FALSE)</f>
        <v>United Package</v>
      </c>
      <c r="H288" t="str">
        <f>VLOOKUP(C288,[1]EmployeeTerritories!$A$1:$B$50,2,FALSE)</f>
        <v>19428</v>
      </c>
      <c r="I288">
        <f>VLOOKUP(C288,[1]EmployeeTerritories!$A$1:$B$50,1,FALSE)</f>
        <v>8</v>
      </c>
      <c r="J288">
        <f>VLOOKUP(H288,[1]!Territories,3,FALSE)</f>
        <v>3</v>
      </c>
      <c r="K288" t="str">
        <f>VLOOKUP(J288,[1]!Region,2,FALSE)</f>
        <v>Northern</v>
      </c>
      <c r="L288">
        <f>VLOOKUP(A288,[1]Order_Details!$A$1:$F$2156,2,FALSE)</f>
        <v>30</v>
      </c>
      <c r="M288" t="str">
        <f>VLOOKUP(L288,[1]!Products,2,FALSE)</f>
        <v>Nord-Ost Matjeshering</v>
      </c>
      <c r="N288">
        <f>VLOOKUP(L288,[1]!Products,4,FALSE)</f>
        <v>8</v>
      </c>
      <c r="O288" s="6" t="str">
        <f>VLOOKUP(N288,[1]!Categories,2,FALSE)</f>
        <v>Seafood</v>
      </c>
      <c r="P288" s="6">
        <f>VLOOKUP(A288,[1]Order_Details!$A$1:$F$2156,3,FALSE)</f>
        <v>25.89</v>
      </c>
      <c r="Q288">
        <f>VLOOKUP(A288,[1]Order_Details!$A$1:$F$2156,4,FALSE)</f>
        <v>10</v>
      </c>
      <c r="R288">
        <f>VLOOKUP(A288,[1]Order_Details!$A$1:$F$2156,5,FALSE)</f>
        <v>0</v>
      </c>
      <c r="S288" s="6">
        <f>VLOOKUP(A288,[1]Order_Details!$A$1:$F$2156,6,FALSE)</f>
        <v>258.89999999999998</v>
      </c>
      <c r="T288" s="6">
        <f>VLOOKUP(A288,[1]!Orders,8,FALSE)</f>
        <v>27.94</v>
      </c>
    </row>
    <row r="289" spans="1:20" x14ac:dyDescent="0.3">
      <c r="A289" s="2">
        <v>10535</v>
      </c>
      <c r="B289" s="2" t="s">
        <v>63</v>
      </c>
      <c r="C289" s="2">
        <v>4</v>
      </c>
      <c r="D289" s="3">
        <v>35563</v>
      </c>
      <c r="E289" t="str">
        <f>VLOOKUP(C289,[1]Employees!$A$1:$O$10,4,FALSE)</f>
        <v>Peacock Margaret</v>
      </c>
      <c r="F289">
        <f>VLOOKUP(A289,[1]!Orders,7,FALSE)</f>
        <v>1</v>
      </c>
      <c r="G289" t="str">
        <f>VLOOKUP(F289,[1]!Shippers,2,FALSE)</f>
        <v>Speedy Express</v>
      </c>
      <c r="H289" t="str">
        <f>VLOOKUP(C289,[1]EmployeeTerritories!$A$1:$B$50,2,FALSE)</f>
        <v>20852</v>
      </c>
      <c r="I289">
        <f>VLOOKUP(C289,[1]EmployeeTerritories!$A$1:$B$50,1,FALSE)</f>
        <v>4</v>
      </c>
      <c r="J289">
        <f>VLOOKUP(H289,[1]!Territories,3,FALSE)</f>
        <v>1</v>
      </c>
      <c r="K289" t="str">
        <f>VLOOKUP(J289,[1]!Region,2,FALSE)</f>
        <v>Eastern</v>
      </c>
      <c r="L289">
        <f>VLOOKUP(A289,[1]Order_Details!$A$1:$F$2156,2,FALSE)</f>
        <v>11</v>
      </c>
      <c r="M289" t="str">
        <f>VLOOKUP(L289,[1]!Products,2,FALSE)</f>
        <v>Queso Cabrales</v>
      </c>
      <c r="N289">
        <f>VLOOKUP(L289,[1]!Products,4,FALSE)</f>
        <v>4</v>
      </c>
      <c r="O289" s="6" t="str">
        <f>VLOOKUP(N289,[1]!Categories,2,FALSE)</f>
        <v>Dairy Products</v>
      </c>
      <c r="P289" s="6">
        <f>VLOOKUP(A289,[1]Order_Details!$A$1:$F$2156,3,FALSE)</f>
        <v>21</v>
      </c>
      <c r="Q289">
        <f>VLOOKUP(A289,[1]Order_Details!$A$1:$F$2156,4,FALSE)</f>
        <v>50</v>
      </c>
      <c r="R289">
        <f>VLOOKUP(A289,[1]Order_Details!$A$1:$F$2156,5,FALSE)</f>
        <v>0.10000000149011612</v>
      </c>
      <c r="S289" s="6">
        <f>VLOOKUP(A289,[1]Order_Details!$A$1:$F$2156,6,FALSE)</f>
        <v>944.99999843537807</v>
      </c>
      <c r="T289" s="6">
        <f>VLOOKUP(A289,[1]!Orders,8,FALSE)</f>
        <v>15.64</v>
      </c>
    </row>
    <row r="290" spans="1:20" x14ac:dyDescent="0.3">
      <c r="A290" s="2">
        <v>10536</v>
      </c>
      <c r="B290" s="2" t="s">
        <v>30</v>
      </c>
      <c r="C290" s="2">
        <v>3</v>
      </c>
      <c r="D290" s="3">
        <v>35564</v>
      </c>
      <c r="E290" t="str">
        <f>VLOOKUP(C290,[1]Employees!$A$1:$O$10,4,FALSE)</f>
        <v>Leverling Janet</v>
      </c>
      <c r="F290">
        <f>VLOOKUP(A290,[1]!Orders,7,FALSE)</f>
        <v>2</v>
      </c>
      <c r="G290" t="str">
        <f>VLOOKUP(F290,[1]!Shippers,2,FALSE)</f>
        <v>United Package</v>
      </c>
      <c r="H290" t="str">
        <f>VLOOKUP(C290,[1]EmployeeTerritories!$A$1:$B$50,2,FALSE)</f>
        <v>30346</v>
      </c>
      <c r="I290">
        <f>VLOOKUP(C290,[1]EmployeeTerritories!$A$1:$B$50,1,FALSE)</f>
        <v>3</v>
      </c>
      <c r="J290">
        <f>VLOOKUP(H290,[1]!Territories,3,FALSE)</f>
        <v>4</v>
      </c>
      <c r="K290" t="str">
        <f>VLOOKUP(J290,[1]!Region,2,FALSE)</f>
        <v>Southern</v>
      </c>
      <c r="L290">
        <f>VLOOKUP(A290,[1]Order_Details!$A$1:$F$2156,2,FALSE)</f>
        <v>12</v>
      </c>
      <c r="M290" t="str">
        <f>VLOOKUP(L290,[1]!Products,2,FALSE)</f>
        <v>Queso Manchego La Pastora</v>
      </c>
      <c r="N290">
        <f>VLOOKUP(L290,[1]!Products,4,FALSE)</f>
        <v>4</v>
      </c>
      <c r="O290" s="6" t="str">
        <f>VLOOKUP(N290,[1]!Categories,2,FALSE)</f>
        <v>Dairy Products</v>
      </c>
      <c r="P290" s="6">
        <f>VLOOKUP(A290,[1]Order_Details!$A$1:$F$2156,3,FALSE)</f>
        <v>38</v>
      </c>
      <c r="Q290">
        <f>VLOOKUP(A290,[1]Order_Details!$A$1:$F$2156,4,FALSE)</f>
        <v>15</v>
      </c>
      <c r="R290">
        <f>VLOOKUP(A290,[1]Order_Details!$A$1:$F$2156,5,FALSE)</f>
        <v>0.25</v>
      </c>
      <c r="S290" s="6">
        <f>VLOOKUP(A290,[1]Order_Details!$A$1:$F$2156,6,FALSE)</f>
        <v>427.5</v>
      </c>
      <c r="T290" s="6">
        <f>VLOOKUP(A290,[1]!Orders,8,FALSE)</f>
        <v>58.88</v>
      </c>
    </row>
    <row r="291" spans="1:20" x14ac:dyDescent="0.3">
      <c r="A291" s="2">
        <v>10537</v>
      </c>
      <c r="B291" s="2" t="s">
        <v>10</v>
      </c>
      <c r="C291" s="2">
        <v>1</v>
      </c>
      <c r="D291" s="3">
        <v>35564</v>
      </c>
      <c r="E291" t="str">
        <f>VLOOKUP(C291,[1]Employees!$A$1:$O$10,4,FALSE)</f>
        <v>Davolio Nancy</v>
      </c>
      <c r="F291">
        <f>VLOOKUP(A291,[1]!Orders,7,FALSE)</f>
        <v>1</v>
      </c>
      <c r="G291" t="str">
        <f>VLOOKUP(F291,[1]!Shippers,2,FALSE)</f>
        <v>Speedy Express</v>
      </c>
      <c r="H291" t="str">
        <f>VLOOKUP(C291,[1]EmployeeTerritories!$A$1:$B$50,2,FALSE)</f>
        <v>06897</v>
      </c>
      <c r="I291">
        <f>VLOOKUP(C291,[1]EmployeeTerritories!$A$1:$B$50,1,FALSE)</f>
        <v>1</v>
      </c>
      <c r="J291">
        <f>VLOOKUP(H291,[1]!Territories,3,FALSE)</f>
        <v>1</v>
      </c>
      <c r="K291" t="str">
        <f>VLOOKUP(J291,[1]!Region,2,FALSE)</f>
        <v>Eastern</v>
      </c>
      <c r="L291">
        <f>VLOOKUP(A291,[1]Order_Details!$A$1:$F$2156,2,FALSE)</f>
        <v>31</v>
      </c>
      <c r="M291" t="str">
        <f>VLOOKUP(L291,[1]!Products,2,FALSE)</f>
        <v>Gorgonzola Telino</v>
      </c>
      <c r="N291">
        <f>VLOOKUP(L291,[1]!Products,4,FALSE)</f>
        <v>4</v>
      </c>
      <c r="O291" s="6" t="str">
        <f>VLOOKUP(N291,[1]!Categories,2,FALSE)</f>
        <v>Dairy Products</v>
      </c>
      <c r="P291" s="6">
        <f>VLOOKUP(A291,[1]Order_Details!$A$1:$F$2156,3,FALSE)</f>
        <v>12.5</v>
      </c>
      <c r="Q291">
        <f>VLOOKUP(A291,[1]Order_Details!$A$1:$F$2156,4,FALSE)</f>
        <v>30</v>
      </c>
      <c r="R291">
        <f>VLOOKUP(A291,[1]Order_Details!$A$1:$F$2156,5,FALSE)</f>
        <v>0</v>
      </c>
      <c r="S291" s="6">
        <f>VLOOKUP(A291,[1]Order_Details!$A$1:$F$2156,6,FALSE)</f>
        <v>375</v>
      </c>
      <c r="T291" s="6">
        <f>VLOOKUP(A291,[1]!Orders,8,FALSE)</f>
        <v>78.849999999999994</v>
      </c>
    </row>
    <row r="292" spans="1:20" x14ac:dyDescent="0.3">
      <c r="A292" s="2">
        <v>10538</v>
      </c>
      <c r="B292" s="2" t="s">
        <v>35</v>
      </c>
      <c r="C292" s="2">
        <v>9</v>
      </c>
      <c r="D292" s="3">
        <v>35565</v>
      </c>
      <c r="E292" t="str">
        <f>VLOOKUP(C292,[1]Employees!$A$1:$O$10,4,FALSE)</f>
        <v>Dodsworth Anne</v>
      </c>
      <c r="F292">
        <f>VLOOKUP(A292,[1]!Orders,7,FALSE)</f>
        <v>3</v>
      </c>
      <c r="G292" t="str">
        <f>VLOOKUP(F292,[1]!Shippers,2,FALSE)</f>
        <v>Federal Shipping</v>
      </c>
      <c r="H292" t="str">
        <f>VLOOKUP(C292,[1]EmployeeTerritories!$A$1:$B$50,2,FALSE)</f>
        <v>03049</v>
      </c>
      <c r="I292">
        <f>VLOOKUP(C292,[1]EmployeeTerritories!$A$1:$B$50,1,FALSE)</f>
        <v>9</v>
      </c>
      <c r="J292">
        <f>VLOOKUP(H292,[1]!Territories,3,FALSE)</f>
        <v>3</v>
      </c>
      <c r="K292" t="str">
        <f>VLOOKUP(J292,[1]!Region,2,FALSE)</f>
        <v>Northern</v>
      </c>
      <c r="L292">
        <f>VLOOKUP(A292,[1]Order_Details!$A$1:$F$2156,2,FALSE)</f>
        <v>70</v>
      </c>
      <c r="M292" t="str">
        <f>VLOOKUP(L292,[1]!Products,2,FALSE)</f>
        <v>Outback Lager</v>
      </c>
      <c r="N292">
        <f>VLOOKUP(L292,[1]!Products,4,FALSE)</f>
        <v>1</v>
      </c>
      <c r="O292" s="6" t="str">
        <f>VLOOKUP(N292,[1]!Categories,2,FALSE)</f>
        <v>Beverages</v>
      </c>
      <c r="P292" s="6">
        <f>VLOOKUP(A292,[1]Order_Details!$A$1:$F$2156,3,FALSE)</f>
        <v>15</v>
      </c>
      <c r="Q292">
        <f>VLOOKUP(A292,[1]Order_Details!$A$1:$F$2156,4,FALSE)</f>
        <v>7</v>
      </c>
      <c r="R292">
        <f>VLOOKUP(A292,[1]Order_Details!$A$1:$F$2156,5,FALSE)</f>
        <v>0</v>
      </c>
      <c r="S292" s="6">
        <f>VLOOKUP(A292,[1]Order_Details!$A$1:$F$2156,6,FALSE)</f>
        <v>105</v>
      </c>
      <c r="T292" s="6">
        <f>VLOOKUP(A292,[1]!Orders,8,FALSE)</f>
        <v>4.87</v>
      </c>
    </row>
    <row r="293" spans="1:20" x14ac:dyDescent="0.3">
      <c r="A293" s="2">
        <v>10539</v>
      </c>
      <c r="B293" s="2" t="s">
        <v>35</v>
      </c>
      <c r="C293" s="2">
        <v>6</v>
      </c>
      <c r="D293" s="3">
        <v>35566</v>
      </c>
      <c r="E293" t="str">
        <f>VLOOKUP(C293,[1]Employees!$A$1:$O$10,4,FALSE)</f>
        <v>Suyama Michael</v>
      </c>
      <c r="F293">
        <f>VLOOKUP(A293,[1]!Orders,7,FALSE)</f>
        <v>3</v>
      </c>
      <c r="G293" t="str">
        <f>VLOOKUP(F293,[1]!Shippers,2,FALSE)</f>
        <v>Federal Shipping</v>
      </c>
      <c r="H293" t="str">
        <f>VLOOKUP(C293,[1]EmployeeTerritories!$A$1:$B$50,2,FALSE)</f>
        <v>85014</v>
      </c>
      <c r="I293">
        <f>VLOOKUP(C293,[1]EmployeeTerritories!$A$1:$B$50,1,FALSE)</f>
        <v>6</v>
      </c>
      <c r="J293">
        <f>VLOOKUP(H293,[1]!Territories,3,FALSE)</f>
        <v>2</v>
      </c>
      <c r="K293" t="str">
        <f>VLOOKUP(J293,[1]!Region,2,FALSE)</f>
        <v>Western</v>
      </c>
      <c r="L293">
        <f>VLOOKUP(A293,[1]Order_Details!$A$1:$F$2156,2,FALSE)</f>
        <v>13</v>
      </c>
      <c r="M293" t="str">
        <f>VLOOKUP(L293,[1]!Products,2,FALSE)</f>
        <v>Konbu</v>
      </c>
      <c r="N293">
        <f>VLOOKUP(L293,[1]!Products,4,FALSE)</f>
        <v>8</v>
      </c>
      <c r="O293" s="6" t="str">
        <f>VLOOKUP(N293,[1]!Categories,2,FALSE)</f>
        <v>Seafood</v>
      </c>
      <c r="P293" s="6">
        <f>VLOOKUP(A293,[1]Order_Details!$A$1:$F$2156,3,FALSE)</f>
        <v>6</v>
      </c>
      <c r="Q293">
        <f>VLOOKUP(A293,[1]Order_Details!$A$1:$F$2156,4,FALSE)</f>
        <v>8</v>
      </c>
      <c r="R293">
        <f>VLOOKUP(A293,[1]Order_Details!$A$1:$F$2156,5,FALSE)</f>
        <v>0</v>
      </c>
      <c r="S293" s="6">
        <f>VLOOKUP(A293,[1]Order_Details!$A$1:$F$2156,6,FALSE)</f>
        <v>48</v>
      </c>
      <c r="T293" s="6">
        <f>VLOOKUP(A293,[1]!Orders,8,FALSE)</f>
        <v>12.36</v>
      </c>
    </row>
    <row r="294" spans="1:20" x14ac:dyDescent="0.3">
      <c r="A294" s="2">
        <v>10540</v>
      </c>
      <c r="B294" s="2" t="s">
        <v>25</v>
      </c>
      <c r="C294" s="2">
        <v>3</v>
      </c>
      <c r="D294" s="3">
        <v>35569</v>
      </c>
      <c r="E294" t="str">
        <f>VLOOKUP(C294,[1]Employees!$A$1:$O$10,4,FALSE)</f>
        <v>Leverling Janet</v>
      </c>
      <c r="F294">
        <f>VLOOKUP(A294,[1]!Orders,7,FALSE)</f>
        <v>3</v>
      </c>
      <c r="G294" t="str">
        <f>VLOOKUP(F294,[1]!Shippers,2,FALSE)</f>
        <v>Federal Shipping</v>
      </c>
      <c r="H294" t="str">
        <f>VLOOKUP(C294,[1]EmployeeTerritories!$A$1:$B$50,2,FALSE)</f>
        <v>30346</v>
      </c>
      <c r="I294">
        <f>VLOOKUP(C294,[1]EmployeeTerritories!$A$1:$B$50,1,FALSE)</f>
        <v>3</v>
      </c>
      <c r="J294">
        <f>VLOOKUP(H294,[1]!Territories,3,FALSE)</f>
        <v>4</v>
      </c>
      <c r="K294" t="str">
        <f>VLOOKUP(J294,[1]!Region,2,FALSE)</f>
        <v>Southern</v>
      </c>
      <c r="L294">
        <f>VLOOKUP(A294,[1]Order_Details!$A$1:$F$2156,2,FALSE)</f>
        <v>3</v>
      </c>
      <c r="M294" t="str">
        <f>VLOOKUP(L294,[1]!Products,2,FALSE)</f>
        <v>Aniseed Syrup</v>
      </c>
      <c r="N294">
        <f>VLOOKUP(L294,[1]!Products,4,FALSE)</f>
        <v>2</v>
      </c>
      <c r="O294" s="6" t="str">
        <f>VLOOKUP(N294,[1]!Categories,2,FALSE)</f>
        <v>Condiments</v>
      </c>
      <c r="P294" s="6">
        <f>VLOOKUP(A294,[1]Order_Details!$A$1:$F$2156,3,FALSE)</f>
        <v>10</v>
      </c>
      <c r="Q294">
        <f>VLOOKUP(A294,[1]Order_Details!$A$1:$F$2156,4,FALSE)</f>
        <v>60</v>
      </c>
      <c r="R294">
        <f>VLOOKUP(A294,[1]Order_Details!$A$1:$F$2156,5,FALSE)</f>
        <v>0</v>
      </c>
      <c r="S294" s="6">
        <f>VLOOKUP(A294,[1]Order_Details!$A$1:$F$2156,6,FALSE)</f>
        <v>600</v>
      </c>
      <c r="T294" s="6">
        <f>VLOOKUP(A294,[1]!Orders,8,FALSE)</f>
        <v>1007.64</v>
      </c>
    </row>
    <row r="295" spans="1:20" x14ac:dyDescent="0.3">
      <c r="A295" s="2">
        <v>10541</v>
      </c>
      <c r="B295" s="2" t="s">
        <v>6</v>
      </c>
      <c r="C295" s="2">
        <v>2</v>
      </c>
      <c r="D295" s="3">
        <v>35569</v>
      </c>
      <c r="E295" t="str">
        <f>VLOOKUP(C295,[1]Employees!$A$1:$O$10,4,FALSE)</f>
        <v>Fuller Andrew</v>
      </c>
      <c r="F295">
        <f>VLOOKUP(A295,[1]!Orders,7,FALSE)</f>
        <v>1</v>
      </c>
      <c r="G295" t="str">
        <f>VLOOKUP(F295,[1]!Shippers,2,FALSE)</f>
        <v>Speedy Express</v>
      </c>
      <c r="H295" t="str">
        <f>VLOOKUP(C295,[1]EmployeeTerritories!$A$1:$B$50,2,FALSE)</f>
        <v>01581</v>
      </c>
      <c r="I295">
        <f>VLOOKUP(C295,[1]EmployeeTerritories!$A$1:$B$50,1,FALSE)</f>
        <v>2</v>
      </c>
      <c r="J295">
        <f>VLOOKUP(H295,[1]!Territories,3,FALSE)</f>
        <v>1</v>
      </c>
      <c r="K295" t="str">
        <f>VLOOKUP(J295,[1]!Region,2,FALSE)</f>
        <v>Eastern</v>
      </c>
      <c r="L295">
        <f>VLOOKUP(A295,[1]Order_Details!$A$1:$F$2156,2,FALSE)</f>
        <v>24</v>
      </c>
      <c r="M295" t="str">
        <f>VLOOKUP(L295,[1]!Products,2,FALSE)</f>
        <v>Guaraná Fantástica</v>
      </c>
      <c r="N295">
        <f>VLOOKUP(L295,[1]!Products,4,FALSE)</f>
        <v>1</v>
      </c>
      <c r="O295" s="6" t="str">
        <f>VLOOKUP(N295,[1]!Categories,2,FALSE)</f>
        <v>Beverages</v>
      </c>
      <c r="P295" s="6">
        <f>VLOOKUP(A295,[1]Order_Details!$A$1:$F$2156,3,FALSE)</f>
        <v>4.5</v>
      </c>
      <c r="Q295">
        <f>VLOOKUP(A295,[1]Order_Details!$A$1:$F$2156,4,FALSE)</f>
        <v>35</v>
      </c>
      <c r="R295">
        <f>VLOOKUP(A295,[1]Order_Details!$A$1:$F$2156,5,FALSE)</f>
        <v>0.10000000149011612</v>
      </c>
      <c r="S295" s="6">
        <f>VLOOKUP(A295,[1]Order_Details!$A$1:$F$2156,6,FALSE)</f>
        <v>141.74999976530671</v>
      </c>
      <c r="T295" s="6">
        <f>VLOOKUP(A295,[1]!Orders,8,FALSE)</f>
        <v>68.650000000000006</v>
      </c>
    </row>
    <row r="296" spans="1:20" x14ac:dyDescent="0.3">
      <c r="A296" s="2">
        <v>10542</v>
      </c>
      <c r="B296" s="2" t="s">
        <v>48</v>
      </c>
      <c r="C296" s="2">
        <v>1</v>
      </c>
      <c r="D296" s="3">
        <v>35570</v>
      </c>
      <c r="E296" t="str">
        <f>VLOOKUP(C296,[1]Employees!$A$1:$O$10,4,FALSE)</f>
        <v>Davolio Nancy</v>
      </c>
      <c r="F296">
        <f>VLOOKUP(A296,[1]!Orders,7,FALSE)</f>
        <v>3</v>
      </c>
      <c r="G296" t="str">
        <f>VLOOKUP(F296,[1]!Shippers,2,FALSE)</f>
        <v>Federal Shipping</v>
      </c>
      <c r="H296" t="str">
        <f>VLOOKUP(C296,[1]EmployeeTerritories!$A$1:$B$50,2,FALSE)</f>
        <v>06897</v>
      </c>
      <c r="I296">
        <f>VLOOKUP(C296,[1]EmployeeTerritories!$A$1:$B$50,1,FALSE)</f>
        <v>1</v>
      </c>
      <c r="J296">
        <f>VLOOKUP(H296,[1]!Territories,3,FALSE)</f>
        <v>1</v>
      </c>
      <c r="K296" t="str">
        <f>VLOOKUP(J296,[1]!Region,2,FALSE)</f>
        <v>Eastern</v>
      </c>
      <c r="L296">
        <f>VLOOKUP(A296,[1]Order_Details!$A$1:$F$2156,2,FALSE)</f>
        <v>11</v>
      </c>
      <c r="M296" t="str">
        <f>VLOOKUP(L296,[1]!Products,2,FALSE)</f>
        <v>Queso Cabrales</v>
      </c>
      <c r="N296">
        <f>VLOOKUP(L296,[1]!Products,4,FALSE)</f>
        <v>4</v>
      </c>
      <c r="O296" s="6" t="str">
        <f>VLOOKUP(N296,[1]!Categories,2,FALSE)</f>
        <v>Dairy Products</v>
      </c>
      <c r="P296" s="6">
        <f>VLOOKUP(A296,[1]Order_Details!$A$1:$F$2156,3,FALSE)</f>
        <v>21</v>
      </c>
      <c r="Q296">
        <f>VLOOKUP(A296,[1]Order_Details!$A$1:$F$2156,4,FALSE)</f>
        <v>15</v>
      </c>
      <c r="R296">
        <f>VLOOKUP(A296,[1]Order_Details!$A$1:$F$2156,5,FALSE)</f>
        <v>5.000000074505806E-2</v>
      </c>
      <c r="S296" s="6">
        <f>VLOOKUP(A296,[1]Order_Details!$A$1:$F$2156,6,FALSE)</f>
        <v>299.24999976530671</v>
      </c>
      <c r="T296" s="6">
        <f>VLOOKUP(A296,[1]!Orders,8,FALSE)</f>
        <v>10.95</v>
      </c>
    </row>
    <row r="297" spans="1:20" x14ac:dyDescent="0.3">
      <c r="A297" s="2">
        <v>10543</v>
      </c>
      <c r="B297" s="2" t="s">
        <v>32</v>
      </c>
      <c r="C297" s="2">
        <v>8</v>
      </c>
      <c r="D297" s="3">
        <v>35571</v>
      </c>
      <c r="E297" t="str">
        <f>VLOOKUP(C297,[1]Employees!$A$1:$O$10,4,FALSE)</f>
        <v>Callahan Laura</v>
      </c>
      <c r="F297">
        <f>VLOOKUP(A297,[1]!Orders,7,FALSE)</f>
        <v>2</v>
      </c>
      <c r="G297" t="str">
        <f>VLOOKUP(F297,[1]!Shippers,2,FALSE)</f>
        <v>United Package</v>
      </c>
      <c r="H297" t="str">
        <f>VLOOKUP(C297,[1]EmployeeTerritories!$A$1:$B$50,2,FALSE)</f>
        <v>19428</v>
      </c>
      <c r="I297">
        <f>VLOOKUP(C297,[1]EmployeeTerritories!$A$1:$B$50,1,FALSE)</f>
        <v>8</v>
      </c>
      <c r="J297">
        <f>VLOOKUP(H297,[1]!Territories,3,FALSE)</f>
        <v>3</v>
      </c>
      <c r="K297" t="str">
        <f>VLOOKUP(J297,[1]!Region,2,FALSE)</f>
        <v>Northern</v>
      </c>
      <c r="L297">
        <f>VLOOKUP(A297,[1]Order_Details!$A$1:$F$2156,2,FALSE)</f>
        <v>12</v>
      </c>
      <c r="M297" t="str">
        <f>VLOOKUP(L297,[1]!Products,2,FALSE)</f>
        <v>Queso Manchego La Pastora</v>
      </c>
      <c r="N297">
        <f>VLOOKUP(L297,[1]!Products,4,FALSE)</f>
        <v>4</v>
      </c>
      <c r="O297" s="6" t="str">
        <f>VLOOKUP(N297,[1]!Categories,2,FALSE)</f>
        <v>Dairy Products</v>
      </c>
      <c r="P297" s="6">
        <f>VLOOKUP(A297,[1]Order_Details!$A$1:$F$2156,3,FALSE)</f>
        <v>38</v>
      </c>
      <c r="Q297">
        <f>VLOOKUP(A297,[1]Order_Details!$A$1:$F$2156,4,FALSE)</f>
        <v>30</v>
      </c>
      <c r="R297">
        <f>VLOOKUP(A297,[1]Order_Details!$A$1:$F$2156,5,FALSE)</f>
        <v>0.15000000596046448</v>
      </c>
      <c r="S297" s="6">
        <f>VLOOKUP(A297,[1]Order_Details!$A$1:$F$2156,6,FALSE)</f>
        <v>968.9999932050705</v>
      </c>
      <c r="T297" s="6">
        <f>VLOOKUP(A297,[1]!Orders,8,FALSE)</f>
        <v>48.17</v>
      </c>
    </row>
    <row r="298" spans="1:20" x14ac:dyDescent="0.3">
      <c r="A298" s="2">
        <v>10544</v>
      </c>
      <c r="B298" s="2" t="s">
        <v>42</v>
      </c>
      <c r="C298" s="2">
        <v>4</v>
      </c>
      <c r="D298" s="3">
        <v>35571</v>
      </c>
      <c r="E298" t="str">
        <f>VLOOKUP(C298,[1]Employees!$A$1:$O$10,4,FALSE)</f>
        <v>Peacock Margaret</v>
      </c>
      <c r="F298">
        <f>VLOOKUP(A298,[1]!Orders,7,FALSE)</f>
        <v>1</v>
      </c>
      <c r="G298" t="str">
        <f>VLOOKUP(F298,[1]!Shippers,2,FALSE)</f>
        <v>Speedy Express</v>
      </c>
      <c r="H298" t="str">
        <f>VLOOKUP(C298,[1]EmployeeTerritories!$A$1:$B$50,2,FALSE)</f>
        <v>20852</v>
      </c>
      <c r="I298">
        <f>VLOOKUP(C298,[1]EmployeeTerritories!$A$1:$B$50,1,FALSE)</f>
        <v>4</v>
      </c>
      <c r="J298">
        <f>VLOOKUP(H298,[1]!Territories,3,FALSE)</f>
        <v>1</v>
      </c>
      <c r="K298" t="str">
        <f>VLOOKUP(J298,[1]!Region,2,FALSE)</f>
        <v>Eastern</v>
      </c>
      <c r="L298">
        <f>VLOOKUP(A298,[1]Order_Details!$A$1:$F$2156,2,FALSE)</f>
        <v>28</v>
      </c>
      <c r="M298" t="str">
        <f>VLOOKUP(L298,[1]!Products,2,FALSE)</f>
        <v>Rössle Sauerkraut</v>
      </c>
      <c r="N298">
        <f>VLOOKUP(L298,[1]!Products,4,FALSE)</f>
        <v>7</v>
      </c>
      <c r="O298" s="6" t="str">
        <f>VLOOKUP(N298,[1]!Categories,2,FALSE)</f>
        <v>Produce</v>
      </c>
      <c r="P298" s="6">
        <f>VLOOKUP(A298,[1]Order_Details!$A$1:$F$2156,3,FALSE)</f>
        <v>45.6</v>
      </c>
      <c r="Q298">
        <f>VLOOKUP(A298,[1]Order_Details!$A$1:$F$2156,4,FALSE)</f>
        <v>7</v>
      </c>
      <c r="R298">
        <f>VLOOKUP(A298,[1]Order_Details!$A$1:$F$2156,5,FALSE)</f>
        <v>0</v>
      </c>
      <c r="S298" s="6">
        <f>VLOOKUP(A298,[1]Order_Details!$A$1:$F$2156,6,FALSE)</f>
        <v>319.2</v>
      </c>
      <c r="T298" s="6">
        <f>VLOOKUP(A298,[1]!Orders,8,FALSE)</f>
        <v>24.91</v>
      </c>
    </row>
    <row r="299" spans="1:20" x14ac:dyDescent="0.3">
      <c r="A299" s="2">
        <v>10545</v>
      </c>
      <c r="B299" s="2" t="s">
        <v>78</v>
      </c>
      <c r="C299" s="2">
        <v>8</v>
      </c>
      <c r="D299" s="3">
        <v>35572</v>
      </c>
      <c r="E299" t="str">
        <f>VLOOKUP(C299,[1]Employees!$A$1:$O$10,4,FALSE)</f>
        <v>Callahan Laura</v>
      </c>
      <c r="F299">
        <f>VLOOKUP(A299,[1]!Orders,7,FALSE)</f>
        <v>2</v>
      </c>
      <c r="G299" t="str">
        <f>VLOOKUP(F299,[1]!Shippers,2,FALSE)</f>
        <v>United Package</v>
      </c>
      <c r="H299" t="str">
        <f>VLOOKUP(C299,[1]EmployeeTerritories!$A$1:$B$50,2,FALSE)</f>
        <v>19428</v>
      </c>
      <c r="I299">
        <f>VLOOKUP(C299,[1]EmployeeTerritories!$A$1:$B$50,1,FALSE)</f>
        <v>8</v>
      </c>
      <c r="J299">
        <f>VLOOKUP(H299,[1]!Territories,3,FALSE)</f>
        <v>3</v>
      </c>
      <c r="K299" t="str">
        <f>VLOOKUP(J299,[1]!Region,2,FALSE)</f>
        <v>Northern</v>
      </c>
      <c r="L299">
        <f>VLOOKUP(A299,[1]Order_Details!$A$1:$F$2156,2,FALSE)</f>
        <v>11</v>
      </c>
      <c r="M299" t="str">
        <f>VLOOKUP(L299,[1]!Products,2,FALSE)</f>
        <v>Queso Cabrales</v>
      </c>
      <c r="N299">
        <f>VLOOKUP(L299,[1]!Products,4,FALSE)</f>
        <v>4</v>
      </c>
      <c r="O299" s="6" t="str">
        <f>VLOOKUP(N299,[1]!Categories,2,FALSE)</f>
        <v>Dairy Products</v>
      </c>
      <c r="P299" s="6">
        <f>VLOOKUP(A299,[1]Order_Details!$A$1:$F$2156,3,FALSE)</f>
        <v>21</v>
      </c>
      <c r="Q299">
        <f>VLOOKUP(A299,[1]Order_Details!$A$1:$F$2156,4,FALSE)</f>
        <v>10</v>
      </c>
      <c r="R299">
        <f>VLOOKUP(A299,[1]Order_Details!$A$1:$F$2156,5,FALSE)</f>
        <v>0</v>
      </c>
      <c r="S299" s="6">
        <f>VLOOKUP(A299,[1]Order_Details!$A$1:$F$2156,6,FALSE)</f>
        <v>210</v>
      </c>
      <c r="T299" s="6">
        <f>VLOOKUP(A299,[1]!Orders,8,FALSE)</f>
        <v>11.92</v>
      </c>
    </row>
    <row r="300" spans="1:20" x14ac:dyDescent="0.3">
      <c r="A300" s="2">
        <v>10546</v>
      </c>
      <c r="B300" s="2" t="s">
        <v>7</v>
      </c>
      <c r="C300" s="2">
        <v>1</v>
      </c>
      <c r="D300" s="3">
        <v>35573</v>
      </c>
      <c r="E300" t="str">
        <f>VLOOKUP(C300,[1]Employees!$A$1:$O$10,4,FALSE)</f>
        <v>Davolio Nancy</v>
      </c>
      <c r="F300">
        <f>VLOOKUP(A300,[1]!Orders,7,FALSE)</f>
        <v>3</v>
      </c>
      <c r="G300" t="str">
        <f>VLOOKUP(F300,[1]!Shippers,2,FALSE)</f>
        <v>Federal Shipping</v>
      </c>
      <c r="H300" t="str">
        <f>VLOOKUP(C300,[1]EmployeeTerritories!$A$1:$B$50,2,FALSE)</f>
        <v>06897</v>
      </c>
      <c r="I300">
        <f>VLOOKUP(C300,[1]EmployeeTerritories!$A$1:$B$50,1,FALSE)</f>
        <v>1</v>
      </c>
      <c r="J300">
        <f>VLOOKUP(H300,[1]!Territories,3,FALSE)</f>
        <v>1</v>
      </c>
      <c r="K300" t="str">
        <f>VLOOKUP(J300,[1]!Region,2,FALSE)</f>
        <v>Eastern</v>
      </c>
      <c r="L300">
        <f>VLOOKUP(A300,[1]Order_Details!$A$1:$F$2156,2,FALSE)</f>
        <v>7</v>
      </c>
      <c r="M300" t="str">
        <f>VLOOKUP(L300,[1]!Products,2,FALSE)</f>
        <v>Uncle Bob's Organic Dried Pears</v>
      </c>
      <c r="N300">
        <f>VLOOKUP(L300,[1]!Products,4,FALSE)</f>
        <v>7</v>
      </c>
      <c r="O300" s="6" t="str">
        <f>VLOOKUP(N300,[1]!Categories,2,FALSE)</f>
        <v>Produce</v>
      </c>
      <c r="P300" s="6">
        <f>VLOOKUP(A300,[1]Order_Details!$A$1:$F$2156,3,FALSE)</f>
        <v>30</v>
      </c>
      <c r="Q300">
        <f>VLOOKUP(A300,[1]Order_Details!$A$1:$F$2156,4,FALSE)</f>
        <v>10</v>
      </c>
      <c r="R300">
        <f>VLOOKUP(A300,[1]Order_Details!$A$1:$F$2156,5,FALSE)</f>
        <v>0</v>
      </c>
      <c r="S300" s="6">
        <f>VLOOKUP(A300,[1]Order_Details!$A$1:$F$2156,6,FALSE)</f>
        <v>300</v>
      </c>
      <c r="T300" s="6">
        <f>VLOOKUP(A300,[1]!Orders,8,FALSE)</f>
        <v>194.72</v>
      </c>
    </row>
    <row r="301" spans="1:20" x14ac:dyDescent="0.3">
      <c r="A301" s="2">
        <v>10547</v>
      </c>
      <c r="B301" s="2" t="s">
        <v>60</v>
      </c>
      <c r="C301" s="2">
        <v>3</v>
      </c>
      <c r="D301" s="3">
        <v>35573</v>
      </c>
      <c r="E301" t="str">
        <f>VLOOKUP(C301,[1]Employees!$A$1:$O$10,4,FALSE)</f>
        <v>Leverling Janet</v>
      </c>
      <c r="F301">
        <f>VLOOKUP(A301,[1]!Orders,7,FALSE)</f>
        <v>2</v>
      </c>
      <c r="G301" t="str">
        <f>VLOOKUP(F301,[1]!Shippers,2,FALSE)</f>
        <v>United Package</v>
      </c>
      <c r="H301" t="str">
        <f>VLOOKUP(C301,[1]EmployeeTerritories!$A$1:$B$50,2,FALSE)</f>
        <v>30346</v>
      </c>
      <c r="I301">
        <f>VLOOKUP(C301,[1]EmployeeTerritories!$A$1:$B$50,1,FALSE)</f>
        <v>3</v>
      </c>
      <c r="J301">
        <f>VLOOKUP(H301,[1]!Territories,3,FALSE)</f>
        <v>4</v>
      </c>
      <c r="K301" t="str">
        <f>VLOOKUP(J301,[1]!Region,2,FALSE)</f>
        <v>Southern</v>
      </c>
      <c r="L301">
        <f>VLOOKUP(A301,[1]Order_Details!$A$1:$F$2156,2,FALSE)</f>
        <v>32</v>
      </c>
      <c r="M301" t="str">
        <f>VLOOKUP(L301,[1]!Products,2,FALSE)</f>
        <v>Mascarpone Fabioli</v>
      </c>
      <c r="N301">
        <f>VLOOKUP(L301,[1]!Products,4,FALSE)</f>
        <v>4</v>
      </c>
      <c r="O301" s="6" t="str">
        <f>VLOOKUP(N301,[1]!Categories,2,FALSE)</f>
        <v>Dairy Products</v>
      </c>
      <c r="P301" s="6">
        <f>VLOOKUP(A301,[1]Order_Details!$A$1:$F$2156,3,FALSE)</f>
        <v>32</v>
      </c>
      <c r="Q301">
        <f>VLOOKUP(A301,[1]Order_Details!$A$1:$F$2156,4,FALSE)</f>
        <v>24</v>
      </c>
      <c r="R301">
        <f>VLOOKUP(A301,[1]Order_Details!$A$1:$F$2156,5,FALSE)</f>
        <v>0.15000000596046448</v>
      </c>
      <c r="S301" s="6">
        <f>VLOOKUP(A301,[1]Order_Details!$A$1:$F$2156,6,FALSE)</f>
        <v>652.79999542236328</v>
      </c>
      <c r="T301" s="6">
        <f>VLOOKUP(A301,[1]!Orders,8,FALSE)</f>
        <v>178.43</v>
      </c>
    </row>
    <row r="302" spans="1:20" x14ac:dyDescent="0.3">
      <c r="A302" s="2">
        <v>10548</v>
      </c>
      <c r="B302" s="2" t="s">
        <v>5</v>
      </c>
      <c r="C302" s="2">
        <v>3</v>
      </c>
      <c r="D302" s="3">
        <v>35576</v>
      </c>
      <c r="E302" t="str">
        <f>VLOOKUP(C302,[1]Employees!$A$1:$O$10,4,FALSE)</f>
        <v>Leverling Janet</v>
      </c>
      <c r="F302">
        <f>VLOOKUP(A302,[1]!Orders,7,FALSE)</f>
        <v>2</v>
      </c>
      <c r="G302" t="str">
        <f>VLOOKUP(F302,[1]!Shippers,2,FALSE)</f>
        <v>United Package</v>
      </c>
      <c r="H302" t="str">
        <f>VLOOKUP(C302,[1]EmployeeTerritories!$A$1:$B$50,2,FALSE)</f>
        <v>30346</v>
      </c>
      <c r="I302">
        <f>VLOOKUP(C302,[1]EmployeeTerritories!$A$1:$B$50,1,FALSE)</f>
        <v>3</v>
      </c>
      <c r="J302">
        <f>VLOOKUP(H302,[1]!Territories,3,FALSE)</f>
        <v>4</v>
      </c>
      <c r="K302" t="str">
        <f>VLOOKUP(J302,[1]!Region,2,FALSE)</f>
        <v>Southern</v>
      </c>
      <c r="L302">
        <f>VLOOKUP(A302,[1]Order_Details!$A$1:$F$2156,2,FALSE)</f>
        <v>34</v>
      </c>
      <c r="M302" t="str">
        <f>VLOOKUP(L302,[1]!Products,2,FALSE)</f>
        <v>Sasquatch Ale</v>
      </c>
      <c r="N302">
        <f>VLOOKUP(L302,[1]!Products,4,FALSE)</f>
        <v>1</v>
      </c>
      <c r="O302" s="6" t="str">
        <f>VLOOKUP(N302,[1]!Categories,2,FALSE)</f>
        <v>Beverages</v>
      </c>
      <c r="P302" s="6">
        <f>VLOOKUP(A302,[1]Order_Details!$A$1:$F$2156,3,FALSE)</f>
        <v>14</v>
      </c>
      <c r="Q302">
        <f>VLOOKUP(A302,[1]Order_Details!$A$1:$F$2156,4,FALSE)</f>
        <v>10</v>
      </c>
      <c r="R302">
        <f>VLOOKUP(A302,[1]Order_Details!$A$1:$F$2156,5,FALSE)</f>
        <v>0.25</v>
      </c>
      <c r="S302" s="6">
        <f>VLOOKUP(A302,[1]Order_Details!$A$1:$F$2156,6,FALSE)</f>
        <v>105</v>
      </c>
      <c r="T302" s="6">
        <f>VLOOKUP(A302,[1]!Orders,8,FALSE)</f>
        <v>1.43</v>
      </c>
    </row>
    <row r="303" spans="1:20" x14ac:dyDescent="0.3">
      <c r="A303" s="2">
        <v>10549</v>
      </c>
      <c r="B303" s="2" t="s">
        <v>25</v>
      </c>
      <c r="C303" s="2">
        <v>5</v>
      </c>
      <c r="D303" s="3">
        <v>35577</v>
      </c>
      <c r="E303" t="str">
        <f>VLOOKUP(C303,[1]Employees!$A$1:$O$10,4,FALSE)</f>
        <v>Buchanan Steven</v>
      </c>
      <c r="F303">
        <f>VLOOKUP(A303,[1]!Orders,7,FALSE)</f>
        <v>1</v>
      </c>
      <c r="G303" t="str">
        <f>VLOOKUP(F303,[1]!Shippers,2,FALSE)</f>
        <v>Speedy Express</v>
      </c>
      <c r="H303" t="str">
        <f>VLOOKUP(C303,[1]EmployeeTerritories!$A$1:$B$50,2,FALSE)</f>
        <v>02903</v>
      </c>
      <c r="I303">
        <f>VLOOKUP(C303,[1]EmployeeTerritories!$A$1:$B$50,1,FALSE)</f>
        <v>5</v>
      </c>
      <c r="J303">
        <f>VLOOKUP(H303,[1]!Territories,3,FALSE)</f>
        <v>1</v>
      </c>
      <c r="K303" t="str">
        <f>VLOOKUP(J303,[1]!Region,2,FALSE)</f>
        <v>Eastern</v>
      </c>
      <c r="L303">
        <f>VLOOKUP(A303,[1]Order_Details!$A$1:$F$2156,2,FALSE)</f>
        <v>31</v>
      </c>
      <c r="M303" t="str">
        <f>VLOOKUP(L303,[1]!Products,2,FALSE)</f>
        <v>Gorgonzola Telino</v>
      </c>
      <c r="N303">
        <f>VLOOKUP(L303,[1]!Products,4,FALSE)</f>
        <v>4</v>
      </c>
      <c r="O303" s="6" t="str">
        <f>VLOOKUP(N303,[1]!Categories,2,FALSE)</f>
        <v>Dairy Products</v>
      </c>
      <c r="P303" s="6">
        <f>VLOOKUP(A303,[1]Order_Details!$A$1:$F$2156,3,FALSE)</f>
        <v>12.5</v>
      </c>
      <c r="Q303">
        <f>VLOOKUP(A303,[1]Order_Details!$A$1:$F$2156,4,FALSE)</f>
        <v>55</v>
      </c>
      <c r="R303">
        <f>VLOOKUP(A303,[1]Order_Details!$A$1:$F$2156,5,FALSE)</f>
        <v>0.15000000596046448</v>
      </c>
      <c r="S303" s="6">
        <f>VLOOKUP(A303,[1]Order_Details!$A$1:$F$2156,6,FALSE)</f>
        <v>584.37499590218067</v>
      </c>
      <c r="T303" s="6">
        <f>VLOOKUP(A303,[1]!Orders,8,FALSE)</f>
        <v>171.24</v>
      </c>
    </row>
    <row r="304" spans="1:20" x14ac:dyDescent="0.3">
      <c r="A304" s="2">
        <v>10550</v>
      </c>
      <c r="B304" s="2" t="s">
        <v>40</v>
      </c>
      <c r="C304" s="2">
        <v>7</v>
      </c>
      <c r="D304" s="3">
        <v>35578</v>
      </c>
      <c r="E304" t="str">
        <f>VLOOKUP(C304,[1]Employees!$A$1:$O$10,4,FALSE)</f>
        <v>King Robert</v>
      </c>
      <c r="F304">
        <f>VLOOKUP(A304,[1]!Orders,7,FALSE)</f>
        <v>3</v>
      </c>
      <c r="G304" t="str">
        <f>VLOOKUP(F304,[1]!Shippers,2,FALSE)</f>
        <v>Federal Shipping</v>
      </c>
      <c r="H304" t="str">
        <f>VLOOKUP(C304,[1]EmployeeTerritories!$A$1:$B$50,2,FALSE)</f>
        <v>60179</v>
      </c>
      <c r="I304">
        <f>VLOOKUP(C304,[1]EmployeeTerritories!$A$1:$B$50,1,FALSE)</f>
        <v>7</v>
      </c>
      <c r="J304">
        <f>VLOOKUP(H304,[1]!Territories,3,FALSE)</f>
        <v>2</v>
      </c>
      <c r="K304" t="str">
        <f>VLOOKUP(J304,[1]!Region,2,FALSE)</f>
        <v>Western</v>
      </c>
      <c r="L304">
        <f>VLOOKUP(A304,[1]Order_Details!$A$1:$F$2156,2,FALSE)</f>
        <v>17</v>
      </c>
      <c r="M304" t="str">
        <f>VLOOKUP(L304,[1]!Products,2,FALSE)</f>
        <v>Alice Mutton</v>
      </c>
      <c r="N304">
        <f>VLOOKUP(L304,[1]!Products,4,FALSE)</f>
        <v>6</v>
      </c>
      <c r="O304" s="6" t="str">
        <f>VLOOKUP(N304,[1]!Categories,2,FALSE)</f>
        <v>Meat/Poultry</v>
      </c>
      <c r="P304" s="6">
        <f>VLOOKUP(A304,[1]Order_Details!$A$1:$F$2156,3,FALSE)</f>
        <v>39</v>
      </c>
      <c r="Q304">
        <f>VLOOKUP(A304,[1]Order_Details!$A$1:$F$2156,4,FALSE)</f>
        <v>8</v>
      </c>
      <c r="R304">
        <f>VLOOKUP(A304,[1]Order_Details!$A$1:$F$2156,5,FALSE)</f>
        <v>0.10000000149011612</v>
      </c>
      <c r="S304" s="6">
        <f>VLOOKUP(A304,[1]Order_Details!$A$1:$F$2156,6,FALSE)</f>
        <v>280.79999953508377</v>
      </c>
      <c r="T304" s="6">
        <f>VLOOKUP(A304,[1]!Orders,8,FALSE)</f>
        <v>4.32</v>
      </c>
    </row>
    <row r="305" spans="1:20" x14ac:dyDescent="0.3">
      <c r="A305" s="2">
        <v>10551</v>
      </c>
      <c r="B305" s="2" t="s">
        <v>51</v>
      </c>
      <c r="C305" s="2">
        <v>4</v>
      </c>
      <c r="D305" s="3">
        <v>35578</v>
      </c>
      <c r="E305" t="str">
        <f>VLOOKUP(C305,[1]Employees!$A$1:$O$10,4,FALSE)</f>
        <v>Peacock Margaret</v>
      </c>
      <c r="F305">
        <f>VLOOKUP(A305,[1]!Orders,7,FALSE)</f>
        <v>3</v>
      </c>
      <c r="G305" t="str">
        <f>VLOOKUP(F305,[1]!Shippers,2,FALSE)</f>
        <v>Federal Shipping</v>
      </c>
      <c r="H305" t="str">
        <f>VLOOKUP(C305,[1]EmployeeTerritories!$A$1:$B$50,2,FALSE)</f>
        <v>20852</v>
      </c>
      <c r="I305">
        <f>VLOOKUP(C305,[1]EmployeeTerritories!$A$1:$B$50,1,FALSE)</f>
        <v>4</v>
      </c>
      <c r="J305">
        <f>VLOOKUP(H305,[1]!Territories,3,FALSE)</f>
        <v>1</v>
      </c>
      <c r="K305" t="str">
        <f>VLOOKUP(J305,[1]!Region,2,FALSE)</f>
        <v>Eastern</v>
      </c>
      <c r="L305">
        <f>VLOOKUP(A305,[1]Order_Details!$A$1:$F$2156,2,FALSE)</f>
        <v>16</v>
      </c>
      <c r="M305" t="str">
        <f>VLOOKUP(L305,[1]!Products,2,FALSE)</f>
        <v>Pavlova</v>
      </c>
      <c r="N305">
        <f>VLOOKUP(L305,[1]!Products,4,FALSE)</f>
        <v>3</v>
      </c>
      <c r="O305" s="6" t="str">
        <f>VLOOKUP(N305,[1]!Categories,2,FALSE)</f>
        <v>Confections</v>
      </c>
      <c r="P305" s="6">
        <f>VLOOKUP(A305,[1]Order_Details!$A$1:$F$2156,3,FALSE)</f>
        <v>17.45</v>
      </c>
      <c r="Q305">
        <f>VLOOKUP(A305,[1]Order_Details!$A$1:$F$2156,4,FALSE)</f>
        <v>40</v>
      </c>
      <c r="R305">
        <f>VLOOKUP(A305,[1]Order_Details!$A$1:$F$2156,5,FALSE)</f>
        <v>0.15000000596046448</v>
      </c>
      <c r="S305" s="6">
        <f>VLOOKUP(A305,[1]Order_Details!$A$1:$F$2156,6,FALSE)</f>
        <v>593.29999583959579</v>
      </c>
      <c r="T305" s="6">
        <f>VLOOKUP(A305,[1]!Orders,8,FALSE)</f>
        <v>72.95</v>
      </c>
    </row>
    <row r="306" spans="1:20" x14ac:dyDescent="0.3">
      <c r="A306" s="2">
        <v>10552</v>
      </c>
      <c r="B306" s="2" t="s">
        <v>12</v>
      </c>
      <c r="C306" s="2">
        <v>2</v>
      </c>
      <c r="D306" s="3">
        <v>35579</v>
      </c>
      <c r="E306" t="str">
        <f>VLOOKUP(C306,[1]Employees!$A$1:$O$10,4,FALSE)</f>
        <v>Fuller Andrew</v>
      </c>
      <c r="F306">
        <f>VLOOKUP(A306,[1]!Orders,7,FALSE)</f>
        <v>1</v>
      </c>
      <c r="G306" t="str">
        <f>VLOOKUP(F306,[1]!Shippers,2,FALSE)</f>
        <v>Speedy Express</v>
      </c>
      <c r="H306" t="str">
        <f>VLOOKUP(C306,[1]EmployeeTerritories!$A$1:$B$50,2,FALSE)</f>
        <v>01581</v>
      </c>
      <c r="I306">
        <f>VLOOKUP(C306,[1]EmployeeTerritories!$A$1:$B$50,1,FALSE)</f>
        <v>2</v>
      </c>
      <c r="J306">
        <f>VLOOKUP(H306,[1]!Territories,3,FALSE)</f>
        <v>1</v>
      </c>
      <c r="K306" t="str">
        <f>VLOOKUP(J306,[1]!Region,2,FALSE)</f>
        <v>Eastern</v>
      </c>
      <c r="L306">
        <f>VLOOKUP(A306,[1]Order_Details!$A$1:$F$2156,2,FALSE)</f>
        <v>69</v>
      </c>
      <c r="M306" t="str">
        <f>VLOOKUP(L306,[1]!Products,2,FALSE)</f>
        <v>Gudbrandsdalsost</v>
      </c>
      <c r="N306">
        <f>VLOOKUP(L306,[1]!Products,4,FALSE)</f>
        <v>4</v>
      </c>
      <c r="O306" s="6" t="str">
        <f>VLOOKUP(N306,[1]!Categories,2,FALSE)</f>
        <v>Dairy Products</v>
      </c>
      <c r="P306" s="6">
        <f>VLOOKUP(A306,[1]Order_Details!$A$1:$F$2156,3,FALSE)</f>
        <v>36</v>
      </c>
      <c r="Q306">
        <f>VLOOKUP(A306,[1]Order_Details!$A$1:$F$2156,4,FALSE)</f>
        <v>18</v>
      </c>
      <c r="R306">
        <f>VLOOKUP(A306,[1]Order_Details!$A$1:$F$2156,5,FALSE)</f>
        <v>0</v>
      </c>
      <c r="S306" s="6">
        <f>VLOOKUP(A306,[1]Order_Details!$A$1:$F$2156,6,FALSE)</f>
        <v>648</v>
      </c>
      <c r="T306" s="6">
        <f>VLOOKUP(A306,[1]!Orders,8,FALSE)</f>
        <v>83.22</v>
      </c>
    </row>
    <row r="307" spans="1:20" x14ac:dyDescent="0.3">
      <c r="A307" s="2">
        <v>10553</v>
      </c>
      <c r="B307" s="2" t="s">
        <v>20</v>
      </c>
      <c r="C307" s="2">
        <v>2</v>
      </c>
      <c r="D307" s="3">
        <v>35580</v>
      </c>
      <c r="E307" t="str">
        <f>VLOOKUP(C307,[1]Employees!$A$1:$O$10,4,FALSE)</f>
        <v>Fuller Andrew</v>
      </c>
      <c r="F307">
        <f>VLOOKUP(A307,[1]!Orders,7,FALSE)</f>
        <v>2</v>
      </c>
      <c r="G307" t="str">
        <f>VLOOKUP(F307,[1]!Shippers,2,FALSE)</f>
        <v>United Package</v>
      </c>
      <c r="H307" t="str">
        <f>VLOOKUP(C307,[1]EmployeeTerritories!$A$1:$B$50,2,FALSE)</f>
        <v>01581</v>
      </c>
      <c r="I307">
        <f>VLOOKUP(C307,[1]EmployeeTerritories!$A$1:$B$50,1,FALSE)</f>
        <v>2</v>
      </c>
      <c r="J307">
        <f>VLOOKUP(H307,[1]!Territories,3,FALSE)</f>
        <v>1</v>
      </c>
      <c r="K307" t="str">
        <f>VLOOKUP(J307,[1]!Region,2,FALSE)</f>
        <v>Eastern</v>
      </c>
      <c r="L307">
        <f>VLOOKUP(A307,[1]Order_Details!$A$1:$F$2156,2,FALSE)</f>
        <v>11</v>
      </c>
      <c r="M307" t="str">
        <f>VLOOKUP(L307,[1]!Products,2,FALSE)</f>
        <v>Queso Cabrales</v>
      </c>
      <c r="N307">
        <f>VLOOKUP(L307,[1]!Products,4,FALSE)</f>
        <v>4</v>
      </c>
      <c r="O307" s="6" t="str">
        <f>VLOOKUP(N307,[1]!Categories,2,FALSE)</f>
        <v>Dairy Products</v>
      </c>
      <c r="P307" s="6">
        <f>VLOOKUP(A307,[1]Order_Details!$A$1:$F$2156,3,FALSE)</f>
        <v>21</v>
      </c>
      <c r="Q307">
        <f>VLOOKUP(A307,[1]Order_Details!$A$1:$F$2156,4,FALSE)</f>
        <v>15</v>
      </c>
      <c r="R307">
        <f>VLOOKUP(A307,[1]Order_Details!$A$1:$F$2156,5,FALSE)</f>
        <v>0</v>
      </c>
      <c r="S307" s="6">
        <f>VLOOKUP(A307,[1]Order_Details!$A$1:$F$2156,6,FALSE)</f>
        <v>315</v>
      </c>
      <c r="T307" s="6">
        <f>VLOOKUP(A307,[1]!Orders,8,FALSE)</f>
        <v>149.49</v>
      </c>
    </row>
    <row r="308" spans="1:20" x14ac:dyDescent="0.3">
      <c r="A308" s="2">
        <v>10554</v>
      </c>
      <c r="B308" s="2" t="s">
        <v>15</v>
      </c>
      <c r="C308" s="2">
        <v>4</v>
      </c>
      <c r="D308" s="3">
        <v>35580</v>
      </c>
      <c r="E308" t="str">
        <f>VLOOKUP(C308,[1]Employees!$A$1:$O$10,4,FALSE)</f>
        <v>Peacock Margaret</v>
      </c>
      <c r="F308">
        <f>VLOOKUP(A308,[1]!Orders,7,FALSE)</f>
        <v>3</v>
      </c>
      <c r="G308" t="str">
        <f>VLOOKUP(F308,[1]!Shippers,2,FALSE)</f>
        <v>Federal Shipping</v>
      </c>
      <c r="H308" t="str">
        <f>VLOOKUP(C308,[1]EmployeeTerritories!$A$1:$B$50,2,FALSE)</f>
        <v>20852</v>
      </c>
      <c r="I308">
        <f>VLOOKUP(C308,[1]EmployeeTerritories!$A$1:$B$50,1,FALSE)</f>
        <v>4</v>
      </c>
      <c r="J308">
        <f>VLOOKUP(H308,[1]!Territories,3,FALSE)</f>
        <v>1</v>
      </c>
      <c r="K308" t="str">
        <f>VLOOKUP(J308,[1]!Region,2,FALSE)</f>
        <v>Eastern</v>
      </c>
      <c r="L308">
        <f>VLOOKUP(A308,[1]Order_Details!$A$1:$F$2156,2,FALSE)</f>
        <v>16</v>
      </c>
      <c r="M308" t="str">
        <f>VLOOKUP(L308,[1]!Products,2,FALSE)</f>
        <v>Pavlova</v>
      </c>
      <c r="N308">
        <f>VLOOKUP(L308,[1]!Products,4,FALSE)</f>
        <v>3</v>
      </c>
      <c r="O308" s="6" t="str">
        <f>VLOOKUP(N308,[1]!Categories,2,FALSE)</f>
        <v>Confections</v>
      </c>
      <c r="P308" s="6">
        <f>VLOOKUP(A308,[1]Order_Details!$A$1:$F$2156,3,FALSE)</f>
        <v>17.45</v>
      </c>
      <c r="Q308">
        <f>VLOOKUP(A308,[1]Order_Details!$A$1:$F$2156,4,FALSE)</f>
        <v>30</v>
      </c>
      <c r="R308">
        <f>VLOOKUP(A308,[1]Order_Details!$A$1:$F$2156,5,FALSE)</f>
        <v>5.000000074505806E-2</v>
      </c>
      <c r="S308" s="6">
        <f>VLOOKUP(A308,[1]Order_Details!$A$1:$F$2156,6,FALSE)</f>
        <v>497.32499960996211</v>
      </c>
      <c r="T308" s="6">
        <f>VLOOKUP(A308,[1]!Orders,8,FALSE)</f>
        <v>120.97</v>
      </c>
    </row>
    <row r="309" spans="1:20" x14ac:dyDescent="0.3">
      <c r="A309" s="2">
        <v>10555</v>
      </c>
      <c r="B309" s="2" t="s">
        <v>49</v>
      </c>
      <c r="C309" s="2">
        <v>6</v>
      </c>
      <c r="D309" s="3">
        <v>35583</v>
      </c>
      <c r="E309" t="str">
        <f>VLOOKUP(C309,[1]Employees!$A$1:$O$10,4,FALSE)</f>
        <v>Suyama Michael</v>
      </c>
      <c r="F309">
        <f>VLOOKUP(A309,[1]!Orders,7,FALSE)</f>
        <v>3</v>
      </c>
      <c r="G309" t="str">
        <f>VLOOKUP(F309,[1]!Shippers,2,FALSE)</f>
        <v>Federal Shipping</v>
      </c>
      <c r="H309" t="str">
        <f>VLOOKUP(C309,[1]EmployeeTerritories!$A$1:$B$50,2,FALSE)</f>
        <v>85014</v>
      </c>
      <c r="I309">
        <f>VLOOKUP(C309,[1]EmployeeTerritories!$A$1:$B$50,1,FALSE)</f>
        <v>6</v>
      </c>
      <c r="J309">
        <f>VLOOKUP(H309,[1]!Territories,3,FALSE)</f>
        <v>2</v>
      </c>
      <c r="K309" t="str">
        <f>VLOOKUP(J309,[1]!Region,2,FALSE)</f>
        <v>Western</v>
      </c>
      <c r="L309">
        <f>VLOOKUP(A309,[1]Order_Details!$A$1:$F$2156,2,FALSE)</f>
        <v>14</v>
      </c>
      <c r="M309" t="str">
        <f>VLOOKUP(L309,[1]!Products,2,FALSE)</f>
        <v>Tofu</v>
      </c>
      <c r="N309">
        <f>VLOOKUP(L309,[1]!Products,4,FALSE)</f>
        <v>7</v>
      </c>
      <c r="O309" s="6" t="str">
        <f>VLOOKUP(N309,[1]!Categories,2,FALSE)</f>
        <v>Produce</v>
      </c>
      <c r="P309" s="6">
        <f>VLOOKUP(A309,[1]Order_Details!$A$1:$F$2156,3,FALSE)</f>
        <v>23.25</v>
      </c>
      <c r="Q309">
        <f>VLOOKUP(A309,[1]Order_Details!$A$1:$F$2156,4,FALSE)</f>
        <v>30</v>
      </c>
      <c r="R309">
        <f>VLOOKUP(A309,[1]Order_Details!$A$1:$F$2156,5,FALSE)</f>
        <v>0.20000000298023224</v>
      </c>
      <c r="S309" s="6">
        <f>VLOOKUP(A309,[1]Order_Details!$A$1:$F$2156,6,FALSE)</f>
        <v>557.99999792128801</v>
      </c>
      <c r="T309" s="6">
        <f>VLOOKUP(A309,[1]!Orders,8,FALSE)</f>
        <v>252.49</v>
      </c>
    </row>
    <row r="310" spans="1:20" x14ac:dyDescent="0.3">
      <c r="A310" s="2">
        <v>10556</v>
      </c>
      <c r="B310" s="2" t="s">
        <v>55</v>
      </c>
      <c r="C310" s="2">
        <v>2</v>
      </c>
      <c r="D310" s="3">
        <v>35584</v>
      </c>
      <c r="E310" t="str">
        <f>VLOOKUP(C310,[1]Employees!$A$1:$O$10,4,FALSE)</f>
        <v>Fuller Andrew</v>
      </c>
      <c r="F310">
        <f>VLOOKUP(A310,[1]!Orders,7,FALSE)</f>
        <v>1</v>
      </c>
      <c r="G310" t="str">
        <f>VLOOKUP(F310,[1]!Shippers,2,FALSE)</f>
        <v>Speedy Express</v>
      </c>
      <c r="H310" t="str">
        <f>VLOOKUP(C310,[1]EmployeeTerritories!$A$1:$B$50,2,FALSE)</f>
        <v>01581</v>
      </c>
      <c r="I310">
        <f>VLOOKUP(C310,[1]EmployeeTerritories!$A$1:$B$50,1,FALSE)</f>
        <v>2</v>
      </c>
      <c r="J310">
        <f>VLOOKUP(H310,[1]!Territories,3,FALSE)</f>
        <v>1</v>
      </c>
      <c r="K310" t="str">
        <f>VLOOKUP(J310,[1]!Region,2,FALSE)</f>
        <v>Eastern</v>
      </c>
      <c r="L310">
        <f>VLOOKUP(A310,[1]Order_Details!$A$1:$F$2156,2,FALSE)</f>
        <v>72</v>
      </c>
      <c r="M310" t="str">
        <f>VLOOKUP(L310,[1]!Products,2,FALSE)</f>
        <v>Mozzarella di Giovanni</v>
      </c>
      <c r="N310">
        <f>VLOOKUP(L310,[1]!Products,4,FALSE)</f>
        <v>4</v>
      </c>
      <c r="O310" s="6" t="str">
        <f>VLOOKUP(N310,[1]!Categories,2,FALSE)</f>
        <v>Dairy Products</v>
      </c>
      <c r="P310" s="6">
        <f>VLOOKUP(A310,[1]Order_Details!$A$1:$F$2156,3,FALSE)</f>
        <v>34.799999999999997</v>
      </c>
      <c r="Q310">
        <f>VLOOKUP(A310,[1]Order_Details!$A$1:$F$2156,4,FALSE)</f>
        <v>24</v>
      </c>
      <c r="R310">
        <f>VLOOKUP(A310,[1]Order_Details!$A$1:$F$2156,5,FALSE)</f>
        <v>0</v>
      </c>
      <c r="S310" s="6">
        <f>VLOOKUP(A310,[1]Order_Details!$A$1:$F$2156,6,FALSE)</f>
        <v>835.19999999999993</v>
      </c>
      <c r="T310" s="6">
        <f>VLOOKUP(A310,[1]!Orders,8,FALSE)</f>
        <v>9.8000000000000007</v>
      </c>
    </row>
    <row r="311" spans="1:20" x14ac:dyDescent="0.3">
      <c r="A311" s="2">
        <v>10557</v>
      </c>
      <c r="B311" s="2" t="s">
        <v>30</v>
      </c>
      <c r="C311" s="2">
        <v>9</v>
      </c>
      <c r="D311" s="3">
        <v>35584</v>
      </c>
      <c r="E311" t="str">
        <f>VLOOKUP(C311,[1]Employees!$A$1:$O$10,4,FALSE)</f>
        <v>Dodsworth Anne</v>
      </c>
      <c r="F311">
        <f>VLOOKUP(A311,[1]!Orders,7,FALSE)</f>
        <v>2</v>
      </c>
      <c r="G311" t="str">
        <f>VLOOKUP(F311,[1]!Shippers,2,FALSE)</f>
        <v>United Package</v>
      </c>
      <c r="H311" t="str">
        <f>VLOOKUP(C311,[1]EmployeeTerritories!$A$1:$B$50,2,FALSE)</f>
        <v>03049</v>
      </c>
      <c r="I311">
        <f>VLOOKUP(C311,[1]EmployeeTerritories!$A$1:$B$50,1,FALSE)</f>
        <v>9</v>
      </c>
      <c r="J311">
        <f>VLOOKUP(H311,[1]!Territories,3,FALSE)</f>
        <v>3</v>
      </c>
      <c r="K311" t="str">
        <f>VLOOKUP(J311,[1]!Region,2,FALSE)</f>
        <v>Northern</v>
      </c>
      <c r="L311">
        <f>VLOOKUP(A311,[1]Order_Details!$A$1:$F$2156,2,FALSE)</f>
        <v>64</v>
      </c>
      <c r="M311" t="str">
        <f>VLOOKUP(L311,[1]!Products,2,FALSE)</f>
        <v>Wimmers gute Semmelknödel</v>
      </c>
      <c r="N311">
        <f>VLOOKUP(L311,[1]!Products,4,FALSE)</f>
        <v>5</v>
      </c>
      <c r="O311" s="6" t="str">
        <f>VLOOKUP(N311,[1]!Categories,2,FALSE)</f>
        <v>Grains/Cereals</v>
      </c>
      <c r="P311" s="6">
        <f>VLOOKUP(A311,[1]Order_Details!$A$1:$F$2156,3,FALSE)</f>
        <v>33.25</v>
      </c>
      <c r="Q311">
        <f>VLOOKUP(A311,[1]Order_Details!$A$1:$F$2156,4,FALSE)</f>
        <v>30</v>
      </c>
      <c r="R311">
        <f>VLOOKUP(A311,[1]Order_Details!$A$1:$F$2156,5,FALSE)</f>
        <v>0</v>
      </c>
      <c r="S311" s="6">
        <f>VLOOKUP(A311,[1]Order_Details!$A$1:$F$2156,6,FALSE)</f>
        <v>997.5</v>
      </c>
      <c r="T311" s="6">
        <f>VLOOKUP(A311,[1]!Orders,8,FALSE)</f>
        <v>96.72</v>
      </c>
    </row>
    <row r="312" spans="1:20" x14ac:dyDescent="0.3">
      <c r="A312" s="2">
        <v>10558</v>
      </c>
      <c r="B312" s="2" t="s">
        <v>59</v>
      </c>
      <c r="C312" s="2">
        <v>1</v>
      </c>
      <c r="D312" s="3">
        <v>35585</v>
      </c>
      <c r="E312" t="str">
        <f>VLOOKUP(C312,[1]Employees!$A$1:$O$10,4,FALSE)</f>
        <v>Davolio Nancy</v>
      </c>
      <c r="F312">
        <f>VLOOKUP(A312,[1]!Orders,7,FALSE)</f>
        <v>2</v>
      </c>
      <c r="G312" t="str">
        <f>VLOOKUP(F312,[1]!Shippers,2,FALSE)</f>
        <v>United Package</v>
      </c>
      <c r="H312" t="str">
        <f>VLOOKUP(C312,[1]EmployeeTerritories!$A$1:$B$50,2,FALSE)</f>
        <v>06897</v>
      </c>
      <c r="I312">
        <f>VLOOKUP(C312,[1]EmployeeTerritories!$A$1:$B$50,1,FALSE)</f>
        <v>1</v>
      </c>
      <c r="J312">
        <f>VLOOKUP(H312,[1]!Territories,3,FALSE)</f>
        <v>1</v>
      </c>
      <c r="K312" t="str">
        <f>VLOOKUP(J312,[1]!Region,2,FALSE)</f>
        <v>Eastern</v>
      </c>
      <c r="L312">
        <f>VLOOKUP(A312,[1]Order_Details!$A$1:$F$2156,2,FALSE)</f>
        <v>47</v>
      </c>
      <c r="M312" t="str">
        <f>VLOOKUP(L312,[1]!Products,2,FALSE)</f>
        <v>Zaanse koeken</v>
      </c>
      <c r="N312">
        <f>VLOOKUP(L312,[1]!Products,4,FALSE)</f>
        <v>3</v>
      </c>
      <c r="O312" s="6" t="str">
        <f>VLOOKUP(N312,[1]!Categories,2,FALSE)</f>
        <v>Confections</v>
      </c>
      <c r="P312" s="6">
        <f>VLOOKUP(A312,[1]Order_Details!$A$1:$F$2156,3,FALSE)</f>
        <v>9.5</v>
      </c>
      <c r="Q312">
        <f>VLOOKUP(A312,[1]Order_Details!$A$1:$F$2156,4,FALSE)</f>
        <v>25</v>
      </c>
      <c r="R312">
        <f>VLOOKUP(A312,[1]Order_Details!$A$1:$F$2156,5,FALSE)</f>
        <v>0</v>
      </c>
      <c r="S312" s="6">
        <f>VLOOKUP(A312,[1]Order_Details!$A$1:$F$2156,6,FALSE)</f>
        <v>237.5</v>
      </c>
      <c r="T312" s="6">
        <f>VLOOKUP(A312,[1]!Orders,8,FALSE)</f>
        <v>72.97</v>
      </c>
    </row>
    <row r="313" spans="1:20" x14ac:dyDescent="0.3">
      <c r="A313" s="2">
        <v>10559</v>
      </c>
      <c r="B313" s="2" t="s">
        <v>19</v>
      </c>
      <c r="C313" s="2">
        <v>6</v>
      </c>
      <c r="D313" s="3">
        <v>35586</v>
      </c>
      <c r="E313" t="str">
        <f>VLOOKUP(C313,[1]Employees!$A$1:$O$10,4,FALSE)</f>
        <v>Suyama Michael</v>
      </c>
      <c r="F313">
        <f>VLOOKUP(A313,[1]!Orders,7,FALSE)</f>
        <v>1</v>
      </c>
      <c r="G313" t="str">
        <f>VLOOKUP(F313,[1]!Shippers,2,FALSE)</f>
        <v>Speedy Express</v>
      </c>
      <c r="H313" t="str">
        <f>VLOOKUP(C313,[1]EmployeeTerritories!$A$1:$B$50,2,FALSE)</f>
        <v>85014</v>
      </c>
      <c r="I313">
        <f>VLOOKUP(C313,[1]EmployeeTerritories!$A$1:$B$50,1,FALSE)</f>
        <v>6</v>
      </c>
      <c r="J313">
        <f>VLOOKUP(H313,[1]!Territories,3,FALSE)</f>
        <v>2</v>
      </c>
      <c r="K313" t="str">
        <f>VLOOKUP(J313,[1]!Region,2,FALSE)</f>
        <v>Western</v>
      </c>
      <c r="L313">
        <f>VLOOKUP(A313,[1]Order_Details!$A$1:$F$2156,2,FALSE)</f>
        <v>41</v>
      </c>
      <c r="M313" t="str">
        <f>VLOOKUP(L313,[1]!Products,2,FALSE)</f>
        <v>Jack's New England Clam Chowder</v>
      </c>
      <c r="N313">
        <f>VLOOKUP(L313,[1]!Products,4,FALSE)</f>
        <v>8</v>
      </c>
      <c r="O313" s="6" t="str">
        <f>VLOOKUP(N313,[1]!Categories,2,FALSE)</f>
        <v>Seafood</v>
      </c>
      <c r="P313" s="6">
        <f>VLOOKUP(A313,[1]Order_Details!$A$1:$F$2156,3,FALSE)</f>
        <v>9.65</v>
      </c>
      <c r="Q313">
        <f>VLOOKUP(A313,[1]Order_Details!$A$1:$F$2156,4,FALSE)</f>
        <v>12</v>
      </c>
      <c r="R313">
        <f>VLOOKUP(A313,[1]Order_Details!$A$1:$F$2156,5,FALSE)</f>
        <v>5.000000074505806E-2</v>
      </c>
      <c r="S313" s="6">
        <f>VLOOKUP(A313,[1]Order_Details!$A$1:$F$2156,6,FALSE)</f>
        <v>110.00999991372228</v>
      </c>
      <c r="T313" s="6">
        <f>VLOOKUP(A313,[1]!Orders,8,FALSE)</f>
        <v>8.0500000000000007</v>
      </c>
    </row>
    <row r="314" spans="1:20" x14ac:dyDescent="0.3">
      <c r="A314" s="2">
        <v>10560</v>
      </c>
      <c r="B314" s="2" t="s">
        <v>21</v>
      </c>
      <c r="C314" s="2">
        <v>8</v>
      </c>
      <c r="D314" s="3">
        <v>35587</v>
      </c>
      <c r="E314" t="str">
        <f>VLOOKUP(C314,[1]Employees!$A$1:$O$10,4,FALSE)</f>
        <v>Callahan Laura</v>
      </c>
      <c r="F314">
        <f>VLOOKUP(A314,[1]!Orders,7,FALSE)</f>
        <v>1</v>
      </c>
      <c r="G314" t="str">
        <f>VLOOKUP(F314,[1]!Shippers,2,FALSE)</f>
        <v>Speedy Express</v>
      </c>
      <c r="H314" t="str">
        <f>VLOOKUP(C314,[1]EmployeeTerritories!$A$1:$B$50,2,FALSE)</f>
        <v>19428</v>
      </c>
      <c r="I314">
        <f>VLOOKUP(C314,[1]EmployeeTerritories!$A$1:$B$50,1,FALSE)</f>
        <v>8</v>
      </c>
      <c r="J314">
        <f>VLOOKUP(H314,[1]!Territories,3,FALSE)</f>
        <v>3</v>
      </c>
      <c r="K314" t="str">
        <f>VLOOKUP(J314,[1]!Region,2,FALSE)</f>
        <v>Northern</v>
      </c>
      <c r="L314">
        <f>VLOOKUP(A314,[1]Order_Details!$A$1:$F$2156,2,FALSE)</f>
        <v>30</v>
      </c>
      <c r="M314" t="str">
        <f>VLOOKUP(L314,[1]!Products,2,FALSE)</f>
        <v>Nord-Ost Matjeshering</v>
      </c>
      <c r="N314">
        <f>VLOOKUP(L314,[1]!Products,4,FALSE)</f>
        <v>8</v>
      </c>
      <c r="O314" s="6" t="str">
        <f>VLOOKUP(N314,[1]!Categories,2,FALSE)</f>
        <v>Seafood</v>
      </c>
      <c r="P314" s="6">
        <f>VLOOKUP(A314,[1]Order_Details!$A$1:$F$2156,3,FALSE)</f>
        <v>25.89</v>
      </c>
      <c r="Q314">
        <f>VLOOKUP(A314,[1]Order_Details!$A$1:$F$2156,4,FALSE)</f>
        <v>20</v>
      </c>
      <c r="R314">
        <f>VLOOKUP(A314,[1]Order_Details!$A$1:$F$2156,5,FALSE)</f>
        <v>0</v>
      </c>
      <c r="S314" s="6">
        <f>VLOOKUP(A314,[1]Order_Details!$A$1:$F$2156,6,FALSE)</f>
        <v>517.79999999999995</v>
      </c>
      <c r="T314" s="6">
        <f>VLOOKUP(A314,[1]!Orders,8,FALSE)</f>
        <v>36.65</v>
      </c>
    </row>
    <row r="315" spans="1:20" x14ac:dyDescent="0.3">
      <c r="A315" s="2">
        <v>10561</v>
      </c>
      <c r="B315" s="2" t="s">
        <v>18</v>
      </c>
      <c r="C315" s="2">
        <v>2</v>
      </c>
      <c r="D315" s="3">
        <v>35587</v>
      </c>
      <c r="E315" t="str">
        <f>VLOOKUP(C315,[1]Employees!$A$1:$O$10,4,FALSE)</f>
        <v>Fuller Andrew</v>
      </c>
      <c r="F315">
        <f>VLOOKUP(A315,[1]!Orders,7,FALSE)</f>
        <v>2</v>
      </c>
      <c r="G315" t="str">
        <f>VLOOKUP(F315,[1]!Shippers,2,FALSE)</f>
        <v>United Package</v>
      </c>
      <c r="H315" t="str">
        <f>VLOOKUP(C315,[1]EmployeeTerritories!$A$1:$B$50,2,FALSE)</f>
        <v>01581</v>
      </c>
      <c r="I315">
        <f>VLOOKUP(C315,[1]EmployeeTerritories!$A$1:$B$50,1,FALSE)</f>
        <v>2</v>
      </c>
      <c r="J315">
        <f>VLOOKUP(H315,[1]!Territories,3,FALSE)</f>
        <v>1</v>
      </c>
      <c r="K315" t="str">
        <f>VLOOKUP(J315,[1]!Region,2,FALSE)</f>
        <v>Eastern</v>
      </c>
      <c r="L315">
        <f>VLOOKUP(A315,[1]Order_Details!$A$1:$F$2156,2,FALSE)</f>
        <v>44</v>
      </c>
      <c r="M315" t="str">
        <f>VLOOKUP(L315,[1]!Products,2,FALSE)</f>
        <v>Gula Malacca</v>
      </c>
      <c r="N315">
        <f>VLOOKUP(L315,[1]!Products,4,FALSE)</f>
        <v>2</v>
      </c>
      <c r="O315" s="6" t="str">
        <f>VLOOKUP(N315,[1]!Categories,2,FALSE)</f>
        <v>Condiments</v>
      </c>
      <c r="P315" s="6">
        <f>VLOOKUP(A315,[1]Order_Details!$A$1:$F$2156,3,FALSE)</f>
        <v>19.45</v>
      </c>
      <c r="Q315">
        <f>VLOOKUP(A315,[1]Order_Details!$A$1:$F$2156,4,FALSE)</f>
        <v>10</v>
      </c>
      <c r="R315">
        <f>VLOOKUP(A315,[1]Order_Details!$A$1:$F$2156,5,FALSE)</f>
        <v>0</v>
      </c>
      <c r="S315" s="6">
        <f>VLOOKUP(A315,[1]Order_Details!$A$1:$F$2156,6,FALSE)</f>
        <v>194.5</v>
      </c>
      <c r="T315" s="6">
        <f>VLOOKUP(A315,[1]!Orders,8,FALSE)</f>
        <v>242.21</v>
      </c>
    </row>
    <row r="316" spans="1:20" x14ac:dyDescent="0.3">
      <c r="A316" s="2">
        <v>10562</v>
      </c>
      <c r="B316" s="2" t="s">
        <v>34</v>
      </c>
      <c r="C316" s="2">
        <v>1</v>
      </c>
      <c r="D316" s="3">
        <v>35590</v>
      </c>
      <c r="E316" t="str">
        <f>VLOOKUP(C316,[1]Employees!$A$1:$O$10,4,FALSE)</f>
        <v>Davolio Nancy</v>
      </c>
      <c r="F316">
        <f>VLOOKUP(A316,[1]!Orders,7,FALSE)</f>
        <v>1</v>
      </c>
      <c r="G316" t="str">
        <f>VLOOKUP(F316,[1]!Shippers,2,FALSE)</f>
        <v>Speedy Express</v>
      </c>
      <c r="H316" t="str">
        <f>VLOOKUP(C316,[1]EmployeeTerritories!$A$1:$B$50,2,FALSE)</f>
        <v>06897</v>
      </c>
      <c r="I316">
        <f>VLOOKUP(C316,[1]EmployeeTerritories!$A$1:$B$50,1,FALSE)</f>
        <v>1</v>
      </c>
      <c r="J316">
        <f>VLOOKUP(H316,[1]!Territories,3,FALSE)</f>
        <v>1</v>
      </c>
      <c r="K316" t="str">
        <f>VLOOKUP(J316,[1]!Region,2,FALSE)</f>
        <v>Eastern</v>
      </c>
      <c r="L316">
        <f>VLOOKUP(A316,[1]Order_Details!$A$1:$F$2156,2,FALSE)</f>
        <v>33</v>
      </c>
      <c r="M316" t="str">
        <f>VLOOKUP(L316,[1]!Products,2,FALSE)</f>
        <v>Geitost</v>
      </c>
      <c r="N316">
        <f>VLOOKUP(L316,[1]!Products,4,FALSE)</f>
        <v>4</v>
      </c>
      <c r="O316" s="6" t="str">
        <f>VLOOKUP(N316,[1]!Categories,2,FALSE)</f>
        <v>Dairy Products</v>
      </c>
      <c r="P316" s="6">
        <f>VLOOKUP(A316,[1]Order_Details!$A$1:$F$2156,3,FALSE)</f>
        <v>2.5</v>
      </c>
      <c r="Q316">
        <f>VLOOKUP(A316,[1]Order_Details!$A$1:$F$2156,4,FALSE)</f>
        <v>20</v>
      </c>
      <c r="R316">
        <f>VLOOKUP(A316,[1]Order_Details!$A$1:$F$2156,5,FALSE)</f>
        <v>0.10000000149011612</v>
      </c>
      <c r="S316" s="6">
        <f>VLOOKUP(A316,[1]Order_Details!$A$1:$F$2156,6,FALSE)</f>
        <v>44.999999925494194</v>
      </c>
      <c r="T316" s="6">
        <f>VLOOKUP(A316,[1]!Orders,8,FALSE)</f>
        <v>22.95</v>
      </c>
    </row>
    <row r="317" spans="1:20" x14ac:dyDescent="0.3">
      <c r="A317" s="2">
        <v>10563</v>
      </c>
      <c r="B317" s="2" t="s">
        <v>33</v>
      </c>
      <c r="C317" s="2">
        <v>2</v>
      </c>
      <c r="D317" s="3">
        <v>35591</v>
      </c>
      <c r="E317" t="str">
        <f>VLOOKUP(C317,[1]Employees!$A$1:$O$10,4,FALSE)</f>
        <v>Fuller Andrew</v>
      </c>
      <c r="F317">
        <f>VLOOKUP(A317,[1]!Orders,7,FALSE)</f>
        <v>2</v>
      </c>
      <c r="G317" t="str">
        <f>VLOOKUP(F317,[1]!Shippers,2,FALSE)</f>
        <v>United Package</v>
      </c>
      <c r="H317" t="str">
        <f>VLOOKUP(C317,[1]EmployeeTerritories!$A$1:$B$50,2,FALSE)</f>
        <v>01581</v>
      </c>
      <c r="I317">
        <f>VLOOKUP(C317,[1]EmployeeTerritories!$A$1:$B$50,1,FALSE)</f>
        <v>2</v>
      </c>
      <c r="J317">
        <f>VLOOKUP(H317,[1]!Territories,3,FALSE)</f>
        <v>1</v>
      </c>
      <c r="K317" t="str">
        <f>VLOOKUP(J317,[1]!Region,2,FALSE)</f>
        <v>Eastern</v>
      </c>
      <c r="L317">
        <f>VLOOKUP(A317,[1]Order_Details!$A$1:$F$2156,2,FALSE)</f>
        <v>36</v>
      </c>
      <c r="M317" t="str">
        <f>VLOOKUP(L317,[1]!Products,2,FALSE)</f>
        <v>Inlagd Sill</v>
      </c>
      <c r="N317">
        <f>VLOOKUP(L317,[1]!Products,4,FALSE)</f>
        <v>8</v>
      </c>
      <c r="O317" s="6" t="str">
        <f>VLOOKUP(N317,[1]!Categories,2,FALSE)</f>
        <v>Seafood</v>
      </c>
      <c r="P317" s="6">
        <f>VLOOKUP(A317,[1]Order_Details!$A$1:$F$2156,3,FALSE)</f>
        <v>19</v>
      </c>
      <c r="Q317">
        <f>VLOOKUP(A317,[1]Order_Details!$A$1:$F$2156,4,FALSE)</f>
        <v>25</v>
      </c>
      <c r="R317">
        <f>VLOOKUP(A317,[1]Order_Details!$A$1:$F$2156,5,FALSE)</f>
        <v>0</v>
      </c>
      <c r="S317" s="6">
        <f>VLOOKUP(A317,[1]Order_Details!$A$1:$F$2156,6,FALSE)</f>
        <v>475</v>
      </c>
      <c r="T317" s="6">
        <f>VLOOKUP(A317,[1]!Orders,8,FALSE)</f>
        <v>60.43</v>
      </c>
    </row>
    <row r="318" spans="1:20" x14ac:dyDescent="0.3">
      <c r="A318" s="2">
        <v>10564</v>
      </c>
      <c r="B318" s="2" t="s">
        <v>17</v>
      </c>
      <c r="C318" s="2">
        <v>4</v>
      </c>
      <c r="D318" s="3">
        <v>35591</v>
      </c>
      <c r="E318" t="str">
        <f>VLOOKUP(C318,[1]Employees!$A$1:$O$10,4,FALSE)</f>
        <v>Peacock Margaret</v>
      </c>
      <c r="F318">
        <f>VLOOKUP(A318,[1]!Orders,7,FALSE)</f>
        <v>3</v>
      </c>
      <c r="G318" t="str">
        <f>VLOOKUP(F318,[1]!Shippers,2,FALSE)</f>
        <v>Federal Shipping</v>
      </c>
      <c r="H318" t="str">
        <f>VLOOKUP(C318,[1]EmployeeTerritories!$A$1:$B$50,2,FALSE)</f>
        <v>20852</v>
      </c>
      <c r="I318">
        <f>VLOOKUP(C318,[1]EmployeeTerritories!$A$1:$B$50,1,FALSE)</f>
        <v>4</v>
      </c>
      <c r="J318">
        <f>VLOOKUP(H318,[1]!Territories,3,FALSE)</f>
        <v>1</v>
      </c>
      <c r="K318" t="str">
        <f>VLOOKUP(J318,[1]!Region,2,FALSE)</f>
        <v>Eastern</v>
      </c>
      <c r="L318">
        <f>VLOOKUP(A318,[1]Order_Details!$A$1:$F$2156,2,FALSE)</f>
        <v>17</v>
      </c>
      <c r="M318" t="str">
        <f>VLOOKUP(L318,[1]!Products,2,FALSE)</f>
        <v>Alice Mutton</v>
      </c>
      <c r="N318">
        <f>VLOOKUP(L318,[1]!Products,4,FALSE)</f>
        <v>6</v>
      </c>
      <c r="O318" s="6" t="str">
        <f>VLOOKUP(N318,[1]!Categories,2,FALSE)</f>
        <v>Meat/Poultry</v>
      </c>
      <c r="P318" s="6">
        <f>VLOOKUP(A318,[1]Order_Details!$A$1:$F$2156,3,FALSE)</f>
        <v>39</v>
      </c>
      <c r="Q318">
        <f>VLOOKUP(A318,[1]Order_Details!$A$1:$F$2156,4,FALSE)</f>
        <v>16</v>
      </c>
      <c r="R318">
        <f>VLOOKUP(A318,[1]Order_Details!$A$1:$F$2156,5,FALSE)</f>
        <v>5.000000074505806E-2</v>
      </c>
      <c r="S318" s="6">
        <f>VLOOKUP(A318,[1]Order_Details!$A$1:$F$2156,6,FALSE)</f>
        <v>592.79999953508377</v>
      </c>
      <c r="T318" s="6">
        <f>VLOOKUP(A318,[1]!Orders,8,FALSE)</f>
        <v>13.75</v>
      </c>
    </row>
    <row r="319" spans="1:20" x14ac:dyDescent="0.3">
      <c r="A319" s="2">
        <v>10565</v>
      </c>
      <c r="B319" s="2" t="s">
        <v>53</v>
      </c>
      <c r="C319" s="2">
        <v>8</v>
      </c>
      <c r="D319" s="3">
        <v>35592</v>
      </c>
      <c r="E319" t="str">
        <f>VLOOKUP(C319,[1]Employees!$A$1:$O$10,4,FALSE)</f>
        <v>Callahan Laura</v>
      </c>
      <c r="F319">
        <f>VLOOKUP(A319,[1]!Orders,7,FALSE)</f>
        <v>2</v>
      </c>
      <c r="G319" t="str">
        <f>VLOOKUP(F319,[1]!Shippers,2,FALSE)</f>
        <v>United Package</v>
      </c>
      <c r="H319" t="str">
        <f>VLOOKUP(C319,[1]EmployeeTerritories!$A$1:$B$50,2,FALSE)</f>
        <v>19428</v>
      </c>
      <c r="I319">
        <f>VLOOKUP(C319,[1]EmployeeTerritories!$A$1:$B$50,1,FALSE)</f>
        <v>8</v>
      </c>
      <c r="J319">
        <f>VLOOKUP(H319,[1]!Territories,3,FALSE)</f>
        <v>3</v>
      </c>
      <c r="K319" t="str">
        <f>VLOOKUP(J319,[1]!Region,2,FALSE)</f>
        <v>Northern</v>
      </c>
      <c r="L319">
        <f>VLOOKUP(A319,[1]Order_Details!$A$1:$F$2156,2,FALSE)</f>
        <v>24</v>
      </c>
      <c r="M319" t="str">
        <f>VLOOKUP(L319,[1]!Products,2,FALSE)</f>
        <v>Guaraná Fantástica</v>
      </c>
      <c r="N319">
        <f>VLOOKUP(L319,[1]!Products,4,FALSE)</f>
        <v>1</v>
      </c>
      <c r="O319" s="6" t="str">
        <f>VLOOKUP(N319,[1]!Categories,2,FALSE)</f>
        <v>Beverages</v>
      </c>
      <c r="P319" s="6">
        <f>VLOOKUP(A319,[1]Order_Details!$A$1:$F$2156,3,FALSE)</f>
        <v>4.5</v>
      </c>
      <c r="Q319">
        <f>VLOOKUP(A319,[1]Order_Details!$A$1:$F$2156,4,FALSE)</f>
        <v>25</v>
      </c>
      <c r="R319">
        <f>VLOOKUP(A319,[1]Order_Details!$A$1:$F$2156,5,FALSE)</f>
        <v>0.10000000149011612</v>
      </c>
      <c r="S319" s="6">
        <f>VLOOKUP(A319,[1]Order_Details!$A$1:$F$2156,6,FALSE)</f>
        <v>101.24999983236194</v>
      </c>
      <c r="T319" s="6">
        <f>VLOOKUP(A319,[1]!Orders,8,FALSE)</f>
        <v>7.15</v>
      </c>
    </row>
    <row r="320" spans="1:20" x14ac:dyDescent="0.3">
      <c r="A320" s="2">
        <v>10566</v>
      </c>
      <c r="B320" s="2" t="s">
        <v>19</v>
      </c>
      <c r="C320" s="2">
        <v>9</v>
      </c>
      <c r="D320" s="3">
        <v>35593</v>
      </c>
      <c r="E320" t="str">
        <f>VLOOKUP(C320,[1]Employees!$A$1:$O$10,4,FALSE)</f>
        <v>Dodsworth Anne</v>
      </c>
      <c r="F320">
        <f>VLOOKUP(A320,[1]!Orders,7,FALSE)</f>
        <v>1</v>
      </c>
      <c r="G320" t="str">
        <f>VLOOKUP(F320,[1]!Shippers,2,FALSE)</f>
        <v>Speedy Express</v>
      </c>
      <c r="H320" t="str">
        <f>VLOOKUP(C320,[1]EmployeeTerritories!$A$1:$B$50,2,FALSE)</f>
        <v>03049</v>
      </c>
      <c r="I320">
        <f>VLOOKUP(C320,[1]EmployeeTerritories!$A$1:$B$50,1,FALSE)</f>
        <v>9</v>
      </c>
      <c r="J320">
        <f>VLOOKUP(H320,[1]!Territories,3,FALSE)</f>
        <v>3</v>
      </c>
      <c r="K320" t="str">
        <f>VLOOKUP(J320,[1]!Region,2,FALSE)</f>
        <v>Northern</v>
      </c>
      <c r="L320">
        <f>VLOOKUP(A320,[1]Order_Details!$A$1:$F$2156,2,FALSE)</f>
        <v>11</v>
      </c>
      <c r="M320" t="str">
        <f>VLOOKUP(L320,[1]!Products,2,FALSE)</f>
        <v>Queso Cabrales</v>
      </c>
      <c r="N320">
        <f>VLOOKUP(L320,[1]!Products,4,FALSE)</f>
        <v>4</v>
      </c>
      <c r="O320" s="6" t="str">
        <f>VLOOKUP(N320,[1]!Categories,2,FALSE)</f>
        <v>Dairy Products</v>
      </c>
      <c r="P320" s="6">
        <f>VLOOKUP(A320,[1]Order_Details!$A$1:$F$2156,3,FALSE)</f>
        <v>21</v>
      </c>
      <c r="Q320">
        <f>VLOOKUP(A320,[1]Order_Details!$A$1:$F$2156,4,FALSE)</f>
        <v>35</v>
      </c>
      <c r="R320">
        <f>VLOOKUP(A320,[1]Order_Details!$A$1:$F$2156,5,FALSE)</f>
        <v>0.15000000596046448</v>
      </c>
      <c r="S320" s="6">
        <f>VLOOKUP(A320,[1]Order_Details!$A$1:$F$2156,6,FALSE)</f>
        <v>624.74999561905861</v>
      </c>
      <c r="T320" s="6">
        <f>VLOOKUP(A320,[1]!Orders,8,FALSE)</f>
        <v>88.4</v>
      </c>
    </row>
    <row r="321" spans="1:20" x14ac:dyDescent="0.3">
      <c r="A321" s="2">
        <v>10567</v>
      </c>
      <c r="B321" s="2" t="s">
        <v>38</v>
      </c>
      <c r="C321" s="2">
        <v>1</v>
      </c>
      <c r="D321" s="3">
        <v>35593</v>
      </c>
      <c r="E321" t="str">
        <f>VLOOKUP(C321,[1]Employees!$A$1:$O$10,4,FALSE)</f>
        <v>Davolio Nancy</v>
      </c>
      <c r="F321">
        <f>VLOOKUP(A321,[1]!Orders,7,FALSE)</f>
        <v>1</v>
      </c>
      <c r="G321" t="str">
        <f>VLOOKUP(F321,[1]!Shippers,2,FALSE)</f>
        <v>Speedy Express</v>
      </c>
      <c r="H321" t="str">
        <f>VLOOKUP(C321,[1]EmployeeTerritories!$A$1:$B$50,2,FALSE)</f>
        <v>06897</v>
      </c>
      <c r="I321">
        <f>VLOOKUP(C321,[1]EmployeeTerritories!$A$1:$B$50,1,FALSE)</f>
        <v>1</v>
      </c>
      <c r="J321">
        <f>VLOOKUP(H321,[1]!Territories,3,FALSE)</f>
        <v>1</v>
      </c>
      <c r="K321" t="str">
        <f>VLOOKUP(J321,[1]!Region,2,FALSE)</f>
        <v>Eastern</v>
      </c>
      <c r="L321">
        <f>VLOOKUP(A321,[1]Order_Details!$A$1:$F$2156,2,FALSE)</f>
        <v>31</v>
      </c>
      <c r="M321" t="str">
        <f>VLOOKUP(L321,[1]!Products,2,FALSE)</f>
        <v>Gorgonzola Telino</v>
      </c>
      <c r="N321">
        <f>VLOOKUP(L321,[1]!Products,4,FALSE)</f>
        <v>4</v>
      </c>
      <c r="O321" s="6" t="str">
        <f>VLOOKUP(N321,[1]!Categories,2,FALSE)</f>
        <v>Dairy Products</v>
      </c>
      <c r="P321" s="6">
        <f>VLOOKUP(A321,[1]Order_Details!$A$1:$F$2156,3,FALSE)</f>
        <v>12.5</v>
      </c>
      <c r="Q321">
        <f>VLOOKUP(A321,[1]Order_Details!$A$1:$F$2156,4,FALSE)</f>
        <v>60</v>
      </c>
      <c r="R321">
        <f>VLOOKUP(A321,[1]Order_Details!$A$1:$F$2156,5,FALSE)</f>
        <v>0.20000000298023224</v>
      </c>
      <c r="S321" s="6">
        <f>VLOOKUP(A321,[1]Order_Details!$A$1:$F$2156,6,FALSE)</f>
        <v>599.99999776482582</v>
      </c>
      <c r="T321" s="6">
        <f>VLOOKUP(A321,[1]!Orders,8,FALSE)</f>
        <v>33.97</v>
      </c>
    </row>
    <row r="322" spans="1:20" x14ac:dyDescent="0.3">
      <c r="A322" s="2">
        <v>10568</v>
      </c>
      <c r="B322" s="2" t="s">
        <v>64</v>
      </c>
      <c r="C322" s="2">
        <v>3</v>
      </c>
      <c r="D322" s="3">
        <v>35594</v>
      </c>
      <c r="E322" t="str">
        <f>VLOOKUP(C322,[1]Employees!$A$1:$O$10,4,FALSE)</f>
        <v>Leverling Janet</v>
      </c>
      <c r="F322">
        <f>VLOOKUP(A322,[1]!Orders,7,FALSE)</f>
        <v>3</v>
      </c>
      <c r="G322" t="str">
        <f>VLOOKUP(F322,[1]!Shippers,2,FALSE)</f>
        <v>Federal Shipping</v>
      </c>
      <c r="H322" t="str">
        <f>VLOOKUP(C322,[1]EmployeeTerritories!$A$1:$B$50,2,FALSE)</f>
        <v>30346</v>
      </c>
      <c r="I322">
        <f>VLOOKUP(C322,[1]EmployeeTerritories!$A$1:$B$50,1,FALSE)</f>
        <v>3</v>
      </c>
      <c r="J322">
        <f>VLOOKUP(H322,[1]!Territories,3,FALSE)</f>
        <v>4</v>
      </c>
      <c r="K322" t="str">
        <f>VLOOKUP(J322,[1]!Region,2,FALSE)</f>
        <v>Southern</v>
      </c>
      <c r="L322">
        <f>VLOOKUP(A322,[1]Order_Details!$A$1:$F$2156,2,FALSE)</f>
        <v>10</v>
      </c>
      <c r="M322" t="str">
        <f>VLOOKUP(L322,[1]!Products,2,FALSE)</f>
        <v>Ikura</v>
      </c>
      <c r="N322">
        <f>VLOOKUP(L322,[1]!Products,4,FALSE)</f>
        <v>8</v>
      </c>
      <c r="O322" s="6" t="str">
        <f>VLOOKUP(N322,[1]!Categories,2,FALSE)</f>
        <v>Seafood</v>
      </c>
      <c r="P322" s="6">
        <f>VLOOKUP(A322,[1]Order_Details!$A$1:$F$2156,3,FALSE)</f>
        <v>31</v>
      </c>
      <c r="Q322">
        <f>VLOOKUP(A322,[1]Order_Details!$A$1:$F$2156,4,FALSE)</f>
        <v>5</v>
      </c>
      <c r="R322">
        <f>VLOOKUP(A322,[1]Order_Details!$A$1:$F$2156,5,FALSE)</f>
        <v>0</v>
      </c>
      <c r="S322" s="6">
        <f>VLOOKUP(A322,[1]Order_Details!$A$1:$F$2156,6,FALSE)</f>
        <v>155</v>
      </c>
      <c r="T322" s="6">
        <f>VLOOKUP(A322,[1]!Orders,8,FALSE)</f>
        <v>6.54</v>
      </c>
    </row>
    <row r="323" spans="1:20" x14ac:dyDescent="0.3">
      <c r="A323" s="2">
        <v>10569</v>
      </c>
      <c r="B323" s="2" t="s">
        <v>17</v>
      </c>
      <c r="C323" s="2">
        <v>5</v>
      </c>
      <c r="D323" s="3">
        <v>35597</v>
      </c>
      <c r="E323" t="str">
        <f>VLOOKUP(C323,[1]Employees!$A$1:$O$10,4,FALSE)</f>
        <v>Buchanan Steven</v>
      </c>
      <c r="F323">
        <f>VLOOKUP(A323,[1]!Orders,7,FALSE)</f>
        <v>1</v>
      </c>
      <c r="G323" t="str">
        <f>VLOOKUP(F323,[1]!Shippers,2,FALSE)</f>
        <v>Speedy Express</v>
      </c>
      <c r="H323" t="str">
        <f>VLOOKUP(C323,[1]EmployeeTerritories!$A$1:$B$50,2,FALSE)</f>
        <v>02903</v>
      </c>
      <c r="I323">
        <f>VLOOKUP(C323,[1]EmployeeTerritories!$A$1:$B$50,1,FALSE)</f>
        <v>5</v>
      </c>
      <c r="J323">
        <f>VLOOKUP(H323,[1]!Territories,3,FALSE)</f>
        <v>1</v>
      </c>
      <c r="K323" t="str">
        <f>VLOOKUP(J323,[1]!Region,2,FALSE)</f>
        <v>Eastern</v>
      </c>
      <c r="L323">
        <f>VLOOKUP(A323,[1]Order_Details!$A$1:$F$2156,2,FALSE)</f>
        <v>31</v>
      </c>
      <c r="M323" t="str">
        <f>VLOOKUP(L323,[1]!Products,2,FALSE)</f>
        <v>Gorgonzola Telino</v>
      </c>
      <c r="N323">
        <f>VLOOKUP(L323,[1]!Products,4,FALSE)</f>
        <v>4</v>
      </c>
      <c r="O323" s="6" t="str">
        <f>VLOOKUP(N323,[1]!Categories,2,FALSE)</f>
        <v>Dairy Products</v>
      </c>
      <c r="P323" s="6">
        <f>VLOOKUP(A323,[1]Order_Details!$A$1:$F$2156,3,FALSE)</f>
        <v>12.5</v>
      </c>
      <c r="Q323">
        <f>VLOOKUP(A323,[1]Order_Details!$A$1:$F$2156,4,FALSE)</f>
        <v>35</v>
      </c>
      <c r="R323">
        <f>VLOOKUP(A323,[1]Order_Details!$A$1:$F$2156,5,FALSE)</f>
        <v>0.20000000298023224</v>
      </c>
      <c r="S323" s="6">
        <f>VLOOKUP(A323,[1]Order_Details!$A$1:$F$2156,6,FALSE)</f>
        <v>349.9999986961484</v>
      </c>
      <c r="T323" s="6">
        <f>VLOOKUP(A323,[1]!Orders,8,FALSE)</f>
        <v>58.98</v>
      </c>
    </row>
    <row r="324" spans="1:20" x14ac:dyDescent="0.3">
      <c r="A324" s="2">
        <v>10570</v>
      </c>
      <c r="B324" s="2" t="s">
        <v>53</v>
      </c>
      <c r="C324" s="2">
        <v>3</v>
      </c>
      <c r="D324" s="3">
        <v>35598</v>
      </c>
      <c r="E324" t="str">
        <f>VLOOKUP(C324,[1]Employees!$A$1:$O$10,4,FALSE)</f>
        <v>Leverling Janet</v>
      </c>
      <c r="F324">
        <f>VLOOKUP(A324,[1]!Orders,7,FALSE)</f>
        <v>3</v>
      </c>
      <c r="G324" t="str">
        <f>VLOOKUP(F324,[1]!Shippers,2,FALSE)</f>
        <v>Federal Shipping</v>
      </c>
      <c r="H324" t="str">
        <f>VLOOKUP(C324,[1]EmployeeTerritories!$A$1:$B$50,2,FALSE)</f>
        <v>30346</v>
      </c>
      <c r="I324">
        <f>VLOOKUP(C324,[1]EmployeeTerritories!$A$1:$B$50,1,FALSE)</f>
        <v>3</v>
      </c>
      <c r="J324">
        <f>VLOOKUP(H324,[1]!Territories,3,FALSE)</f>
        <v>4</v>
      </c>
      <c r="K324" t="str">
        <f>VLOOKUP(J324,[1]!Region,2,FALSE)</f>
        <v>Southern</v>
      </c>
      <c r="L324">
        <f>VLOOKUP(A324,[1]Order_Details!$A$1:$F$2156,2,FALSE)</f>
        <v>11</v>
      </c>
      <c r="M324" t="str">
        <f>VLOOKUP(L324,[1]!Products,2,FALSE)</f>
        <v>Queso Cabrales</v>
      </c>
      <c r="N324">
        <f>VLOOKUP(L324,[1]!Products,4,FALSE)</f>
        <v>4</v>
      </c>
      <c r="O324" s="6" t="str">
        <f>VLOOKUP(N324,[1]!Categories,2,FALSE)</f>
        <v>Dairy Products</v>
      </c>
      <c r="P324" s="6">
        <f>VLOOKUP(A324,[1]Order_Details!$A$1:$F$2156,3,FALSE)</f>
        <v>21</v>
      </c>
      <c r="Q324">
        <f>VLOOKUP(A324,[1]Order_Details!$A$1:$F$2156,4,FALSE)</f>
        <v>15</v>
      </c>
      <c r="R324">
        <f>VLOOKUP(A324,[1]Order_Details!$A$1:$F$2156,5,FALSE)</f>
        <v>5.000000074505806E-2</v>
      </c>
      <c r="S324" s="6">
        <f>VLOOKUP(A324,[1]Order_Details!$A$1:$F$2156,6,FALSE)</f>
        <v>299.24999976530671</v>
      </c>
      <c r="T324" s="6">
        <f>VLOOKUP(A324,[1]!Orders,8,FALSE)</f>
        <v>188.99</v>
      </c>
    </row>
    <row r="325" spans="1:20" x14ac:dyDescent="0.3">
      <c r="A325" s="2">
        <v>10571</v>
      </c>
      <c r="B325" s="2" t="s">
        <v>13</v>
      </c>
      <c r="C325" s="2">
        <v>8</v>
      </c>
      <c r="D325" s="3">
        <v>35598</v>
      </c>
      <c r="E325" t="str">
        <f>VLOOKUP(C325,[1]Employees!$A$1:$O$10,4,FALSE)</f>
        <v>Callahan Laura</v>
      </c>
      <c r="F325">
        <f>VLOOKUP(A325,[1]!Orders,7,FALSE)</f>
        <v>3</v>
      </c>
      <c r="G325" t="str">
        <f>VLOOKUP(F325,[1]!Shippers,2,FALSE)</f>
        <v>Federal Shipping</v>
      </c>
      <c r="H325" t="str">
        <f>VLOOKUP(C325,[1]EmployeeTerritories!$A$1:$B$50,2,FALSE)</f>
        <v>19428</v>
      </c>
      <c r="I325">
        <f>VLOOKUP(C325,[1]EmployeeTerritories!$A$1:$B$50,1,FALSE)</f>
        <v>8</v>
      </c>
      <c r="J325">
        <f>VLOOKUP(H325,[1]!Territories,3,FALSE)</f>
        <v>3</v>
      </c>
      <c r="K325" t="str">
        <f>VLOOKUP(J325,[1]!Region,2,FALSE)</f>
        <v>Northern</v>
      </c>
      <c r="L325">
        <f>VLOOKUP(A325,[1]Order_Details!$A$1:$F$2156,2,FALSE)</f>
        <v>14</v>
      </c>
      <c r="M325" t="str">
        <f>VLOOKUP(L325,[1]!Products,2,FALSE)</f>
        <v>Tofu</v>
      </c>
      <c r="N325">
        <f>VLOOKUP(L325,[1]!Products,4,FALSE)</f>
        <v>7</v>
      </c>
      <c r="O325" s="6" t="str">
        <f>VLOOKUP(N325,[1]!Categories,2,FALSE)</f>
        <v>Produce</v>
      </c>
      <c r="P325" s="6">
        <f>VLOOKUP(A325,[1]Order_Details!$A$1:$F$2156,3,FALSE)</f>
        <v>23.25</v>
      </c>
      <c r="Q325">
        <f>VLOOKUP(A325,[1]Order_Details!$A$1:$F$2156,4,FALSE)</f>
        <v>11</v>
      </c>
      <c r="R325">
        <f>VLOOKUP(A325,[1]Order_Details!$A$1:$F$2156,5,FALSE)</f>
        <v>0.15000000596046448</v>
      </c>
      <c r="S325" s="6">
        <f>VLOOKUP(A325,[1]Order_Details!$A$1:$F$2156,6,FALSE)</f>
        <v>217.38749847561121</v>
      </c>
      <c r="T325" s="6">
        <f>VLOOKUP(A325,[1]!Orders,8,FALSE)</f>
        <v>26.06</v>
      </c>
    </row>
    <row r="326" spans="1:20" x14ac:dyDescent="0.3">
      <c r="A326" s="2">
        <v>10572</v>
      </c>
      <c r="B326" s="2" t="s">
        <v>29</v>
      </c>
      <c r="C326" s="2">
        <v>3</v>
      </c>
      <c r="D326" s="3">
        <v>35599</v>
      </c>
      <c r="E326" t="str">
        <f>VLOOKUP(C326,[1]Employees!$A$1:$O$10,4,FALSE)</f>
        <v>Leverling Janet</v>
      </c>
      <c r="F326">
        <f>VLOOKUP(A326,[1]!Orders,7,FALSE)</f>
        <v>2</v>
      </c>
      <c r="G326" t="str">
        <f>VLOOKUP(F326,[1]!Shippers,2,FALSE)</f>
        <v>United Package</v>
      </c>
      <c r="H326" t="str">
        <f>VLOOKUP(C326,[1]EmployeeTerritories!$A$1:$B$50,2,FALSE)</f>
        <v>30346</v>
      </c>
      <c r="I326">
        <f>VLOOKUP(C326,[1]EmployeeTerritories!$A$1:$B$50,1,FALSE)</f>
        <v>3</v>
      </c>
      <c r="J326">
        <f>VLOOKUP(H326,[1]!Territories,3,FALSE)</f>
        <v>4</v>
      </c>
      <c r="K326" t="str">
        <f>VLOOKUP(J326,[1]!Region,2,FALSE)</f>
        <v>Southern</v>
      </c>
      <c r="L326">
        <f>VLOOKUP(A326,[1]Order_Details!$A$1:$F$2156,2,FALSE)</f>
        <v>16</v>
      </c>
      <c r="M326" t="str">
        <f>VLOOKUP(L326,[1]!Products,2,FALSE)</f>
        <v>Pavlova</v>
      </c>
      <c r="N326">
        <f>VLOOKUP(L326,[1]!Products,4,FALSE)</f>
        <v>3</v>
      </c>
      <c r="O326" s="6" t="str">
        <f>VLOOKUP(N326,[1]!Categories,2,FALSE)</f>
        <v>Confections</v>
      </c>
      <c r="P326" s="6">
        <f>VLOOKUP(A326,[1]Order_Details!$A$1:$F$2156,3,FALSE)</f>
        <v>17.45</v>
      </c>
      <c r="Q326">
        <f>VLOOKUP(A326,[1]Order_Details!$A$1:$F$2156,4,FALSE)</f>
        <v>12</v>
      </c>
      <c r="R326">
        <f>VLOOKUP(A326,[1]Order_Details!$A$1:$F$2156,5,FALSE)</f>
        <v>0.10000000149011612</v>
      </c>
      <c r="S326" s="6">
        <f>VLOOKUP(A326,[1]Order_Details!$A$1:$F$2156,6,FALSE)</f>
        <v>188.45999968796966</v>
      </c>
      <c r="T326" s="6">
        <f>VLOOKUP(A326,[1]!Orders,8,FALSE)</f>
        <v>116.43</v>
      </c>
    </row>
    <row r="327" spans="1:20" x14ac:dyDescent="0.3">
      <c r="A327" s="2">
        <v>10573</v>
      </c>
      <c r="B327" s="2" t="s">
        <v>63</v>
      </c>
      <c r="C327" s="2">
        <v>7</v>
      </c>
      <c r="D327" s="3">
        <v>35600</v>
      </c>
      <c r="E327" t="str">
        <f>VLOOKUP(C327,[1]Employees!$A$1:$O$10,4,FALSE)</f>
        <v>King Robert</v>
      </c>
      <c r="F327">
        <f>VLOOKUP(A327,[1]!Orders,7,FALSE)</f>
        <v>3</v>
      </c>
      <c r="G327" t="str">
        <f>VLOOKUP(F327,[1]!Shippers,2,FALSE)</f>
        <v>Federal Shipping</v>
      </c>
      <c r="H327" t="str">
        <f>VLOOKUP(C327,[1]EmployeeTerritories!$A$1:$B$50,2,FALSE)</f>
        <v>60179</v>
      </c>
      <c r="I327">
        <f>VLOOKUP(C327,[1]EmployeeTerritories!$A$1:$B$50,1,FALSE)</f>
        <v>7</v>
      </c>
      <c r="J327">
        <f>VLOOKUP(H327,[1]!Territories,3,FALSE)</f>
        <v>2</v>
      </c>
      <c r="K327" t="str">
        <f>VLOOKUP(J327,[1]!Region,2,FALSE)</f>
        <v>Western</v>
      </c>
      <c r="L327">
        <f>VLOOKUP(A327,[1]Order_Details!$A$1:$F$2156,2,FALSE)</f>
        <v>17</v>
      </c>
      <c r="M327" t="str">
        <f>VLOOKUP(L327,[1]!Products,2,FALSE)</f>
        <v>Alice Mutton</v>
      </c>
      <c r="N327">
        <f>VLOOKUP(L327,[1]!Products,4,FALSE)</f>
        <v>6</v>
      </c>
      <c r="O327" s="6" t="str">
        <f>VLOOKUP(N327,[1]!Categories,2,FALSE)</f>
        <v>Meat/Poultry</v>
      </c>
      <c r="P327" s="6">
        <f>VLOOKUP(A327,[1]Order_Details!$A$1:$F$2156,3,FALSE)</f>
        <v>39</v>
      </c>
      <c r="Q327">
        <f>VLOOKUP(A327,[1]Order_Details!$A$1:$F$2156,4,FALSE)</f>
        <v>18</v>
      </c>
      <c r="R327">
        <f>VLOOKUP(A327,[1]Order_Details!$A$1:$F$2156,5,FALSE)</f>
        <v>0</v>
      </c>
      <c r="S327" s="6">
        <f>VLOOKUP(A327,[1]Order_Details!$A$1:$F$2156,6,FALSE)</f>
        <v>702</v>
      </c>
      <c r="T327" s="6">
        <f>VLOOKUP(A327,[1]!Orders,8,FALSE)</f>
        <v>84.84</v>
      </c>
    </row>
    <row r="328" spans="1:20" x14ac:dyDescent="0.3">
      <c r="A328" s="2">
        <v>10574</v>
      </c>
      <c r="B328" s="2" t="s">
        <v>85</v>
      </c>
      <c r="C328" s="2">
        <v>4</v>
      </c>
      <c r="D328" s="3">
        <v>35600</v>
      </c>
      <c r="E328" t="str">
        <f>VLOOKUP(C328,[1]Employees!$A$1:$O$10,4,FALSE)</f>
        <v>Peacock Margaret</v>
      </c>
      <c r="F328">
        <f>VLOOKUP(A328,[1]!Orders,7,FALSE)</f>
        <v>2</v>
      </c>
      <c r="G328" t="str">
        <f>VLOOKUP(F328,[1]!Shippers,2,FALSE)</f>
        <v>United Package</v>
      </c>
      <c r="H328" t="str">
        <f>VLOOKUP(C328,[1]EmployeeTerritories!$A$1:$B$50,2,FALSE)</f>
        <v>20852</v>
      </c>
      <c r="I328">
        <f>VLOOKUP(C328,[1]EmployeeTerritories!$A$1:$B$50,1,FALSE)</f>
        <v>4</v>
      </c>
      <c r="J328">
        <f>VLOOKUP(H328,[1]!Territories,3,FALSE)</f>
        <v>1</v>
      </c>
      <c r="K328" t="str">
        <f>VLOOKUP(J328,[1]!Region,2,FALSE)</f>
        <v>Eastern</v>
      </c>
      <c r="L328">
        <f>VLOOKUP(A328,[1]Order_Details!$A$1:$F$2156,2,FALSE)</f>
        <v>33</v>
      </c>
      <c r="M328" t="str">
        <f>VLOOKUP(L328,[1]!Products,2,FALSE)</f>
        <v>Geitost</v>
      </c>
      <c r="N328">
        <f>VLOOKUP(L328,[1]!Products,4,FALSE)</f>
        <v>4</v>
      </c>
      <c r="O328" s="6" t="str">
        <f>VLOOKUP(N328,[1]!Categories,2,FALSE)</f>
        <v>Dairy Products</v>
      </c>
      <c r="P328" s="6">
        <f>VLOOKUP(A328,[1]Order_Details!$A$1:$F$2156,3,FALSE)</f>
        <v>2.5</v>
      </c>
      <c r="Q328">
        <f>VLOOKUP(A328,[1]Order_Details!$A$1:$F$2156,4,FALSE)</f>
        <v>14</v>
      </c>
      <c r="R328">
        <f>VLOOKUP(A328,[1]Order_Details!$A$1:$F$2156,5,FALSE)</f>
        <v>0</v>
      </c>
      <c r="S328" s="6">
        <f>VLOOKUP(A328,[1]Order_Details!$A$1:$F$2156,6,FALSE)</f>
        <v>35</v>
      </c>
      <c r="T328" s="6">
        <f>VLOOKUP(A328,[1]!Orders,8,FALSE)</f>
        <v>37.6</v>
      </c>
    </row>
    <row r="329" spans="1:20" x14ac:dyDescent="0.3">
      <c r="A329" s="2">
        <v>10575</v>
      </c>
      <c r="B329" s="2" t="s">
        <v>28</v>
      </c>
      <c r="C329" s="2">
        <v>5</v>
      </c>
      <c r="D329" s="3">
        <v>35601</v>
      </c>
      <c r="E329" t="str">
        <f>VLOOKUP(C329,[1]Employees!$A$1:$O$10,4,FALSE)</f>
        <v>Buchanan Steven</v>
      </c>
      <c r="F329">
        <f>VLOOKUP(A329,[1]!Orders,7,FALSE)</f>
        <v>1</v>
      </c>
      <c r="G329" t="str">
        <f>VLOOKUP(F329,[1]!Shippers,2,FALSE)</f>
        <v>Speedy Express</v>
      </c>
      <c r="H329" t="str">
        <f>VLOOKUP(C329,[1]EmployeeTerritories!$A$1:$B$50,2,FALSE)</f>
        <v>02903</v>
      </c>
      <c r="I329">
        <f>VLOOKUP(C329,[1]EmployeeTerritories!$A$1:$B$50,1,FALSE)</f>
        <v>5</v>
      </c>
      <c r="J329">
        <f>VLOOKUP(H329,[1]!Territories,3,FALSE)</f>
        <v>1</v>
      </c>
      <c r="K329" t="str">
        <f>VLOOKUP(J329,[1]!Region,2,FALSE)</f>
        <v>Eastern</v>
      </c>
      <c r="L329">
        <f>VLOOKUP(A329,[1]Order_Details!$A$1:$F$2156,2,FALSE)</f>
        <v>59</v>
      </c>
      <c r="M329" t="str">
        <f>VLOOKUP(L329,[1]!Products,2,FALSE)</f>
        <v>Raclette Courdavault</v>
      </c>
      <c r="N329">
        <f>VLOOKUP(L329,[1]!Products,4,FALSE)</f>
        <v>4</v>
      </c>
      <c r="O329" s="6" t="str">
        <f>VLOOKUP(N329,[1]!Categories,2,FALSE)</f>
        <v>Dairy Products</v>
      </c>
      <c r="P329" s="6">
        <f>VLOOKUP(A329,[1]Order_Details!$A$1:$F$2156,3,FALSE)</f>
        <v>55</v>
      </c>
      <c r="Q329">
        <f>VLOOKUP(A329,[1]Order_Details!$A$1:$F$2156,4,FALSE)</f>
        <v>12</v>
      </c>
      <c r="R329">
        <f>VLOOKUP(A329,[1]Order_Details!$A$1:$F$2156,5,FALSE)</f>
        <v>0</v>
      </c>
      <c r="S329" s="6">
        <f>VLOOKUP(A329,[1]Order_Details!$A$1:$F$2156,6,FALSE)</f>
        <v>660</v>
      </c>
      <c r="T329" s="6">
        <f>VLOOKUP(A329,[1]!Orders,8,FALSE)</f>
        <v>127.34</v>
      </c>
    </row>
    <row r="330" spans="1:20" x14ac:dyDescent="0.3">
      <c r="A330" s="2">
        <v>10576</v>
      </c>
      <c r="B330" s="2" t="s">
        <v>27</v>
      </c>
      <c r="C330" s="2">
        <v>3</v>
      </c>
      <c r="D330" s="3">
        <v>35604</v>
      </c>
      <c r="E330" t="str">
        <f>VLOOKUP(C330,[1]Employees!$A$1:$O$10,4,FALSE)</f>
        <v>Leverling Janet</v>
      </c>
      <c r="F330">
        <f>VLOOKUP(A330,[1]!Orders,7,FALSE)</f>
        <v>3</v>
      </c>
      <c r="G330" t="str">
        <f>VLOOKUP(F330,[1]!Shippers,2,FALSE)</f>
        <v>Federal Shipping</v>
      </c>
      <c r="H330" t="str">
        <f>VLOOKUP(C330,[1]EmployeeTerritories!$A$1:$B$50,2,FALSE)</f>
        <v>30346</v>
      </c>
      <c r="I330">
        <f>VLOOKUP(C330,[1]EmployeeTerritories!$A$1:$B$50,1,FALSE)</f>
        <v>3</v>
      </c>
      <c r="J330">
        <f>VLOOKUP(H330,[1]!Territories,3,FALSE)</f>
        <v>4</v>
      </c>
      <c r="K330" t="str">
        <f>VLOOKUP(J330,[1]!Region,2,FALSE)</f>
        <v>Southern</v>
      </c>
      <c r="L330">
        <f>VLOOKUP(A330,[1]Order_Details!$A$1:$F$2156,2,FALSE)</f>
        <v>1</v>
      </c>
      <c r="M330" t="str">
        <f>VLOOKUP(L330,[1]!Products,2,FALSE)</f>
        <v>Chai</v>
      </c>
      <c r="N330">
        <f>VLOOKUP(L330,[1]!Products,4,FALSE)</f>
        <v>1</v>
      </c>
      <c r="O330" s="6" t="str">
        <f>VLOOKUP(N330,[1]!Categories,2,FALSE)</f>
        <v>Beverages</v>
      </c>
      <c r="P330" s="6">
        <f>VLOOKUP(A330,[1]Order_Details!$A$1:$F$2156,3,FALSE)</f>
        <v>18</v>
      </c>
      <c r="Q330">
        <f>VLOOKUP(A330,[1]Order_Details!$A$1:$F$2156,4,FALSE)</f>
        <v>10</v>
      </c>
      <c r="R330">
        <f>VLOOKUP(A330,[1]Order_Details!$A$1:$F$2156,5,FALSE)</f>
        <v>0</v>
      </c>
      <c r="S330" s="6">
        <f>VLOOKUP(A330,[1]Order_Details!$A$1:$F$2156,6,FALSE)</f>
        <v>180</v>
      </c>
      <c r="T330" s="6">
        <f>VLOOKUP(A330,[1]!Orders,8,FALSE)</f>
        <v>18.559999999999999</v>
      </c>
    </row>
    <row r="331" spans="1:20" x14ac:dyDescent="0.3">
      <c r="A331" s="2">
        <v>10577</v>
      </c>
      <c r="B331" s="2" t="s">
        <v>85</v>
      </c>
      <c r="C331" s="2">
        <v>9</v>
      </c>
      <c r="D331" s="3">
        <v>35604</v>
      </c>
      <c r="E331" t="str">
        <f>VLOOKUP(C331,[1]Employees!$A$1:$O$10,4,FALSE)</f>
        <v>Dodsworth Anne</v>
      </c>
      <c r="F331">
        <f>VLOOKUP(A331,[1]!Orders,7,FALSE)</f>
        <v>2</v>
      </c>
      <c r="G331" t="str">
        <f>VLOOKUP(F331,[1]!Shippers,2,FALSE)</f>
        <v>United Package</v>
      </c>
      <c r="H331" t="str">
        <f>VLOOKUP(C331,[1]EmployeeTerritories!$A$1:$B$50,2,FALSE)</f>
        <v>03049</v>
      </c>
      <c r="I331">
        <f>VLOOKUP(C331,[1]EmployeeTerritories!$A$1:$B$50,1,FALSE)</f>
        <v>9</v>
      </c>
      <c r="J331">
        <f>VLOOKUP(H331,[1]!Territories,3,FALSE)</f>
        <v>3</v>
      </c>
      <c r="K331" t="str">
        <f>VLOOKUP(J331,[1]!Region,2,FALSE)</f>
        <v>Northern</v>
      </c>
      <c r="L331">
        <f>VLOOKUP(A331,[1]Order_Details!$A$1:$F$2156,2,FALSE)</f>
        <v>39</v>
      </c>
      <c r="M331" t="str">
        <f>VLOOKUP(L331,[1]!Products,2,FALSE)</f>
        <v>Chartreuse verte</v>
      </c>
      <c r="N331">
        <f>VLOOKUP(L331,[1]!Products,4,FALSE)</f>
        <v>1</v>
      </c>
      <c r="O331" s="6" t="str">
        <f>VLOOKUP(N331,[1]!Categories,2,FALSE)</f>
        <v>Beverages</v>
      </c>
      <c r="P331" s="6">
        <f>VLOOKUP(A331,[1]Order_Details!$A$1:$F$2156,3,FALSE)</f>
        <v>18</v>
      </c>
      <c r="Q331">
        <f>VLOOKUP(A331,[1]Order_Details!$A$1:$F$2156,4,FALSE)</f>
        <v>10</v>
      </c>
      <c r="R331">
        <f>VLOOKUP(A331,[1]Order_Details!$A$1:$F$2156,5,FALSE)</f>
        <v>0</v>
      </c>
      <c r="S331" s="6">
        <f>VLOOKUP(A331,[1]Order_Details!$A$1:$F$2156,6,FALSE)</f>
        <v>180</v>
      </c>
      <c r="T331" s="6">
        <f>VLOOKUP(A331,[1]!Orders,8,FALSE)</f>
        <v>25.41</v>
      </c>
    </row>
    <row r="332" spans="1:20" x14ac:dyDescent="0.3">
      <c r="A332" s="2">
        <v>10578</v>
      </c>
      <c r="B332" s="2" t="s">
        <v>35</v>
      </c>
      <c r="C332" s="2">
        <v>4</v>
      </c>
      <c r="D332" s="3">
        <v>35605</v>
      </c>
      <c r="E332" t="str">
        <f>VLOOKUP(C332,[1]Employees!$A$1:$O$10,4,FALSE)</f>
        <v>Peacock Margaret</v>
      </c>
      <c r="F332">
        <f>VLOOKUP(A332,[1]!Orders,7,FALSE)</f>
        <v>3</v>
      </c>
      <c r="G332" t="str">
        <f>VLOOKUP(F332,[1]!Shippers,2,FALSE)</f>
        <v>Federal Shipping</v>
      </c>
      <c r="H332" t="str">
        <f>VLOOKUP(C332,[1]EmployeeTerritories!$A$1:$B$50,2,FALSE)</f>
        <v>20852</v>
      </c>
      <c r="I332">
        <f>VLOOKUP(C332,[1]EmployeeTerritories!$A$1:$B$50,1,FALSE)</f>
        <v>4</v>
      </c>
      <c r="J332">
        <f>VLOOKUP(H332,[1]!Territories,3,FALSE)</f>
        <v>1</v>
      </c>
      <c r="K332" t="str">
        <f>VLOOKUP(J332,[1]!Region,2,FALSE)</f>
        <v>Eastern</v>
      </c>
      <c r="L332">
        <f>VLOOKUP(A332,[1]Order_Details!$A$1:$F$2156,2,FALSE)</f>
        <v>35</v>
      </c>
      <c r="M332" t="str">
        <f>VLOOKUP(L332,[1]!Products,2,FALSE)</f>
        <v>Steeleye Stout</v>
      </c>
      <c r="N332">
        <f>VLOOKUP(L332,[1]!Products,4,FALSE)</f>
        <v>1</v>
      </c>
      <c r="O332" s="6" t="str">
        <f>VLOOKUP(N332,[1]!Categories,2,FALSE)</f>
        <v>Beverages</v>
      </c>
      <c r="P332" s="6">
        <f>VLOOKUP(A332,[1]Order_Details!$A$1:$F$2156,3,FALSE)</f>
        <v>18</v>
      </c>
      <c r="Q332">
        <f>VLOOKUP(A332,[1]Order_Details!$A$1:$F$2156,4,FALSE)</f>
        <v>20</v>
      </c>
      <c r="R332">
        <f>VLOOKUP(A332,[1]Order_Details!$A$1:$F$2156,5,FALSE)</f>
        <v>0</v>
      </c>
      <c r="S332" s="6">
        <f>VLOOKUP(A332,[1]Order_Details!$A$1:$F$2156,6,FALSE)</f>
        <v>360</v>
      </c>
      <c r="T332" s="6">
        <f>VLOOKUP(A332,[1]!Orders,8,FALSE)</f>
        <v>29.6</v>
      </c>
    </row>
    <row r="333" spans="1:20" x14ac:dyDescent="0.3">
      <c r="A333" s="2">
        <v>10579</v>
      </c>
      <c r="B333" s="2" t="s">
        <v>86</v>
      </c>
      <c r="C333" s="2">
        <v>1</v>
      </c>
      <c r="D333" s="3">
        <v>35606</v>
      </c>
      <c r="E333" t="str">
        <f>VLOOKUP(C333,[1]Employees!$A$1:$O$10,4,FALSE)</f>
        <v>Davolio Nancy</v>
      </c>
      <c r="F333">
        <f>VLOOKUP(A333,[1]!Orders,7,FALSE)</f>
        <v>2</v>
      </c>
      <c r="G333" t="str">
        <f>VLOOKUP(F333,[1]!Shippers,2,FALSE)</f>
        <v>United Package</v>
      </c>
      <c r="H333" t="str">
        <f>VLOOKUP(C333,[1]EmployeeTerritories!$A$1:$B$50,2,FALSE)</f>
        <v>06897</v>
      </c>
      <c r="I333">
        <f>VLOOKUP(C333,[1]EmployeeTerritories!$A$1:$B$50,1,FALSE)</f>
        <v>1</v>
      </c>
      <c r="J333">
        <f>VLOOKUP(H333,[1]!Territories,3,FALSE)</f>
        <v>1</v>
      </c>
      <c r="K333" t="str">
        <f>VLOOKUP(J333,[1]!Region,2,FALSE)</f>
        <v>Eastern</v>
      </c>
      <c r="L333">
        <f>VLOOKUP(A333,[1]Order_Details!$A$1:$F$2156,2,FALSE)</f>
        <v>15</v>
      </c>
      <c r="M333" t="str">
        <f>VLOOKUP(L333,[1]!Products,2,FALSE)</f>
        <v>Genen Shouyu</v>
      </c>
      <c r="N333">
        <f>VLOOKUP(L333,[1]!Products,4,FALSE)</f>
        <v>2</v>
      </c>
      <c r="O333" s="6" t="str">
        <f>VLOOKUP(N333,[1]!Categories,2,FALSE)</f>
        <v>Condiments</v>
      </c>
      <c r="P333" s="6">
        <f>VLOOKUP(A333,[1]Order_Details!$A$1:$F$2156,3,FALSE)</f>
        <v>15.5</v>
      </c>
      <c r="Q333">
        <f>VLOOKUP(A333,[1]Order_Details!$A$1:$F$2156,4,FALSE)</f>
        <v>10</v>
      </c>
      <c r="R333">
        <f>VLOOKUP(A333,[1]Order_Details!$A$1:$F$2156,5,FALSE)</f>
        <v>0</v>
      </c>
      <c r="S333" s="6">
        <f>VLOOKUP(A333,[1]Order_Details!$A$1:$F$2156,6,FALSE)</f>
        <v>155</v>
      </c>
      <c r="T333" s="6">
        <f>VLOOKUP(A333,[1]!Orders,8,FALSE)</f>
        <v>13.73</v>
      </c>
    </row>
    <row r="334" spans="1:20" x14ac:dyDescent="0.3">
      <c r="A334" s="2">
        <v>10580</v>
      </c>
      <c r="B334" s="2" t="s">
        <v>15</v>
      </c>
      <c r="C334" s="2">
        <v>4</v>
      </c>
      <c r="D334" s="3">
        <v>35607</v>
      </c>
      <c r="E334" t="str">
        <f>VLOOKUP(C334,[1]Employees!$A$1:$O$10,4,FALSE)</f>
        <v>Peacock Margaret</v>
      </c>
      <c r="F334">
        <f>VLOOKUP(A334,[1]!Orders,7,FALSE)</f>
        <v>3</v>
      </c>
      <c r="G334" t="str">
        <f>VLOOKUP(F334,[1]!Shippers,2,FALSE)</f>
        <v>Federal Shipping</v>
      </c>
      <c r="H334" t="str">
        <f>VLOOKUP(C334,[1]EmployeeTerritories!$A$1:$B$50,2,FALSE)</f>
        <v>20852</v>
      </c>
      <c r="I334">
        <f>VLOOKUP(C334,[1]EmployeeTerritories!$A$1:$B$50,1,FALSE)</f>
        <v>4</v>
      </c>
      <c r="J334">
        <f>VLOOKUP(H334,[1]!Territories,3,FALSE)</f>
        <v>1</v>
      </c>
      <c r="K334" t="str">
        <f>VLOOKUP(J334,[1]!Region,2,FALSE)</f>
        <v>Eastern</v>
      </c>
      <c r="L334">
        <f>VLOOKUP(A334,[1]Order_Details!$A$1:$F$2156,2,FALSE)</f>
        <v>14</v>
      </c>
      <c r="M334" t="str">
        <f>VLOOKUP(L334,[1]!Products,2,FALSE)</f>
        <v>Tofu</v>
      </c>
      <c r="N334">
        <f>VLOOKUP(L334,[1]!Products,4,FALSE)</f>
        <v>7</v>
      </c>
      <c r="O334" s="6" t="str">
        <f>VLOOKUP(N334,[1]!Categories,2,FALSE)</f>
        <v>Produce</v>
      </c>
      <c r="P334" s="6">
        <f>VLOOKUP(A334,[1]Order_Details!$A$1:$F$2156,3,FALSE)</f>
        <v>23.25</v>
      </c>
      <c r="Q334">
        <f>VLOOKUP(A334,[1]Order_Details!$A$1:$F$2156,4,FALSE)</f>
        <v>15</v>
      </c>
      <c r="R334">
        <f>VLOOKUP(A334,[1]Order_Details!$A$1:$F$2156,5,FALSE)</f>
        <v>5.000000074505806E-2</v>
      </c>
      <c r="S334" s="6">
        <f>VLOOKUP(A334,[1]Order_Details!$A$1:$F$2156,6,FALSE)</f>
        <v>331.312499740161</v>
      </c>
      <c r="T334" s="6">
        <f>VLOOKUP(A334,[1]!Orders,8,FALSE)</f>
        <v>75.89</v>
      </c>
    </row>
    <row r="335" spans="1:20" x14ac:dyDescent="0.3">
      <c r="A335" s="2">
        <v>10581</v>
      </c>
      <c r="B335" s="2" t="s">
        <v>56</v>
      </c>
      <c r="C335" s="2">
        <v>3</v>
      </c>
      <c r="D335" s="3">
        <v>35607</v>
      </c>
      <c r="E335" t="str">
        <f>VLOOKUP(C335,[1]Employees!$A$1:$O$10,4,FALSE)</f>
        <v>Leverling Janet</v>
      </c>
      <c r="F335">
        <f>VLOOKUP(A335,[1]!Orders,7,FALSE)</f>
        <v>1</v>
      </c>
      <c r="G335" t="str">
        <f>VLOOKUP(F335,[1]!Shippers,2,FALSE)</f>
        <v>Speedy Express</v>
      </c>
      <c r="H335" t="str">
        <f>VLOOKUP(C335,[1]EmployeeTerritories!$A$1:$B$50,2,FALSE)</f>
        <v>30346</v>
      </c>
      <c r="I335">
        <f>VLOOKUP(C335,[1]EmployeeTerritories!$A$1:$B$50,1,FALSE)</f>
        <v>3</v>
      </c>
      <c r="J335">
        <f>VLOOKUP(H335,[1]!Territories,3,FALSE)</f>
        <v>4</v>
      </c>
      <c r="K335" t="str">
        <f>VLOOKUP(J335,[1]!Region,2,FALSE)</f>
        <v>Southern</v>
      </c>
      <c r="L335">
        <f>VLOOKUP(A335,[1]Order_Details!$A$1:$F$2156,2,FALSE)</f>
        <v>75</v>
      </c>
      <c r="M335" t="str">
        <f>VLOOKUP(L335,[1]!Products,2,FALSE)</f>
        <v>Rhönbräu Klosterbier</v>
      </c>
      <c r="N335">
        <f>VLOOKUP(L335,[1]!Products,4,FALSE)</f>
        <v>1</v>
      </c>
      <c r="O335" s="6" t="str">
        <f>VLOOKUP(N335,[1]!Categories,2,FALSE)</f>
        <v>Beverages</v>
      </c>
      <c r="P335" s="6">
        <f>VLOOKUP(A335,[1]Order_Details!$A$1:$F$2156,3,FALSE)</f>
        <v>7.75</v>
      </c>
      <c r="Q335">
        <f>VLOOKUP(A335,[1]Order_Details!$A$1:$F$2156,4,FALSE)</f>
        <v>50</v>
      </c>
      <c r="R335">
        <f>VLOOKUP(A335,[1]Order_Details!$A$1:$F$2156,5,FALSE)</f>
        <v>0.20000000298023224</v>
      </c>
      <c r="S335" s="6">
        <f>VLOOKUP(A335,[1]Order_Details!$A$1:$F$2156,6,FALSE)</f>
        <v>309.99999884516001</v>
      </c>
      <c r="T335" s="6">
        <f>VLOOKUP(A335,[1]!Orders,8,FALSE)</f>
        <v>3.01</v>
      </c>
    </row>
    <row r="336" spans="1:20" x14ac:dyDescent="0.3">
      <c r="A336" s="2">
        <v>10582</v>
      </c>
      <c r="B336" s="2" t="s">
        <v>80</v>
      </c>
      <c r="C336" s="2">
        <v>3</v>
      </c>
      <c r="D336" s="3">
        <v>35608</v>
      </c>
      <c r="E336" t="str">
        <f>VLOOKUP(C336,[1]Employees!$A$1:$O$10,4,FALSE)</f>
        <v>Leverling Janet</v>
      </c>
      <c r="F336">
        <f>VLOOKUP(A336,[1]!Orders,7,FALSE)</f>
        <v>2</v>
      </c>
      <c r="G336" t="str">
        <f>VLOOKUP(F336,[1]!Shippers,2,FALSE)</f>
        <v>United Package</v>
      </c>
      <c r="H336" t="str">
        <f>VLOOKUP(C336,[1]EmployeeTerritories!$A$1:$B$50,2,FALSE)</f>
        <v>30346</v>
      </c>
      <c r="I336">
        <f>VLOOKUP(C336,[1]EmployeeTerritories!$A$1:$B$50,1,FALSE)</f>
        <v>3</v>
      </c>
      <c r="J336">
        <f>VLOOKUP(H336,[1]!Territories,3,FALSE)</f>
        <v>4</v>
      </c>
      <c r="K336" t="str">
        <f>VLOOKUP(J336,[1]!Region,2,FALSE)</f>
        <v>Southern</v>
      </c>
      <c r="L336">
        <f>VLOOKUP(A336,[1]Order_Details!$A$1:$F$2156,2,FALSE)</f>
        <v>57</v>
      </c>
      <c r="M336" t="str">
        <f>VLOOKUP(L336,[1]!Products,2,FALSE)</f>
        <v>Ravioli Angelo</v>
      </c>
      <c r="N336">
        <f>VLOOKUP(L336,[1]!Products,4,FALSE)</f>
        <v>5</v>
      </c>
      <c r="O336" s="6" t="str">
        <f>VLOOKUP(N336,[1]!Categories,2,FALSE)</f>
        <v>Grains/Cereals</v>
      </c>
      <c r="P336" s="6">
        <f>VLOOKUP(A336,[1]Order_Details!$A$1:$F$2156,3,FALSE)</f>
        <v>19.5</v>
      </c>
      <c r="Q336">
        <f>VLOOKUP(A336,[1]Order_Details!$A$1:$F$2156,4,FALSE)</f>
        <v>4</v>
      </c>
      <c r="R336">
        <f>VLOOKUP(A336,[1]Order_Details!$A$1:$F$2156,5,FALSE)</f>
        <v>0</v>
      </c>
      <c r="S336" s="6">
        <f>VLOOKUP(A336,[1]Order_Details!$A$1:$F$2156,6,FALSE)</f>
        <v>78</v>
      </c>
      <c r="T336" s="6">
        <f>VLOOKUP(A336,[1]!Orders,8,FALSE)</f>
        <v>27.71</v>
      </c>
    </row>
    <row r="337" spans="1:20" x14ac:dyDescent="0.3">
      <c r="A337" s="2">
        <v>10583</v>
      </c>
      <c r="B337" s="2" t="s">
        <v>20</v>
      </c>
      <c r="C337" s="2">
        <v>2</v>
      </c>
      <c r="D337" s="3">
        <v>35611</v>
      </c>
      <c r="E337" t="str">
        <f>VLOOKUP(C337,[1]Employees!$A$1:$O$10,4,FALSE)</f>
        <v>Fuller Andrew</v>
      </c>
      <c r="F337">
        <f>VLOOKUP(A337,[1]!Orders,7,FALSE)</f>
        <v>2</v>
      </c>
      <c r="G337" t="str">
        <f>VLOOKUP(F337,[1]!Shippers,2,FALSE)</f>
        <v>United Package</v>
      </c>
      <c r="H337" t="str">
        <f>VLOOKUP(C337,[1]EmployeeTerritories!$A$1:$B$50,2,FALSE)</f>
        <v>01581</v>
      </c>
      <c r="I337">
        <f>VLOOKUP(C337,[1]EmployeeTerritories!$A$1:$B$50,1,FALSE)</f>
        <v>2</v>
      </c>
      <c r="J337">
        <f>VLOOKUP(H337,[1]!Territories,3,FALSE)</f>
        <v>1</v>
      </c>
      <c r="K337" t="str">
        <f>VLOOKUP(J337,[1]!Region,2,FALSE)</f>
        <v>Eastern</v>
      </c>
      <c r="L337">
        <f>VLOOKUP(A337,[1]Order_Details!$A$1:$F$2156,2,FALSE)</f>
        <v>29</v>
      </c>
      <c r="M337" t="str">
        <f>VLOOKUP(L337,[1]!Products,2,FALSE)</f>
        <v>Thüringer Rostbratwurst</v>
      </c>
      <c r="N337">
        <f>VLOOKUP(L337,[1]!Products,4,FALSE)</f>
        <v>6</v>
      </c>
      <c r="O337" s="6" t="str">
        <f>VLOOKUP(N337,[1]!Categories,2,FALSE)</f>
        <v>Meat/Poultry</v>
      </c>
      <c r="P337" s="6">
        <f>VLOOKUP(A337,[1]Order_Details!$A$1:$F$2156,3,FALSE)</f>
        <v>123.79</v>
      </c>
      <c r="Q337">
        <f>VLOOKUP(A337,[1]Order_Details!$A$1:$F$2156,4,FALSE)</f>
        <v>10</v>
      </c>
      <c r="R337">
        <f>VLOOKUP(A337,[1]Order_Details!$A$1:$F$2156,5,FALSE)</f>
        <v>0</v>
      </c>
      <c r="S337" s="6">
        <f>VLOOKUP(A337,[1]Order_Details!$A$1:$F$2156,6,FALSE)</f>
        <v>1237.9000000000001</v>
      </c>
      <c r="T337" s="6">
        <f>VLOOKUP(A337,[1]!Orders,8,FALSE)</f>
        <v>7.28</v>
      </c>
    </row>
    <row r="338" spans="1:20" x14ac:dyDescent="0.3">
      <c r="A338" s="2">
        <v>10584</v>
      </c>
      <c r="B338" s="2" t="s">
        <v>19</v>
      </c>
      <c r="C338" s="2">
        <v>4</v>
      </c>
      <c r="D338" s="3">
        <v>35611</v>
      </c>
      <c r="E338" t="str">
        <f>VLOOKUP(C338,[1]Employees!$A$1:$O$10,4,FALSE)</f>
        <v>Peacock Margaret</v>
      </c>
      <c r="F338">
        <f>VLOOKUP(A338,[1]!Orders,7,FALSE)</f>
        <v>1</v>
      </c>
      <c r="G338" t="str">
        <f>VLOOKUP(F338,[1]!Shippers,2,FALSE)</f>
        <v>Speedy Express</v>
      </c>
      <c r="H338" t="str">
        <f>VLOOKUP(C338,[1]EmployeeTerritories!$A$1:$B$50,2,FALSE)</f>
        <v>20852</v>
      </c>
      <c r="I338">
        <f>VLOOKUP(C338,[1]EmployeeTerritories!$A$1:$B$50,1,FALSE)</f>
        <v>4</v>
      </c>
      <c r="J338">
        <f>VLOOKUP(H338,[1]!Territories,3,FALSE)</f>
        <v>1</v>
      </c>
      <c r="K338" t="str">
        <f>VLOOKUP(J338,[1]!Region,2,FALSE)</f>
        <v>Eastern</v>
      </c>
      <c r="L338">
        <f>VLOOKUP(A338,[1]Order_Details!$A$1:$F$2156,2,FALSE)</f>
        <v>31</v>
      </c>
      <c r="M338" t="str">
        <f>VLOOKUP(L338,[1]!Products,2,FALSE)</f>
        <v>Gorgonzola Telino</v>
      </c>
      <c r="N338">
        <f>VLOOKUP(L338,[1]!Products,4,FALSE)</f>
        <v>4</v>
      </c>
      <c r="O338" s="6" t="str">
        <f>VLOOKUP(N338,[1]!Categories,2,FALSE)</f>
        <v>Dairy Products</v>
      </c>
      <c r="P338" s="6">
        <f>VLOOKUP(A338,[1]Order_Details!$A$1:$F$2156,3,FALSE)</f>
        <v>12.5</v>
      </c>
      <c r="Q338">
        <f>VLOOKUP(A338,[1]Order_Details!$A$1:$F$2156,4,FALSE)</f>
        <v>50</v>
      </c>
      <c r="R338">
        <f>VLOOKUP(A338,[1]Order_Details!$A$1:$F$2156,5,FALSE)</f>
        <v>5.000000074505806E-2</v>
      </c>
      <c r="S338" s="6">
        <f>VLOOKUP(A338,[1]Order_Details!$A$1:$F$2156,6,FALSE)</f>
        <v>593.74999953433871</v>
      </c>
      <c r="T338" s="6">
        <f>VLOOKUP(A338,[1]!Orders,8,FALSE)</f>
        <v>59.14</v>
      </c>
    </row>
    <row r="339" spans="1:20" x14ac:dyDescent="0.3">
      <c r="A339" s="2">
        <v>10585</v>
      </c>
      <c r="B339" s="2" t="s">
        <v>11</v>
      </c>
      <c r="C339" s="2">
        <v>7</v>
      </c>
      <c r="D339" s="3">
        <v>35612</v>
      </c>
      <c r="E339" t="str">
        <f>VLOOKUP(C339,[1]Employees!$A$1:$O$10,4,FALSE)</f>
        <v>King Robert</v>
      </c>
      <c r="F339">
        <f>VLOOKUP(A339,[1]!Orders,7,FALSE)</f>
        <v>1</v>
      </c>
      <c r="G339" t="str">
        <f>VLOOKUP(F339,[1]!Shippers,2,FALSE)</f>
        <v>Speedy Express</v>
      </c>
      <c r="H339" t="str">
        <f>VLOOKUP(C339,[1]EmployeeTerritories!$A$1:$B$50,2,FALSE)</f>
        <v>60179</v>
      </c>
      <c r="I339">
        <f>VLOOKUP(C339,[1]EmployeeTerritories!$A$1:$B$50,1,FALSE)</f>
        <v>7</v>
      </c>
      <c r="J339">
        <f>VLOOKUP(H339,[1]!Territories,3,FALSE)</f>
        <v>2</v>
      </c>
      <c r="K339" t="str">
        <f>VLOOKUP(J339,[1]!Region,2,FALSE)</f>
        <v>Western</v>
      </c>
      <c r="L339">
        <f>VLOOKUP(A339,[1]Order_Details!$A$1:$F$2156,2,FALSE)</f>
        <v>47</v>
      </c>
      <c r="M339" t="str">
        <f>VLOOKUP(L339,[1]!Products,2,FALSE)</f>
        <v>Zaanse koeken</v>
      </c>
      <c r="N339">
        <f>VLOOKUP(L339,[1]!Products,4,FALSE)</f>
        <v>3</v>
      </c>
      <c r="O339" s="6" t="str">
        <f>VLOOKUP(N339,[1]!Categories,2,FALSE)</f>
        <v>Confections</v>
      </c>
      <c r="P339" s="6">
        <f>VLOOKUP(A339,[1]Order_Details!$A$1:$F$2156,3,FALSE)</f>
        <v>9.5</v>
      </c>
      <c r="Q339">
        <f>VLOOKUP(A339,[1]Order_Details!$A$1:$F$2156,4,FALSE)</f>
        <v>15</v>
      </c>
      <c r="R339">
        <f>VLOOKUP(A339,[1]Order_Details!$A$1:$F$2156,5,FALSE)</f>
        <v>0</v>
      </c>
      <c r="S339" s="6">
        <f>VLOOKUP(A339,[1]Order_Details!$A$1:$F$2156,6,FALSE)</f>
        <v>142.5</v>
      </c>
      <c r="T339" s="6">
        <f>VLOOKUP(A339,[1]!Orders,8,FALSE)</f>
        <v>13.41</v>
      </c>
    </row>
    <row r="340" spans="1:20" x14ac:dyDescent="0.3">
      <c r="A340" s="2">
        <v>10586</v>
      </c>
      <c r="B340" s="2" t="s">
        <v>34</v>
      </c>
      <c r="C340" s="2">
        <v>9</v>
      </c>
      <c r="D340" s="3">
        <v>35613</v>
      </c>
      <c r="E340" t="str">
        <f>VLOOKUP(C340,[1]Employees!$A$1:$O$10,4,FALSE)</f>
        <v>Dodsworth Anne</v>
      </c>
      <c r="F340">
        <f>VLOOKUP(A340,[1]!Orders,7,FALSE)</f>
        <v>1</v>
      </c>
      <c r="G340" t="str">
        <f>VLOOKUP(F340,[1]!Shippers,2,FALSE)</f>
        <v>Speedy Express</v>
      </c>
      <c r="H340" t="str">
        <f>VLOOKUP(C340,[1]EmployeeTerritories!$A$1:$B$50,2,FALSE)</f>
        <v>03049</v>
      </c>
      <c r="I340">
        <f>VLOOKUP(C340,[1]EmployeeTerritories!$A$1:$B$50,1,FALSE)</f>
        <v>9</v>
      </c>
      <c r="J340">
        <f>VLOOKUP(H340,[1]!Territories,3,FALSE)</f>
        <v>3</v>
      </c>
      <c r="K340" t="str">
        <f>VLOOKUP(J340,[1]!Region,2,FALSE)</f>
        <v>Northern</v>
      </c>
      <c r="L340">
        <f>VLOOKUP(A340,[1]Order_Details!$A$1:$F$2156,2,FALSE)</f>
        <v>52</v>
      </c>
      <c r="M340" t="str">
        <f>VLOOKUP(L340,[1]!Products,2,FALSE)</f>
        <v>Filo Mix</v>
      </c>
      <c r="N340">
        <f>VLOOKUP(L340,[1]!Products,4,FALSE)</f>
        <v>5</v>
      </c>
      <c r="O340" s="6" t="str">
        <f>VLOOKUP(N340,[1]!Categories,2,FALSE)</f>
        <v>Grains/Cereals</v>
      </c>
      <c r="P340" s="6">
        <f>VLOOKUP(A340,[1]Order_Details!$A$1:$F$2156,3,FALSE)</f>
        <v>7</v>
      </c>
      <c r="Q340">
        <f>VLOOKUP(A340,[1]Order_Details!$A$1:$F$2156,4,FALSE)</f>
        <v>4</v>
      </c>
      <c r="R340">
        <f>VLOOKUP(A340,[1]Order_Details!$A$1:$F$2156,5,FALSE)</f>
        <v>0.15000000596046448</v>
      </c>
      <c r="S340" s="6">
        <f>VLOOKUP(A340,[1]Order_Details!$A$1:$F$2156,6,FALSE)</f>
        <v>23.799999833106995</v>
      </c>
      <c r="T340" s="6">
        <f>VLOOKUP(A340,[1]!Orders,8,FALSE)</f>
        <v>0.48</v>
      </c>
    </row>
    <row r="341" spans="1:20" x14ac:dyDescent="0.3">
      <c r="A341" s="2">
        <v>10587</v>
      </c>
      <c r="B341" s="2" t="s">
        <v>16</v>
      </c>
      <c r="C341" s="2">
        <v>1</v>
      </c>
      <c r="D341" s="3">
        <v>35613</v>
      </c>
      <c r="E341" t="str">
        <f>VLOOKUP(C341,[1]Employees!$A$1:$O$10,4,FALSE)</f>
        <v>Davolio Nancy</v>
      </c>
      <c r="F341">
        <f>VLOOKUP(A341,[1]!Orders,7,FALSE)</f>
        <v>1</v>
      </c>
      <c r="G341" t="str">
        <f>VLOOKUP(F341,[1]!Shippers,2,FALSE)</f>
        <v>Speedy Express</v>
      </c>
      <c r="H341" t="str">
        <f>VLOOKUP(C341,[1]EmployeeTerritories!$A$1:$B$50,2,FALSE)</f>
        <v>06897</v>
      </c>
      <c r="I341">
        <f>VLOOKUP(C341,[1]EmployeeTerritories!$A$1:$B$50,1,FALSE)</f>
        <v>1</v>
      </c>
      <c r="J341">
        <f>VLOOKUP(H341,[1]!Territories,3,FALSE)</f>
        <v>1</v>
      </c>
      <c r="K341" t="str">
        <f>VLOOKUP(J341,[1]!Region,2,FALSE)</f>
        <v>Eastern</v>
      </c>
      <c r="L341">
        <f>VLOOKUP(A341,[1]Order_Details!$A$1:$F$2156,2,FALSE)</f>
        <v>26</v>
      </c>
      <c r="M341" t="str">
        <f>VLOOKUP(L341,[1]!Products,2,FALSE)</f>
        <v>Gumbär Gummibärchen</v>
      </c>
      <c r="N341">
        <f>VLOOKUP(L341,[1]!Products,4,FALSE)</f>
        <v>3</v>
      </c>
      <c r="O341" s="6" t="str">
        <f>VLOOKUP(N341,[1]!Categories,2,FALSE)</f>
        <v>Confections</v>
      </c>
      <c r="P341" s="6">
        <f>VLOOKUP(A341,[1]Order_Details!$A$1:$F$2156,3,FALSE)</f>
        <v>31.23</v>
      </c>
      <c r="Q341">
        <f>VLOOKUP(A341,[1]Order_Details!$A$1:$F$2156,4,FALSE)</f>
        <v>6</v>
      </c>
      <c r="R341">
        <f>VLOOKUP(A341,[1]Order_Details!$A$1:$F$2156,5,FALSE)</f>
        <v>0</v>
      </c>
      <c r="S341" s="6">
        <f>VLOOKUP(A341,[1]Order_Details!$A$1:$F$2156,6,FALSE)</f>
        <v>187.38</v>
      </c>
      <c r="T341" s="6">
        <f>VLOOKUP(A341,[1]!Orders,8,FALSE)</f>
        <v>62.52</v>
      </c>
    </row>
    <row r="342" spans="1:20" x14ac:dyDescent="0.3">
      <c r="A342" s="2">
        <v>10588</v>
      </c>
      <c r="B342" s="2" t="s">
        <v>25</v>
      </c>
      <c r="C342" s="2">
        <v>2</v>
      </c>
      <c r="D342" s="3">
        <v>35614</v>
      </c>
      <c r="E342" t="str">
        <f>VLOOKUP(C342,[1]Employees!$A$1:$O$10,4,FALSE)</f>
        <v>Fuller Andrew</v>
      </c>
      <c r="F342">
        <f>VLOOKUP(A342,[1]!Orders,7,FALSE)</f>
        <v>3</v>
      </c>
      <c r="G342" t="str">
        <f>VLOOKUP(F342,[1]!Shippers,2,FALSE)</f>
        <v>Federal Shipping</v>
      </c>
      <c r="H342" t="str">
        <f>VLOOKUP(C342,[1]EmployeeTerritories!$A$1:$B$50,2,FALSE)</f>
        <v>01581</v>
      </c>
      <c r="I342">
        <f>VLOOKUP(C342,[1]EmployeeTerritories!$A$1:$B$50,1,FALSE)</f>
        <v>2</v>
      </c>
      <c r="J342">
        <f>VLOOKUP(H342,[1]!Territories,3,FALSE)</f>
        <v>1</v>
      </c>
      <c r="K342" t="str">
        <f>VLOOKUP(J342,[1]!Region,2,FALSE)</f>
        <v>Eastern</v>
      </c>
      <c r="L342">
        <f>VLOOKUP(A342,[1]Order_Details!$A$1:$F$2156,2,FALSE)</f>
        <v>18</v>
      </c>
      <c r="M342" t="str">
        <f>VLOOKUP(L342,[1]!Products,2,FALSE)</f>
        <v>Carnarvon Tigers</v>
      </c>
      <c r="N342">
        <f>VLOOKUP(L342,[1]!Products,4,FALSE)</f>
        <v>8</v>
      </c>
      <c r="O342" s="6" t="str">
        <f>VLOOKUP(N342,[1]!Categories,2,FALSE)</f>
        <v>Seafood</v>
      </c>
      <c r="P342" s="6">
        <f>VLOOKUP(A342,[1]Order_Details!$A$1:$F$2156,3,FALSE)</f>
        <v>62.5</v>
      </c>
      <c r="Q342">
        <f>VLOOKUP(A342,[1]Order_Details!$A$1:$F$2156,4,FALSE)</f>
        <v>40</v>
      </c>
      <c r="R342">
        <f>VLOOKUP(A342,[1]Order_Details!$A$1:$F$2156,5,FALSE)</f>
        <v>0.20000000298023224</v>
      </c>
      <c r="S342" s="6">
        <f>VLOOKUP(A342,[1]Order_Details!$A$1:$F$2156,6,FALSE)</f>
        <v>1999.9999925494194</v>
      </c>
      <c r="T342" s="6">
        <f>VLOOKUP(A342,[1]!Orders,8,FALSE)</f>
        <v>194.67</v>
      </c>
    </row>
    <row r="343" spans="1:20" x14ac:dyDescent="0.3">
      <c r="A343" s="2">
        <v>10589</v>
      </c>
      <c r="B343" s="2" t="s">
        <v>83</v>
      </c>
      <c r="C343" s="2">
        <v>8</v>
      </c>
      <c r="D343" s="3">
        <v>35615</v>
      </c>
      <c r="E343" t="str">
        <f>VLOOKUP(C343,[1]Employees!$A$1:$O$10,4,FALSE)</f>
        <v>Callahan Laura</v>
      </c>
      <c r="F343">
        <f>VLOOKUP(A343,[1]!Orders,7,FALSE)</f>
        <v>2</v>
      </c>
      <c r="G343" t="str">
        <f>VLOOKUP(F343,[1]!Shippers,2,FALSE)</f>
        <v>United Package</v>
      </c>
      <c r="H343" t="str">
        <f>VLOOKUP(C343,[1]EmployeeTerritories!$A$1:$B$50,2,FALSE)</f>
        <v>19428</v>
      </c>
      <c r="I343">
        <f>VLOOKUP(C343,[1]EmployeeTerritories!$A$1:$B$50,1,FALSE)</f>
        <v>8</v>
      </c>
      <c r="J343">
        <f>VLOOKUP(H343,[1]!Territories,3,FALSE)</f>
        <v>3</v>
      </c>
      <c r="K343" t="str">
        <f>VLOOKUP(J343,[1]!Region,2,FALSE)</f>
        <v>Northern</v>
      </c>
      <c r="L343">
        <f>VLOOKUP(A343,[1]Order_Details!$A$1:$F$2156,2,FALSE)</f>
        <v>35</v>
      </c>
      <c r="M343" t="str">
        <f>VLOOKUP(L343,[1]!Products,2,FALSE)</f>
        <v>Steeleye Stout</v>
      </c>
      <c r="N343">
        <f>VLOOKUP(L343,[1]!Products,4,FALSE)</f>
        <v>1</v>
      </c>
      <c r="O343" s="6" t="str">
        <f>VLOOKUP(N343,[1]!Categories,2,FALSE)</f>
        <v>Beverages</v>
      </c>
      <c r="P343" s="6">
        <f>VLOOKUP(A343,[1]Order_Details!$A$1:$F$2156,3,FALSE)</f>
        <v>18</v>
      </c>
      <c r="Q343">
        <f>VLOOKUP(A343,[1]Order_Details!$A$1:$F$2156,4,FALSE)</f>
        <v>4</v>
      </c>
      <c r="R343">
        <f>VLOOKUP(A343,[1]Order_Details!$A$1:$F$2156,5,FALSE)</f>
        <v>0</v>
      </c>
      <c r="S343" s="6">
        <f>VLOOKUP(A343,[1]Order_Details!$A$1:$F$2156,6,FALSE)</f>
        <v>72</v>
      </c>
      <c r="T343" s="6">
        <f>VLOOKUP(A343,[1]!Orders,8,FALSE)</f>
        <v>4.42</v>
      </c>
    </row>
    <row r="344" spans="1:20" x14ac:dyDescent="0.3">
      <c r="A344" s="2">
        <v>10590</v>
      </c>
      <c r="B344" s="2" t="s">
        <v>53</v>
      </c>
      <c r="C344" s="2">
        <v>4</v>
      </c>
      <c r="D344" s="3">
        <v>35618</v>
      </c>
      <c r="E344" t="str">
        <f>VLOOKUP(C344,[1]Employees!$A$1:$O$10,4,FALSE)</f>
        <v>Peacock Margaret</v>
      </c>
      <c r="F344">
        <f>VLOOKUP(A344,[1]!Orders,7,FALSE)</f>
        <v>3</v>
      </c>
      <c r="G344" t="str">
        <f>VLOOKUP(F344,[1]!Shippers,2,FALSE)</f>
        <v>Federal Shipping</v>
      </c>
      <c r="H344" t="str">
        <f>VLOOKUP(C344,[1]EmployeeTerritories!$A$1:$B$50,2,FALSE)</f>
        <v>20852</v>
      </c>
      <c r="I344">
        <f>VLOOKUP(C344,[1]EmployeeTerritories!$A$1:$B$50,1,FALSE)</f>
        <v>4</v>
      </c>
      <c r="J344">
        <f>VLOOKUP(H344,[1]!Territories,3,FALSE)</f>
        <v>1</v>
      </c>
      <c r="K344" t="str">
        <f>VLOOKUP(J344,[1]!Region,2,FALSE)</f>
        <v>Eastern</v>
      </c>
      <c r="L344">
        <f>VLOOKUP(A344,[1]Order_Details!$A$1:$F$2156,2,FALSE)</f>
        <v>1</v>
      </c>
      <c r="M344" t="str">
        <f>VLOOKUP(L344,[1]!Products,2,FALSE)</f>
        <v>Chai</v>
      </c>
      <c r="N344">
        <f>VLOOKUP(L344,[1]!Products,4,FALSE)</f>
        <v>1</v>
      </c>
      <c r="O344" s="6" t="str">
        <f>VLOOKUP(N344,[1]!Categories,2,FALSE)</f>
        <v>Beverages</v>
      </c>
      <c r="P344" s="6">
        <f>VLOOKUP(A344,[1]Order_Details!$A$1:$F$2156,3,FALSE)</f>
        <v>18</v>
      </c>
      <c r="Q344">
        <f>VLOOKUP(A344,[1]Order_Details!$A$1:$F$2156,4,FALSE)</f>
        <v>20</v>
      </c>
      <c r="R344">
        <f>VLOOKUP(A344,[1]Order_Details!$A$1:$F$2156,5,FALSE)</f>
        <v>0</v>
      </c>
      <c r="S344" s="6">
        <f>VLOOKUP(A344,[1]Order_Details!$A$1:$F$2156,6,FALSE)</f>
        <v>360</v>
      </c>
      <c r="T344" s="6">
        <f>VLOOKUP(A344,[1]!Orders,8,FALSE)</f>
        <v>44.77</v>
      </c>
    </row>
    <row r="345" spans="1:20" x14ac:dyDescent="0.3">
      <c r="A345" s="2">
        <v>10591</v>
      </c>
      <c r="B345" s="2" t="s">
        <v>65</v>
      </c>
      <c r="C345" s="2">
        <v>1</v>
      </c>
      <c r="D345" s="3">
        <v>35618</v>
      </c>
      <c r="E345" t="str">
        <f>VLOOKUP(C345,[1]Employees!$A$1:$O$10,4,FALSE)</f>
        <v>Davolio Nancy</v>
      </c>
      <c r="F345">
        <f>VLOOKUP(A345,[1]!Orders,7,FALSE)</f>
        <v>1</v>
      </c>
      <c r="G345" t="str">
        <f>VLOOKUP(F345,[1]!Shippers,2,FALSE)</f>
        <v>Speedy Express</v>
      </c>
      <c r="H345" t="str">
        <f>VLOOKUP(C345,[1]EmployeeTerritories!$A$1:$B$50,2,FALSE)</f>
        <v>06897</v>
      </c>
      <c r="I345">
        <f>VLOOKUP(C345,[1]EmployeeTerritories!$A$1:$B$50,1,FALSE)</f>
        <v>1</v>
      </c>
      <c r="J345">
        <f>VLOOKUP(H345,[1]!Territories,3,FALSE)</f>
        <v>1</v>
      </c>
      <c r="K345" t="str">
        <f>VLOOKUP(J345,[1]!Region,2,FALSE)</f>
        <v>Eastern</v>
      </c>
      <c r="L345">
        <f>VLOOKUP(A345,[1]Order_Details!$A$1:$F$2156,2,FALSE)</f>
        <v>3</v>
      </c>
      <c r="M345" t="str">
        <f>VLOOKUP(L345,[1]!Products,2,FALSE)</f>
        <v>Aniseed Syrup</v>
      </c>
      <c r="N345">
        <f>VLOOKUP(L345,[1]!Products,4,FALSE)</f>
        <v>2</v>
      </c>
      <c r="O345" s="6" t="str">
        <f>VLOOKUP(N345,[1]!Categories,2,FALSE)</f>
        <v>Condiments</v>
      </c>
      <c r="P345" s="6">
        <f>VLOOKUP(A345,[1]Order_Details!$A$1:$F$2156,3,FALSE)</f>
        <v>10</v>
      </c>
      <c r="Q345">
        <f>VLOOKUP(A345,[1]Order_Details!$A$1:$F$2156,4,FALSE)</f>
        <v>14</v>
      </c>
      <c r="R345">
        <f>VLOOKUP(A345,[1]Order_Details!$A$1:$F$2156,5,FALSE)</f>
        <v>0</v>
      </c>
      <c r="S345" s="6">
        <f>VLOOKUP(A345,[1]Order_Details!$A$1:$F$2156,6,FALSE)</f>
        <v>140</v>
      </c>
      <c r="T345" s="6">
        <f>VLOOKUP(A345,[1]!Orders,8,FALSE)</f>
        <v>55.92</v>
      </c>
    </row>
    <row r="346" spans="1:20" x14ac:dyDescent="0.3">
      <c r="A346" s="2">
        <v>10592</v>
      </c>
      <c r="B346" s="2" t="s">
        <v>30</v>
      </c>
      <c r="C346" s="2">
        <v>3</v>
      </c>
      <c r="D346" s="3">
        <v>35619</v>
      </c>
      <c r="E346" t="str">
        <f>VLOOKUP(C346,[1]Employees!$A$1:$O$10,4,FALSE)</f>
        <v>Leverling Janet</v>
      </c>
      <c r="F346">
        <f>VLOOKUP(A346,[1]!Orders,7,FALSE)</f>
        <v>1</v>
      </c>
      <c r="G346" t="str">
        <f>VLOOKUP(F346,[1]!Shippers,2,FALSE)</f>
        <v>Speedy Express</v>
      </c>
      <c r="H346" t="str">
        <f>VLOOKUP(C346,[1]EmployeeTerritories!$A$1:$B$50,2,FALSE)</f>
        <v>30346</v>
      </c>
      <c r="I346">
        <f>VLOOKUP(C346,[1]EmployeeTerritories!$A$1:$B$50,1,FALSE)</f>
        <v>3</v>
      </c>
      <c r="J346">
        <f>VLOOKUP(H346,[1]!Territories,3,FALSE)</f>
        <v>4</v>
      </c>
      <c r="K346" t="str">
        <f>VLOOKUP(J346,[1]!Region,2,FALSE)</f>
        <v>Southern</v>
      </c>
      <c r="L346">
        <f>VLOOKUP(A346,[1]Order_Details!$A$1:$F$2156,2,FALSE)</f>
        <v>15</v>
      </c>
      <c r="M346" t="str">
        <f>VLOOKUP(L346,[1]!Products,2,FALSE)</f>
        <v>Genen Shouyu</v>
      </c>
      <c r="N346">
        <f>VLOOKUP(L346,[1]!Products,4,FALSE)</f>
        <v>2</v>
      </c>
      <c r="O346" s="6" t="str">
        <f>VLOOKUP(N346,[1]!Categories,2,FALSE)</f>
        <v>Condiments</v>
      </c>
      <c r="P346" s="6">
        <f>VLOOKUP(A346,[1]Order_Details!$A$1:$F$2156,3,FALSE)</f>
        <v>15.5</v>
      </c>
      <c r="Q346">
        <f>VLOOKUP(A346,[1]Order_Details!$A$1:$F$2156,4,FALSE)</f>
        <v>25</v>
      </c>
      <c r="R346">
        <f>VLOOKUP(A346,[1]Order_Details!$A$1:$F$2156,5,FALSE)</f>
        <v>5.000000074505806E-2</v>
      </c>
      <c r="S346" s="6">
        <f>VLOOKUP(A346,[1]Order_Details!$A$1:$F$2156,6,FALSE)</f>
        <v>368.12499971129</v>
      </c>
      <c r="T346" s="6">
        <f>VLOOKUP(A346,[1]!Orders,8,FALSE)</f>
        <v>32.1</v>
      </c>
    </row>
    <row r="347" spans="1:20" x14ac:dyDescent="0.3">
      <c r="A347" s="2">
        <v>10593</v>
      </c>
      <c r="B347" s="2" t="s">
        <v>30</v>
      </c>
      <c r="C347" s="2">
        <v>7</v>
      </c>
      <c r="D347" s="3">
        <v>35620</v>
      </c>
      <c r="E347" t="str">
        <f>VLOOKUP(C347,[1]Employees!$A$1:$O$10,4,FALSE)</f>
        <v>King Robert</v>
      </c>
      <c r="F347">
        <f>VLOOKUP(A347,[1]!Orders,7,FALSE)</f>
        <v>2</v>
      </c>
      <c r="G347" t="str">
        <f>VLOOKUP(F347,[1]!Shippers,2,FALSE)</f>
        <v>United Package</v>
      </c>
      <c r="H347" t="str">
        <f>VLOOKUP(C347,[1]EmployeeTerritories!$A$1:$B$50,2,FALSE)</f>
        <v>60179</v>
      </c>
      <c r="I347">
        <f>VLOOKUP(C347,[1]EmployeeTerritories!$A$1:$B$50,1,FALSE)</f>
        <v>7</v>
      </c>
      <c r="J347">
        <f>VLOOKUP(H347,[1]!Territories,3,FALSE)</f>
        <v>2</v>
      </c>
      <c r="K347" t="str">
        <f>VLOOKUP(J347,[1]!Region,2,FALSE)</f>
        <v>Western</v>
      </c>
      <c r="L347">
        <f>VLOOKUP(A347,[1]Order_Details!$A$1:$F$2156,2,FALSE)</f>
        <v>20</v>
      </c>
      <c r="M347" t="str">
        <f>VLOOKUP(L347,[1]!Products,2,FALSE)</f>
        <v>Sir Rodney's Marmalade</v>
      </c>
      <c r="N347">
        <f>VLOOKUP(L347,[1]!Products,4,FALSE)</f>
        <v>3</v>
      </c>
      <c r="O347" s="6" t="str">
        <f>VLOOKUP(N347,[1]!Categories,2,FALSE)</f>
        <v>Confections</v>
      </c>
      <c r="P347" s="6">
        <f>VLOOKUP(A347,[1]Order_Details!$A$1:$F$2156,3,FALSE)</f>
        <v>81</v>
      </c>
      <c r="Q347">
        <f>VLOOKUP(A347,[1]Order_Details!$A$1:$F$2156,4,FALSE)</f>
        <v>21</v>
      </c>
      <c r="R347">
        <f>VLOOKUP(A347,[1]Order_Details!$A$1:$F$2156,5,FALSE)</f>
        <v>0.20000000298023224</v>
      </c>
      <c r="S347" s="6">
        <f>VLOOKUP(A347,[1]Order_Details!$A$1:$F$2156,6,FALSE)</f>
        <v>1360.799994930625</v>
      </c>
      <c r="T347" s="6">
        <f>VLOOKUP(A347,[1]!Orders,8,FALSE)</f>
        <v>174.2</v>
      </c>
    </row>
    <row r="348" spans="1:20" x14ac:dyDescent="0.3">
      <c r="A348" s="2">
        <v>10594</v>
      </c>
      <c r="B348" s="2" t="s">
        <v>41</v>
      </c>
      <c r="C348" s="2">
        <v>3</v>
      </c>
      <c r="D348" s="3">
        <v>35620</v>
      </c>
      <c r="E348" t="str">
        <f>VLOOKUP(C348,[1]Employees!$A$1:$O$10,4,FALSE)</f>
        <v>Leverling Janet</v>
      </c>
      <c r="F348">
        <f>VLOOKUP(A348,[1]!Orders,7,FALSE)</f>
        <v>2</v>
      </c>
      <c r="G348" t="str">
        <f>VLOOKUP(F348,[1]!Shippers,2,FALSE)</f>
        <v>United Package</v>
      </c>
      <c r="H348" t="str">
        <f>VLOOKUP(C348,[1]EmployeeTerritories!$A$1:$B$50,2,FALSE)</f>
        <v>30346</v>
      </c>
      <c r="I348">
        <f>VLOOKUP(C348,[1]EmployeeTerritories!$A$1:$B$50,1,FALSE)</f>
        <v>3</v>
      </c>
      <c r="J348">
        <f>VLOOKUP(H348,[1]!Territories,3,FALSE)</f>
        <v>4</v>
      </c>
      <c r="K348" t="str">
        <f>VLOOKUP(J348,[1]!Region,2,FALSE)</f>
        <v>Southern</v>
      </c>
      <c r="L348">
        <f>VLOOKUP(A348,[1]Order_Details!$A$1:$F$2156,2,FALSE)</f>
        <v>52</v>
      </c>
      <c r="M348" t="str">
        <f>VLOOKUP(L348,[1]!Products,2,FALSE)</f>
        <v>Filo Mix</v>
      </c>
      <c r="N348">
        <f>VLOOKUP(L348,[1]!Products,4,FALSE)</f>
        <v>5</v>
      </c>
      <c r="O348" s="6" t="str">
        <f>VLOOKUP(N348,[1]!Categories,2,FALSE)</f>
        <v>Grains/Cereals</v>
      </c>
      <c r="P348" s="6">
        <f>VLOOKUP(A348,[1]Order_Details!$A$1:$F$2156,3,FALSE)</f>
        <v>7</v>
      </c>
      <c r="Q348">
        <f>VLOOKUP(A348,[1]Order_Details!$A$1:$F$2156,4,FALSE)</f>
        <v>24</v>
      </c>
      <c r="R348">
        <f>VLOOKUP(A348,[1]Order_Details!$A$1:$F$2156,5,FALSE)</f>
        <v>0</v>
      </c>
      <c r="S348" s="6">
        <f>VLOOKUP(A348,[1]Order_Details!$A$1:$F$2156,6,FALSE)</f>
        <v>168</v>
      </c>
      <c r="T348" s="6">
        <f>VLOOKUP(A348,[1]!Orders,8,FALSE)</f>
        <v>5.24</v>
      </c>
    </row>
    <row r="349" spans="1:20" x14ac:dyDescent="0.3">
      <c r="A349" s="2">
        <v>10595</v>
      </c>
      <c r="B349" s="2" t="s">
        <v>13</v>
      </c>
      <c r="C349" s="2">
        <v>2</v>
      </c>
      <c r="D349" s="3">
        <v>35621</v>
      </c>
      <c r="E349" t="str">
        <f>VLOOKUP(C349,[1]Employees!$A$1:$O$10,4,FALSE)</f>
        <v>Fuller Andrew</v>
      </c>
      <c r="F349">
        <f>VLOOKUP(A349,[1]!Orders,7,FALSE)</f>
        <v>1</v>
      </c>
      <c r="G349" t="str">
        <f>VLOOKUP(F349,[1]!Shippers,2,FALSE)</f>
        <v>Speedy Express</v>
      </c>
      <c r="H349" t="str">
        <f>VLOOKUP(C349,[1]EmployeeTerritories!$A$1:$B$50,2,FALSE)</f>
        <v>01581</v>
      </c>
      <c r="I349">
        <f>VLOOKUP(C349,[1]EmployeeTerritories!$A$1:$B$50,1,FALSE)</f>
        <v>2</v>
      </c>
      <c r="J349">
        <f>VLOOKUP(H349,[1]!Territories,3,FALSE)</f>
        <v>1</v>
      </c>
      <c r="K349" t="str">
        <f>VLOOKUP(J349,[1]!Region,2,FALSE)</f>
        <v>Eastern</v>
      </c>
      <c r="L349">
        <f>VLOOKUP(A349,[1]Order_Details!$A$1:$F$2156,2,FALSE)</f>
        <v>35</v>
      </c>
      <c r="M349" t="str">
        <f>VLOOKUP(L349,[1]!Products,2,FALSE)</f>
        <v>Steeleye Stout</v>
      </c>
      <c r="N349">
        <f>VLOOKUP(L349,[1]!Products,4,FALSE)</f>
        <v>1</v>
      </c>
      <c r="O349" s="6" t="str">
        <f>VLOOKUP(N349,[1]!Categories,2,FALSE)</f>
        <v>Beverages</v>
      </c>
      <c r="P349" s="6">
        <f>VLOOKUP(A349,[1]Order_Details!$A$1:$F$2156,3,FALSE)</f>
        <v>18</v>
      </c>
      <c r="Q349">
        <f>VLOOKUP(A349,[1]Order_Details!$A$1:$F$2156,4,FALSE)</f>
        <v>30</v>
      </c>
      <c r="R349">
        <f>VLOOKUP(A349,[1]Order_Details!$A$1:$F$2156,5,FALSE)</f>
        <v>0.25</v>
      </c>
      <c r="S349" s="6">
        <f>VLOOKUP(A349,[1]Order_Details!$A$1:$F$2156,6,FALSE)</f>
        <v>405</v>
      </c>
      <c r="T349" s="6">
        <f>VLOOKUP(A349,[1]!Orders,8,FALSE)</f>
        <v>96.78</v>
      </c>
    </row>
    <row r="350" spans="1:20" x14ac:dyDescent="0.3">
      <c r="A350" s="2">
        <v>10596</v>
      </c>
      <c r="B350" s="2" t="s">
        <v>23</v>
      </c>
      <c r="C350" s="2">
        <v>8</v>
      </c>
      <c r="D350" s="3">
        <v>35622</v>
      </c>
      <c r="E350" t="str">
        <f>VLOOKUP(C350,[1]Employees!$A$1:$O$10,4,FALSE)</f>
        <v>Callahan Laura</v>
      </c>
      <c r="F350">
        <f>VLOOKUP(A350,[1]!Orders,7,FALSE)</f>
        <v>1</v>
      </c>
      <c r="G350" t="str">
        <f>VLOOKUP(F350,[1]!Shippers,2,FALSE)</f>
        <v>Speedy Express</v>
      </c>
      <c r="H350" t="str">
        <f>VLOOKUP(C350,[1]EmployeeTerritories!$A$1:$B$50,2,FALSE)</f>
        <v>19428</v>
      </c>
      <c r="I350">
        <f>VLOOKUP(C350,[1]EmployeeTerritories!$A$1:$B$50,1,FALSE)</f>
        <v>8</v>
      </c>
      <c r="J350">
        <f>VLOOKUP(H350,[1]!Territories,3,FALSE)</f>
        <v>3</v>
      </c>
      <c r="K350" t="str">
        <f>VLOOKUP(J350,[1]!Region,2,FALSE)</f>
        <v>Northern</v>
      </c>
      <c r="L350">
        <f>VLOOKUP(A350,[1]Order_Details!$A$1:$F$2156,2,FALSE)</f>
        <v>56</v>
      </c>
      <c r="M350" t="str">
        <f>VLOOKUP(L350,[1]!Products,2,FALSE)</f>
        <v>Gnocchi di nonna Alice</v>
      </c>
      <c r="N350">
        <f>VLOOKUP(L350,[1]!Products,4,FALSE)</f>
        <v>5</v>
      </c>
      <c r="O350" s="6" t="str">
        <f>VLOOKUP(N350,[1]!Categories,2,FALSE)</f>
        <v>Grains/Cereals</v>
      </c>
      <c r="P350" s="6">
        <f>VLOOKUP(A350,[1]Order_Details!$A$1:$F$2156,3,FALSE)</f>
        <v>38</v>
      </c>
      <c r="Q350">
        <f>VLOOKUP(A350,[1]Order_Details!$A$1:$F$2156,4,FALSE)</f>
        <v>5</v>
      </c>
      <c r="R350">
        <f>VLOOKUP(A350,[1]Order_Details!$A$1:$F$2156,5,FALSE)</f>
        <v>0.20000000298023224</v>
      </c>
      <c r="S350" s="6">
        <f>VLOOKUP(A350,[1]Order_Details!$A$1:$F$2156,6,FALSE)</f>
        <v>151.99999943375587</v>
      </c>
      <c r="T350" s="6">
        <f>VLOOKUP(A350,[1]!Orders,8,FALSE)</f>
        <v>16.34</v>
      </c>
    </row>
    <row r="351" spans="1:20" x14ac:dyDescent="0.3">
      <c r="A351" s="2">
        <v>10597</v>
      </c>
      <c r="B351" s="2" t="s">
        <v>58</v>
      </c>
      <c r="C351" s="2">
        <v>7</v>
      </c>
      <c r="D351" s="3">
        <v>35622</v>
      </c>
      <c r="E351" t="str">
        <f>VLOOKUP(C351,[1]Employees!$A$1:$O$10,4,FALSE)</f>
        <v>King Robert</v>
      </c>
      <c r="F351">
        <f>VLOOKUP(A351,[1]!Orders,7,FALSE)</f>
        <v>3</v>
      </c>
      <c r="G351" t="str">
        <f>VLOOKUP(F351,[1]!Shippers,2,FALSE)</f>
        <v>Federal Shipping</v>
      </c>
      <c r="H351" t="str">
        <f>VLOOKUP(C351,[1]EmployeeTerritories!$A$1:$B$50,2,FALSE)</f>
        <v>60179</v>
      </c>
      <c r="I351">
        <f>VLOOKUP(C351,[1]EmployeeTerritories!$A$1:$B$50,1,FALSE)</f>
        <v>7</v>
      </c>
      <c r="J351">
        <f>VLOOKUP(H351,[1]!Territories,3,FALSE)</f>
        <v>2</v>
      </c>
      <c r="K351" t="str">
        <f>VLOOKUP(J351,[1]!Region,2,FALSE)</f>
        <v>Western</v>
      </c>
      <c r="L351">
        <f>VLOOKUP(A351,[1]Order_Details!$A$1:$F$2156,2,FALSE)</f>
        <v>24</v>
      </c>
      <c r="M351" t="str">
        <f>VLOOKUP(L351,[1]!Products,2,FALSE)</f>
        <v>Guaraná Fantástica</v>
      </c>
      <c r="N351">
        <f>VLOOKUP(L351,[1]!Products,4,FALSE)</f>
        <v>1</v>
      </c>
      <c r="O351" s="6" t="str">
        <f>VLOOKUP(N351,[1]!Categories,2,FALSE)</f>
        <v>Beverages</v>
      </c>
      <c r="P351" s="6">
        <f>VLOOKUP(A351,[1]Order_Details!$A$1:$F$2156,3,FALSE)</f>
        <v>4.5</v>
      </c>
      <c r="Q351">
        <f>VLOOKUP(A351,[1]Order_Details!$A$1:$F$2156,4,FALSE)</f>
        <v>35</v>
      </c>
      <c r="R351">
        <f>VLOOKUP(A351,[1]Order_Details!$A$1:$F$2156,5,FALSE)</f>
        <v>0.20000000298023224</v>
      </c>
      <c r="S351" s="6">
        <f>VLOOKUP(A351,[1]Order_Details!$A$1:$F$2156,6,FALSE)</f>
        <v>125.99999953061342</v>
      </c>
      <c r="T351" s="6">
        <f>VLOOKUP(A351,[1]!Orders,8,FALSE)</f>
        <v>35.119999999999997</v>
      </c>
    </row>
    <row r="352" spans="1:20" x14ac:dyDescent="0.3">
      <c r="A352" s="2">
        <v>10598</v>
      </c>
      <c r="B352" s="2" t="s">
        <v>17</v>
      </c>
      <c r="C352" s="2">
        <v>1</v>
      </c>
      <c r="D352" s="3">
        <v>35625</v>
      </c>
      <c r="E352" t="str">
        <f>VLOOKUP(C352,[1]Employees!$A$1:$O$10,4,FALSE)</f>
        <v>Davolio Nancy</v>
      </c>
      <c r="F352">
        <f>VLOOKUP(A352,[1]!Orders,7,FALSE)</f>
        <v>3</v>
      </c>
      <c r="G352" t="str">
        <f>VLOOKUP(F352,[1]!Shippers,2,FALSE)</f>
        <v>Federal Shipping</v>
      </c>
      <c r="H352" t="str">
        <f>VLOOKUP(C352,[1]EmployeeTerritories!$A$1:$B$50,2,FALSE)</f>
        <v>06897</v>
      </c>
      <c r="I352">
        <f>VLOOKUP(C352,[1]EmployeeTerritories!$A$1:$B$50,1,FALSE)</f>
        <v>1</v>
      </c>
      <c r="J352">
        <f>VLOOKUP(H352,[1]!Territories,3,FALSE)</f>
        <v>1</v>
      </c>
      <c r="K352" t="str">
        <f>VLOOKUP(J352,[1]!Region,2,FALSE)</f>
        <v>Eastern</v>
      </c>
      <c r="L352">
        <f>VLOOKUP(A352,[1]Order_Details!$A$1:$F$2156,2,FALSE)</f>
        <v>27</v>
      </c>
      <c r="M352" t="str">
        <f>VLOOKUP(L352,[1]!Products,2,FALSE)</f>
        <v>Schoggi Schokolade</v>
      </c>
      <c r="N352">
        <f>VLOOKUP(L352,[1]!Products,4,FALSE)</f>
        <v>3</v>
      </c>
      <c r="O352" s="6" t="str">
        <f>VLOOKUP(N352,[1]!Categories,2,FALSE)</f>
        <v>Confections</v>
      </c>
      <c r="P352" s="6">
        <f>VLOOKUP(A352,[1]Order_Details!$A$1:$F$2156,3,FALSE)</f>
        <v>43.9</v>
      </c>
      <c r="Q352">
        <f>VLOOKUP(A352,[1]Order_Details!$A$1:$F$2156,4,FALSE)</f>
        <v>50</v>
      </c>
      <c r="R352">
        <f>VLOOKUP(A352,[1]Order_Details!$A$1:$F$2156,5,FALSE)</f>
        <v>0</v>
      </c>
      <c r="S352" s="6">
        <f>VLOOKUP(A352,[1]Order_Details!$A$1:$F$2156,6,FALSE)</f>
        <v>2195</v>
      </c>
      <c r="T352" s="6">
        <f>VLOOKUP(A352,[1]!Orders,8,FALSE)</f>
        <v>44.42</v>
      </c>
    </row>
    <row r="353" spans="1:20" x14ac:dyDescent="0.3">
      <c r="A353" s="2">
        <v>10599</v>
      </c>
      <c r="B353" s="2" t="s">
        <v>35</v>
      </c>
      <c r="C353" s="2">
        <v>6</v>
      </c>
      <c r="D353" s="3">
        <v>35626</v>
      </c>
      <c r="E353" t="str">
        <f>VLOOKUP(C353,[1]Employees!$A$1:$O$10,4,FALSE)</f>
        <v>Suyama Michael</v>
      </c>
      <c r="F353">
        <f>VLOOKUP(A353,[1]!Orders,7,FALSE)</f>
        <v>3</v>
      </c>
      <c r="G353" t="str">
        <f>VLOOKUP(F353,[1]!Shippers,2,FALSE)</f>
        <v>Federal Shipping</v>
      </c>
      <c r="H353" t="str">
        <f>VLOOKUP(C353,[1]EmployeeTerritories!$A$1:$B$50,2,FALSE)</f>
        <v>85014</v>
      </c>
      <c r="I353">
        <f>VLOOKUP(C353,[1]EmployeeTerritories!$A$1:$B$50,1,FALSE)</f>
        <v>6</v>
      </c>
      <c r="J353">
        <f>VLOOKUP(H353,[1]!Territories,3,FALSE)</f>
        <v>2</v>
      </c>
      <c r="K353" t="str">
        <f>VLOOKUP(J353,[1]!Region,2,FALSE)</f>
        <v>Western</v>
      </c>
      <c r="L353">
        <f>VLOOKUP(A353,[1]Order_Details!$A$1:$F$2156,2,FALSE)</f>
        <v>62</v>
      </c>
      <c r="M353" t="str">
        <f>VLOOKUP(L353,[1]!Products,2,FALSE)</f>
        <v>Tarte au sucre</v>
      </c>
      <c r="N353">
        <f>VLOOKUP(L353,[1]!Products,4,FALSE)</f>
        <v>3</v>
      </c>
      <c r="O353" s="6" t="str">
        <f>VLOOKUP(N353,[1]!Categories,2,FALSE)</f>
        <v>Confections</v>
      </c>
      <c r="P353" s="6">
        <f>VLOOKUP(A353,[1]Order_Details!$A$1:$F$2156,3,FALSE)</f>
        <v>49.3</v>
      </c>
      <c r="Q353">
        <f>VLOOKUP(A353,[1]Order_Details!$A$1:$F$2156,4,FALSE)</f>
        <v>10</v>
      </c>
      <c r="R353">
        <f>VLOOKUP(A353,[1]Order_Details!$A$1:$F$2156,5,FALSE)</f>
        <v>0</v>
      </c>
      <c r="S353" s="6">
        <f>VLOOKUP(A353,[1]Order_Details!$A$1:$F$2156,6,FALSE)</f>
        <v>493</v>
      </c>
      <c r="T353" s="6">
        <f>VLOOKUP(A353,[1]!Orders,8,FALSE)</f>
        <v>29.98</v>
      </c>
    </row>
    <row r="354" spans="1:20" x14ac:dyDescent="0.3">
      <c r="A354" s="2">
        <v>10600</v>
      </c>
      <c r="B354" s="2" t="s">
        <v>68</v>
      </c>
      <c r="C354" s="2">
        <v>4</v>
      </c>
      <c r="D354" s="3">
        <v>35627</v>
      </c>
      <c r="E354" t="str">
        <f>VLOOKUP(C354,[1]Employees!$A$1:$O$10,4,FALSE)</f>
        <v>Peacock Margaret</v>
      </c>
      <c r="F354">
        <f>VLOOKUP(A354,[1]!Orders,7,FALSE)</f>
        <v>1</v>
      </c>
      <c r="G354" t="str">
        <f>VLOOKUP(F354,[1]!Shippers,2,FALSE)</f>
        <v>Speedy Express</v>
      </c>
      <c r="H354" t="str">
        <f>VLOOKUP(C354,[1]EmployeeTerritories!$A$1:$B$50,2,FALSE)</f>
        <v>20852</v>
      </c>
      <c r="I354">
        <f>VLOOKUP(C354,[1]EmployeeTerritories!$A$1:$B$50,1,FALSE)</f>
        <v>4</v>
      </c>
      <c r="J354">
        <f>VLOOKUP(H354,[1]!Territories,3,FALSE)</f>
        <v>1</v>
      </c>
      <c r="K354" t="str">
        <f>VLOOKUP(J354,[1]!Region,2,FALSE)</f>
        <v>Eastern</v>
      </c>
      <c r="L354">
        <f>VLOOKUP(A354,[1]Order_Details!$A$1:$F$2156,2,FALSE)</f>
        <v>54</v>
      </c>
      <c r="M354" t="str">
        <f>VLOOKUP(L354,[1]!Products,2,FALSE)</f>
        <v>Tourtière</v>
      </c>
      <c r="N354">
        <f>VLOOKUP(L354,[1]!Products,4,FALSE)</f>
        <v>6</v>
      </c>
      <c r="O354" s="6" t="str">
        <f>VLOOKUP(N354,[1]!Categories,2,FALSE)</f>
        <v>Meat/Poultry</v>
      </c>
      <c r="P354" s="6">
        <f>VLOOKUP(A354,[1]Order_Details!$A$1:$F$2156,3,FALSE)</f>
        <v>7.45</v>
      </c>
      <c r="Q354">
        <f>VLOOKUP(A354,[1]Order_Details!$A$1:$F$2156,4,FALSE)</f>
        <v>4</v>
      </c>
      <c r="R354">
        <f>VLOOKUP(A354,[1]Order_Details!$A$1:$F$2156,5,FALSE)</f>
        <v>0</v>
      </c>
      <c r="S354" s="6">
        <f>VLOOKUP(A354,[1]Order_Details!$A$1:$F$2156,6,FALSE)</f>
        <v>29.8</v>
      </c>
      <c r="T354" s="6">
        <f>VLOOKUP(A354,[1]!Orders,8,FALSE)</f>
        <v>45.13</v>
      </c>
    </row>
    <row r="355" spans="1:20" x14ac:dyDescent="0.3">
      <c r="A355" s="2">
        <v>10601</v>
      </c>
      <c r="B355" s="2" t="s">
        <v>12</v>
      </c>
      <c r="C355" s="2">
        <v>7</v>
      </c>
      <c r="D355" s="3">
        <v>35627</v>
      </c>
      <c r="E355" t="str">
        <f>VLOOKUP(C355,[1]Employees!$A$1:$O$10,4,FALSE)</f>
        <v>King Robert</v>
      </c>
      <c r="F355">
        <f>VLOOKUP(A355,[1]!Orders,7,FALSE)</f>
        <v>1</v>
      </c>
      <c r="G355" t="str">
        <f>VLOOKUP(F355,[1]!Shippers,2,FALSE)</f>
        <v>Speedy Express</v>
      </c>
      <c r="H355" t="str">
        <f>VLOOKUP(C355,[1]EmployeeTerritories!$A$1:$B$50,2,FALSE)</f>
        <v>60179</v>
      </c>
      <c r="I355">
        <f>VLOOKUP(C355,[1]EmployeeTerritories!$A$1:$B$50,1,FALSE)</f>
        <v>7</v>
      </c>
      <c r="J355">
        <f>VLOOKUP(H355,[1]!Territories,3,FALSE)</f>
        <v>2</v>
      </c>
      <c r="K355" t="str">
        <f>VLOOKUP(J355,[1]!Region,2,FALSE)</f>
        <v>Western</v>
      </c>
      <c r="L355">
        <f>VLOOKUP(A355,[1]Order_Details!$A$1:$F$2156,2,FALSE)</f>
        <v>13</v>
      </c>
      <c r="M355" t="str">
        <f>VLOOKUP(L355,[1]!Products,2,FALSE)</f>
        <v>Konbu</v>
      </c>
      <c r="N355">
        <f>VLOOKUP(L355,[1]!Products,4,FALSE)</f>
        <v>8</v>
      </c>
      <c r="O355" s="6" t="str">
        <f>VLOOKUP(N355,[1]!Categories,2,FALSE)</f>
        <v>Seafood</v>
      </c>
      <c r="P355" s="6">
        <f>VLOOKUP(A355,[1]Order_Details!$A$1:$F$2156,3,FALSE)</f>
        <v>6</v>
      </c>
      <c r="Q355">
        <f>VLOOKUP(A355,[1]Order_Details!$A$1:$F$2156,4,FALSE)</f>
        <v>60</v>
      </c>
      <c r="R355">
        <f>VLOOKUP(A355,[1]Order_Details!$A$1:$F$2156,5,FALSE)</f>
        <v>0</v>
      </c>
      <c r="S355" s="6">
        <f>VLOOKUP(A355,[1]Order_Details!$A$1:$F$2156,6,FALSE)</f>
        <v>360</v>
      </c>
      <c r="T355" s="6">
        <f>VLOOKUP(A355,[1]!Orders,8,FALSE)</f>
        <v>58.3</v>
      </c>
    </row>
    <row r="356" spans="1:20" x14ac:dyDescent="0.3">
      <c r="A356" s="2">
        <v>10602</v>
      </c>
      <c r="B356" s="2" t="s">
        <v>65</v>
      </c>
      <c r="C356" s="2">
        <v>8</v>
      </c>
      <c r="D356" s="3">
        <v>35628</v>
      </c>
      <c r="E356" t="str">
        <f>VLOOKUP(C356,[1]Employees!$A$1:$O$10,4,FALSE)</f>
        <v>Callahan Laura</v>
      </c>
      <c r="F356">
        <f>VLOOKUP(A356,[1]!Orders,7,FALSE)</f>
        <v>2</v>
      </c>
      <c r="G356" t="str">
        <f>VLOOKUP(F356,[1]!Shippers,2,FALSE)</f>
        <v>United Package</v>
      </c>
      <c r="H356" t="str">
        <f>VLOOKUP(C356,[1]EmployeeTerritories!$A$1:$B$50,2,FALSE)</f>
        <v>19428</v>
      </c>
      <c r="I356">
        <f>VLOOKUP(C356,[1]EmployeeTerritories!$A$1:$B$50,1,FALSE)</f>
        <v>8</v>
      </c>
      <c r="J356">
        <f>VLOOKUP(H356,[1]!Territories,3,FALSE)</f>
        <v>3</v>
      </c>
      <c r="K356" t="str">
        <f>VLOOKUP(J356,[1]!Region,2,FALSE)</f>
        <v>Northern</v>
      </c>
      <c r="L356">
        <f>VLOOKUP(A356,[1]Order_Details!$A$1:$F$2156,2,FALSE)</f>
        <v>77</v>
      </c>
      <c r="M356" t="str">
        <f>VLOOKUP(L356,[1]!Products,2,FALSE)</f>
        <v>Original Frankfurter grüne Soße</v>
      </c>
      <c r="N356">
        <f>VLOOKUP(L356,[1]!Products,4,FALSE)</f>
        <v>2</v>
      </c>
      <c r="O356" s="6" t="str">
        <f>VLOOKUP(N356,[1]!Categories,2,FALSE)</f>
        <v>Condiments</v>
      </c>
      <c r="P356" s="6">
        <f>VLOOKUP(A356,[1]Order_Details!$A$1:$F$2156,3,FALSE)</f>
        <v>13</v>
      </c>
      <c r="Q356">
        <f>VLOOKUP(A356,[1]Order_Details!$A$1:$F$2156,4,FALSE)</f>
        <v>5</v>
      </c>
      <c r="R356">
        <f>VLOOKUP(A356,[1]Order_Details!$A$1:$F$2156,5,FALSE)</f>
        <v>0.25</v>
      </c>
      <c r="S356" s="6">
        <f>VLOOKUP(A356,[1]Order_Details!$A$1:$F$2156,6,FALSE)</f>
        <v>48.75</v>
      </c>
      <c r="T356" s="6">
        <f>VLOOKUP(A356,[1]!Orders,8,FALSE)</f>
        <v>2.92</v>
      </c>
    </row>
    <row r="357" spans="1:20" x14ac:dyDescent="0.3">
      <c r="A357" s="2">
        <v>10603</v>
      </c>
      <c r="B357" s="2" t="s">
        <v>49</v>
      </c>
      <c r="C357" s="2">
        <v>8</v>
      </c>
      <c r="D357" s="3">
        <v>35629</v>
      </c>
      <c r="E357" t="str">
        <f>VLOOKUP(C357,[1]Employees!$A$1:$O$10,4,FALSE)</f>
        <v>Callahan Laura</v>
      </c>
      <c r="F357">
        <f>VLOOKUP(A357,[1]!Orders,7,FALSE)</f>
        <v>2</v>
      </c>
      <c r="G357" t="str">
        <f>VLOOKUP(F357,[1]!Shippers,2,FALSE)</f>
        <v>United Package</v>
      </c>
      <c r="H357" t="str">
        <f>VLOOKUP(C357,[1]EmployeeTerritories!$A$1:$B$50,2,FALSE)</f>
        <v>19428</v>
      </c>
      <c r="I357">
        <f>VLOOKUP(C357,[1]EmployeeTerritories!$A$1:$B$50,1,FALSE)</f>
        <v>8</v>
      </c>
      <c r="J357">
        <f>VLOOKUP(H357,[1]!Territories,3,FALSE)</f>
        <v>3</v>
      </c>
      <c r="K357" t="str">
        <f>VLOOKUP(J357,[1]!Region,2,FALSE)</f>
        <v>Northern</v>
      </c>
      <c r="L357">
        <f>VLOOKUP(A357,[1]Order_Details!$A$1:$F$2156,2,FALSE)</f>
        <v>22</v>
      </c>
      <c r="M357" t="str">
        <f>VLOOKUP(L357,[1]!Products,2,FALSE)</f>
        <v>Gustaf's Knäckebröd</v>
      </c>
      <c r="N357">
        <f>VLOOKUP(L357,[1]!Products,4,FALSE)</f>
        <v>5</v>
      </c>
      <c r="O357" s="6" t="str">
        <f>VLOOKUP(N357,[1]!Categories,2,FALSE)</f>
        <v>Grains/Cereals</v>
      </c>
      <c r="P357" s="6">
        <f>VLOOKUP(A357,[1]Order_Details!$A$1:$F$2156,3,FALSE)</f>
        <v>21</v>
      </c>
      <c r="Q357">
        <f>VLOOKUP(A357,[1]Order_Details!$A$1:$F$2156,4,FALSE)</f>
        <v>48</v>
      </c>
      <c r="R357">
        <f>VLOOKUP(A357,[1]Order_Details!$A$1:$F$2156,5,FALSE)</f>
        <v>0</v>
      </c>
      <c r="S357" s="6">
        <f>VLOOKUP(A357,[1]Order_Details!$A$1:$F$2156,6,FALSE)</f>
        <v>1008</v>
      </c>
      <c r="T357" s="6">
        <f>VLOOKUP(A357,[1]!Orders,8,FALSE)</f>
        <v>48.77</v>
      </c>
    </row>
    <row r="358" spans="1:20" x14ac:dyDescent="0.3">
      <c r="A358" s="2">
        <v>10604</v>
      </c>
      <c r="B358" s="2" t="s">
        <v>51</v>
      </c>
      <c r="C358" s="2">
        <v>1</v>
      </c>
      <c r="D358" s="3">
        <v>35629</v>
      </c>
      <c r="E358" t="str">
        <f>VLOOKUP(C358,[1]Employees!$A$1:$O$10,4,FALSE)</f>
        <v>Davolio Nancy</v>
      </c>
      <c r="F358">
        <f>VLOOKUP(A358,[1]!Orders,7,FALSE)</f>
        <v>1</v>
      </c>
      <c r="G358" t="str">
        <f>VLOOKUP(F358,[1]!Shippers,2,FALSE)</f>
        <v>Speedy Express</v>
      </c>
      <c r="H358" t="str">
        <f>VLOOKUP(C358,[1]EmployeeTerritories!$A$1:$B$50,2,FALSE)</f>
        <v>06897</v>
      </c>
      <c r="I358">
        <f>VLOOKUP(C358,[1]EmployeeTerritories!$A$1:$B$50,1,FALSE)</f>
        <v>1</v>
      </c>
      <c r="J358">
        <f>VLOOKUP(H358,[1]!Territories,3,FALSE)</f>
        <v>1</v>
      </c>
      <c r="K358" t="str">
        <f>VLOOKUP(J358,[1]!Region,2,FALSE)</f>
        <v>Eastern</v>
      </c>
      <c r="L358">
        <f>VLOOKUP(A358,[1]Order_Details!$A$1:$F$2156,2,FALSE)</f>
        <v>48</v>
      </c>
      <c r="M358" t="str">
        <f>VLOOKUP(L358,[1]!Products,2,FALSE)</f>
        <v>Chocolade</v>
      </c>
      <c r="N358">
        <f>VLOOKUP(L358,[1]!Products,4,FALSE)</f>
        <v>3</v>
      </c>
      <c r="O358" s="6" t="str">
        <f>VLOOKUP(N358,[1]!Categories,2,FALSE)</f>
        <v>Confections</v>
      </c>
      <c r="P358" s="6">
        <f>VLOOKUP(A358,[1]Order_Details!$A$1:$F$2156,3,FALSE)</f>
        <v>12.75</v>
      </c>
      <c r="Q358">
        <f>VLOOKUP(A358,[1]Order_Details!$A$1:$F$2156,4,FALSE)</f>
        <v>6</v>
      </c>
      <c r="R358">
        <f>VLOOKUP(A358,[1]Order_Details!$A$1:$F$2156,5,FALSE)</f>
        <v>0.10000000149011612</v>
      </c>
      <c r="S358" s="6">
        <f>VLOOKUP(A358,[1]Order_Details!$A$1:$F$2156,6,FALSE)</f>
        <v>68.849999886006117</v>
      </c>
      <c r="T358" s="6">
        <f>VLOOKUP(A358,[1]!Orders,8,FALSE)</f>
        <v>7.46</v>
      </c>
    </row>
    <row r="359" spans="1:20" x14ac:dyDescent="0.3">
      <c r="A359" s="2">
        <v>10605</v>
      </c>
      <c r="B359" s="2" t="s">
        <v>53</v>
      </c>
      <c r="C359" s="2">
        <v>1</v>
      </c>
      <c r="D359" s="3">
        <v>35632</v>
      </c>
      <c r="E359" t="str">
        <f>VLOOKUP(C359,[1]Employees!$A$1:$O$10,4,FALSE)</f>
        <v>Davolio Nancy</v>
      </c>
      <c r="F359">
        <f>VLOOKUP(A359,[1]!Orders,7,FALSE)</f>
        <v>2</v>
      </c>
      <c r="G359" t="str">
        <f>VLOOKUP(F359,[1]!Shippers,2,FALSE)</f>
        <v>United Package</v>
      </c>
      <c r="H359" t="str">
        <f>VLOOKUP(C359,[1]EmployeeTerritories!$A$1:$B$50,2,FALSE)</f>
        <v>06897</v>
      </c>
      <c r="I359">
        <f>VLOOKUP(C359,[1]EmployeeTerritories!$A$1:$B$50,1,FALSE)</f>
        <v>1</v>
      </c>
      <c r="J359">
        <f>VLOOKUP(H359,[1]!Territories,3,FALSE)</f>
        <v>1</v>
      </c>
      <c r="K359" t="str">
        <f>VLOOKUP(J359,[1]!Region,2,FALSE)</f>
        <v>Eastern</v>
      </c>
      <c r="L359">
        <f>VLOOKUP(A359,[1]Order_Details!$A$1:$F$2156,2,FALSE)</f>
        <v>16</v>
      </c>
      <c r="M359" t="str">
        <f>VLOOKUP(L359,[1]!Products,2,FALSE)</f>
        <v>Pavlova</v>
      </c>
      <c r="N359">
        <f>VLOOKUP(L359,[1]!Products,4,FALSE)</f>
        <v>3</v>
      </c>
      <c r="O359" s="6" t="str">
        <f>VLOOKUP(N359,[1]!Categories,2,FALSE)</f>
        <v>Confections</v>
      </c>
      <c r="P359" s="6">
        <f>VLOOKUP(A359,[1]Order_Details!$A$1:$F$2156,3,FALSE)</f>
        <v>17.45</v>
      </c>
      <c r="Q359">
        <f>VLOOKUP(A359,[1]Order_Details!$A$1:$F$2156,4,FALSE)</f>
        <v>30</v>
      </c>
      <c r="R359">
        <f>VLOOKUP(A359,[1]Order_Details!$A$1:$F$2156,5,FALSE)</f>
        <v>5.000000074505806E-2</v>
      </c>
      <c r="S359" s="6">
        <f>VLOOKUP(A359,[1]Order_Details!$A$1:$F$2156,6,FALSE)</f>
        <v>497.32499960996211</v>
      </c>
      <c r="T359" s="6">
        <f>VLOOKUP(A359,[1]!Orders,8,FALSE)</f>
        <v>379.13</v>
      </c>
    </row>
    <row r="360" spans="1:20" x14ac:dyDescent="0.3">
      <c r="A360" s="2">
        <v>10606</v>
      </c>
      <c r="B360" s="2" t="s">
        <v>37</v>
      </c>
      <c r="C360" s="2">
        <v>4</v>
      </c>
      <c r="D360" s="3">
        <v>35633</v>
      </c>
      <c r="E360" t="str">
        <f>VLOOKUP(C360,[1]Employees!$A$1:$O$10,4,FALSE)</f>
        <v>Peacock Margaret</v>
      </c>
      <c r="F360">
        <f>VLOOKUP(A360,[1]!Orders,7,FALSE)</f>
        <v>3</v>
      </c>
      <c r="G360" t="str">
        <f>VLOOKUP(F360,[1]!Shippers,2,FALSE)</f>
        <v>Federal Shipping</v>
      </c>
      <c r="H360" t="str">
        <f>VLOOKUP(C360,[1]EmployeeTerritories!$A$1:$B$50,2,FALSE)</f>
        <v>20852</v>
      </c>
      <c r="I360">
        <f>VLOOKUP(C360,[1]EmployeeTerritories!$A$1:$B$50,1,FALSE)</f>
        <v>4</v>
      </c>
      <c r="J360">
        <f>VLOOKUP(H360,[1]!Territories,3,FALSE)</f>
        <v>1</v>
      </c>
      <c r="K360" t="str">
        <f>VLOOKUP(J360,[1]!Region,2,FALSE)</f>
        <v>Eastern</v>
      </c>
      <c r="L360">
        <f>VLOOKUP(A360,[1]Order_Details!$A$1:$F$2156,2,FALSE)</f>
        <v>4</v>
      </c>
      <c r="M360" t="str">
        <f>VLOOKUP(L360,[1]!Products,2,FALSE)</f>
        <v>Chef Anton's Cajun Seasoning</v>
      </c>
      <c r="N360">
        <f>VLOOKUP(L360,[1]!Products,4,FALSE)</f>
        <v>2</v>
      </c>
      <c r="O360" s="6" t="str">
        <f>VLOOKUP(N360,[1]!Categories,2,FALSE)</f>
        <v>Condiments</v>
      </c>
      <c r="P360" s="6">
        <f>VLOOKUP(A360,[1]Order_Details!$A$1:$F$2156,3,FALSE)</f>
        <v>22</v>
      </c>
      <c r="Q360">
        <f>VLOOKUP(A360,[1]Order_Details!$A$1:$F$2156,4,FALSE)</f>
        <v>20</v>
      </c>
      <c r="R360">
        <f>VLOOKUP(A360,[1]Order_Details!$A$1:$F$2156,5,FALSE)</f>
        <v>0.20000000298023224</v>
      </c>
      <c r="S360" s="6">
        <f>VLOOKUP(A360,[1]Order_Details!$A$1:$F$2156,6,FALSE)</f>
        <v>351.99999868869781</v>
      </c>
      <c r="T360" s="6">
        <f>VLOOKUP(A360,[1]!Orders,8,FALSE)</f>
        <v>79.400000000000006</v>
      </c>
    </row>
    <row r="361" spans="1:20" x14ac:dyDescent="0.3">
      <c r="A361" s="2">
        <v>10607</v>
      </c>
      <c r="B361" s="2" t="s">
        <v>49</v>
      </c>
      <c r="C361" s="2">
        <v>5</v>
      </c>
      <c r="D361" s="3">
        <v>35633</v>
      </c>
      <c r="E361" t="str">
        <f>VLOOKUP(C361,[1]Employees!$A$1:$O$10,4,FALSE)</f>
        <v>Buchanan Steven</v>
      </c>
      <c r="F361">
        <f>VLOOKUP(A361,[1]!Orders,7,FALSE)</f>
        <v>1</v>
      </c>
      <c r="G361" t="str">
        <f>VLOOKUP(F361,[1]!Shippers,2,FALSE)</f>
        <v>Speedy Express</v>
      </c>
      <c r="H361" t="str">
        <f>VLOOKUP(C361,[1]EmployeeTerritories!$A$1:$B$50,2,FALSE)</f>
        <v>02903</v>
      </c>
      <c r="I361">
        <f>VLOOKUP(C361,[1]EmployeeTerritories!$A$1:$B$50,1,FALSE)</f>
        <v>5</v>
      </c>
      <c r="J361">
        <f>VLOOKUP(H361,[1]!Territories,3,FALSE)</f>
        <v>1</v>
      </c>
      <c r="K361" t="str">
        <f>VLOOKUP(J361,[1]!Region,2,FALSE)</f>
        <v>Eastern</v>
      </c>
      <c r="L361">
        <f>VLOOKUP(A361,[1]Order_Details!$A$1:$F$2156,2,FALSE)</f>
        <v>7</v>
      </c>
      <c r="M361" t="str">
        <f>VLOOKUP(L361,[1]!Products,2,FALSE)</f>
        <v>Uncle Bob's Organic Dried Pears</v>
      </c>
      <c r="N361">
        <f>VLOOKUP(L361,[1]!Products,4,FALSE)</f>
        <v>7</v>
      </c>
      <c r="O361" s="6" t="str">
        <f>VLOOKUP(N361,[1]!Categories,2,FALSE)</f>
        <v>Produce</v>
      </c>
      <c r="P361" s="6">
        <f>VLOOKUP(A361,[1]Order_Details!$A$1:$F$2156,3,FALSE)</f>
        <v>30</v>
      </c>
      <c r="Q361">
        <f>VLOOKUP(A361,[1]Order_Details!$A$1:$F$2156,4,FALSE)</f>
        <v>45</v>
      </c>
      <c r="R361">
        <f>VLOOKUP(A361,[1]Order_Details!$A$1:$F$2156,5,FALSE)</f>
        <v>0</v>
      </c>
      <c r="S361" s="6">
        <f>VLOOKUP(A361,[1]Order_Details!$A$1:$F$2156,6,FALSE)</f>
        <v>1350</v>
      </c>
      <c r="T361" s="6">
        <f>VLOOKUP(A361,[1]!Orders,8,FALSE)</f>
        <v>200.24</v>
      </c>
    </row>
    <row r="362" spans="1:20" x14ac:dyDescent="0.3">
      <c r="A362" s="2">
        <v>10608</v>
      </c>
      <c r="B362" s="2" t="s">
        <v>5</v>
      </c>
      <c r="C362" s="2">
        <v>4</v>
      </c>
      <c r="D362" s="3">
        <v>35634</v>
      </c>
      <c r="E362" t="str">
        <f>VLOOKUP(C362,[1]Employees!$A$1:$O$10,4,FALSE)</f>
        <v>Peacock Margaret</v>
      </c>
      <c r="F362">
        <f>VLOOKUP(A362,[1]!Orders,7,FALSE)</f>
        <v>2</v>
      </c>
      <c r="G362" t="str">
        <f>VLOOKUP(F362,[1]!Shippers,2,FALSE)</f>
        <v>United Package</v>
      </c>
      <c r="H362" t="str">
        <f>VLOOKUP(C362,[1]EmployeeTerritories!$A$1:$B$50,2,FALSE)</f>
        <v>20852</v>
      </c>
      <c r="I362">
        <f>VLOOKUP(C362,[1]EmployeeTerritories!$A$1:$B$50,1,FALSE)</f>
        <v>4</v>
      </c>
      <c r="J362">
        <f>VLOOKUP(H362,[1]!Territories,3,FALSE)</f>
        <v>1</v>
      </c>
      <c r="K362" t="str">
        <f>VLOOKUP(J362,[1]!Region,2,FALSE)</f>
        <v>Eastern</v>
      </c>
      <c r="L362">
        <f>VLOOKUP(A362,[1]Order_Details!$A$1:$F$2156,2,FALSE)</f>
        <v>56</v>
      </c>
      <c r="M362" t="str">
        <f>VLOOKUP(L362,[1]!Products,2,FALSE)</f>
        <v>Gnocchi di nonna Alice</v>
      </c>
      <c r="N362">
        <f>VLOOKUP(L362,[1]!Products,4,FALSE)</f>
        <v>5</v>
      </c>
      <c r="O362" s="6" t="str">
        <f>VLOOKUP(N362,[1]!Categories,2,FALSE)</f>
        <v>Grains/Cereals</v>
      </c>
      <c r="P362" s="6">
        <f>VLOOKUP(A362,[1]Order_Details!$A$1:$F$2156,3,FALSE)</f>
        <v>38</v>
      </c>
      <c r="Q362">
        <f>VLOOKUP(A362,[1]Order_Details!$A$1:$F$2156,4,FALSE)</f>
        <v>28</v>
      </c>
      <c r="R362">
        <f>VLOOKUP(A362,[1]Order_Details!$A$1:$F$2156,5,FALSE)</f>
        <v>0</v>
      </c>
      <c r="S362" s="6">
        <f>VLOOKUP(A362,[1]Order_Details!$A$1:$F$2156,6,FALSE)</f>
        <v>1064</v>
      </c>
      <c r="T362" s="6">
        <f>VLOOKUP(A362,[1]!Orders,8,FALSE)</f>
        <v>27.79</v>
      </c>
    </row>
    <row r="363" spans="1:20" x14ac:dyDescent="0.3">
      <c r="A363" s="2">
        <v>10609</v>
      </c>
      <c r="B363" s="2" t="s">
        <v>45</v>
      </c>
      <c r="C363" s="2">
        <v>7</v>
      </c>
      <c r="D363" s="3">
        <v>35635</v>
      </c>
      <c r="E363" t="str">
        <f>VLOOKUP(C363,[1]Employees!$A$1:$O$10,4,FALSE)</f>
        <v>King Robert</v>
      </c>
      <c r="F363">
        <f>VLOOKUP(A363,[1]!Orders,7,FALSE)</f>
        <v>2</v>
      </c>
      <c r="G363" t="str">
        <f>VLOOKUP(F363,[1]!Shippers,2,FALSE)</f>
        <v>United Package</v>
      </c>
      <c r="H363" t="str">
        <f>VLOOKUP(C363,[1]EmployeeTerritories!$A$1:$B$50,2,FALSE)</f>
        <v>60179</v>
      </c>
      <c r="I363">
        <f>VLOOKUP(C363,[1]EmployeeTerritories!$A$1:$B$50,1,FALSE)</f>
        <v>7</v>
      </c>
      <c r="J363">
        <f>VLOOKUP(H363,[1]!Territories,3,FALSE)</f>
        <v>2</v>
      </c>
      <c r="K363" t="str">
        <f>VLOOKUP(J363,[1]!Region,2,FALSE)</f>
        <v>Western</v>
      </c>
      <c r="L363">
        <f>VLOOKUP(A363,[1]Order_Details!$A$1:$F$2156,2,FALSE)</f>
        <v>1</v>
      </c>
      <c r="M363" t="str">
        <f>VLOOKUP(L363,[1]!Products,2,FALSE)</f>
        <v>Chai</v>
      </c>
      <c r="N363">
        <f>VLOOKUP(L363,[1]!Products,4,FALSE)</f>
        <v>1</v>
      </c>
      <c r="O363" s="6" t="str">
        <f>VLOOKUP(N363,[1]!Categories,2,FALSE)</f>
        <v>Beverages</v>
      </c>
      <c r="P363" s="6">
        <f>VLOOKUP(A363,[1]Order_Details!$A$1:$F$2156,3,FALSE)</f>
        <v>18</v>
      </c>
      <c r="Q363">
        <f>VLOOKUP(A363,[1]Order_Details!$A$1:$F$2156,4,FALSE)</f>
        <v>3</v>
      </c>
      <c r="R363">
        <f>VLOOKUP(A363,[1]Order_Details!$A$1:$F$2156,5,FALSE)</f>
        <v>0</v>
      </c>
      <c r="S363" s="6">
        <f>VLOOKUP(A363,[1]Order_Details!$A$1:$F$2156,6,FALSE)</f>
        <v>54</v>
      </c>
      <c r="T363" s="6">
        <f>VLOOKUP(A363,[1]!Orders,8,FALSE)</f>
        <v>1.85</v>
      </c>
    </row>
    <row r="364" spans="1:20" x14ac:dyDescent="0.3">
      <c r="A364" s="2">
        <v>10610</v>
      </c>
      <c r="B364" s="2" t="s">
        <v>57</v>
      </c>
      <c r="C364" s="2">
        <v>8</v>
      </c>
      <c r="D364" s="3">
        <v>35636</v>
      </c>
      <c r="E364" t="str">
        <f>VLOOKUP(C364,[1]Employees!$A$1:$O$10,4,FALSE)</f>
        <v>Callahan Laura</v>
      </c>
      <c r="F364">
        <f>VLOOKUP(A364,[1]!Orders,7,FALSE)</f>
        <v>1</v>
      </c>
      <c r="G364" t="str">
        <f>VLOOKUP(F364,[1]!Shippers,2,FALSE)</f>
        <v>Speedy Express</v>
      </c>
      <c r="H364" t="str">
        <f>VLOOKUP(C364,[1]EmployeeTerritories!$A$1:$B$50,2,FALSE)</f>
        <v>19428</v>
      </c>
      <c r="I364">
        <f>VLOOKUP(C364,[1]EmployeeTerritories!$A$1:$B$50,1,FALSE)</f>
        <v>8</v>
      </c>
      <c r="J364">
        <f>VLOOKUP(H364,[1]!Territories,3,FALSE)</f>
        <v>3</v>
      </c>
      <c r="K364" t="str">
        <f>VLOOKUP(J364,[1]!Region,2,FALSE)</f>
        <v>Northern</v>
      </c>
      <c r="L364">
        <f>VLOOKUP(A364,[1]Order_Details!$A$1:$F$2156,2,FALSE)</f>
        <v>36</v>
      </c>
      <c r="M364" t="str">
        <f>VLOOKUP(L364,[1]!Products,2,FALSE)</f>
        <v>Inlagd Sill</v>
      </c>
      <c r="N364">
        <f>VLOOKUP(L364,[1]!Products,4,FALSE)</f>
        <v>8</v>
      </c>
      <c r="O364" s="6" t="str">
        <f>VLOOKUP(N364,[1]!Categories,2,FALSE)</f>
        <v>Seafood</v>
      </c>
      <c r="P364" s="6">
        <f>VLOOKUP(A364,[1]Order_Details!$A$1:$F$2156,3,FALSE)</f>
        <v>19</v>
      </c>
      <c r="Q364">
        <f>VLOOKUP(A364,[1]Order_Details!$A$1:$F$2156,4,FALSE)</f>
        <v>21</v>
      </c>
      <c r="R364">
        <f>VLOOKUP(A364,[1]Order_Details!$A$1:$F$2156,5,FALSE)</f>
        <v>0.25</v>
      </c>
      <c r="S364" s="6">
        <f>VLOOKUP(A364,[1]Order_Details!$A$1:$F$2156,6,FALSE)</f>
        <v>299.25</v>
      </c>
      <c r="T364" s="6">
        <f>VLOOKUP(A364,[1]!Orders,8,FALSE)</f>
        <v>26.78</v>
      </c>
    </row>
    <row r="365" spans="1:20" x14ac:dyDescent="0.3">
      <c r="A365" s="2">
        <v>10611</v>
      </c>
      <c r="B365" s="2" t="s">
        <v>67</v>
      </c>
      <c r="C365" s="2">
        <v>6</v>
      </c>
      <c r="D365" s="3">
        <v>35636</v>
      </c>
      <c r="E365" t="str">
        <f>VLOOKUP(C365,[1]Employees!$A$1:$O$10,4,FALSE)</f>
        <v>Suyama Michael</v>
      </c>
      <c r="F365">
        <f>VLOOKUP(A365,[1]!Orders,7,FALSE)</f>
        <v>2</v>
      </c>
      <c r="G365" t="str">
        <f>VLOOKUP(F365,[1]!Shippers,2,FALSE)</f>
        <v>United Package</v>
      </c>
      <c r="H365" t="str">
        <f>VLOOKUP(C365,[1]EmployeeTerritories!$A$1:$B$50,2,FALSE)</f>
        <v>85014</v>
      </c>
      <c r="I365">
        <f>VLOOKUP(C365,[1]EmployeeTerritories!$A$1:$B$50,1,FALSE)</f>
        <v>6</v>
      </c>
      <c r="J365">
        <f>VLOOKUP(H365,[1]!Territories,3,FALSE)</f>
        <v>2</v>
      </c>
      <c r="K365" t="str">
        <f>VLOOKUP(J365,[1]!Region,2,FALSE)</f>
        <v>Western</v>
      </c>
      <c r="L365">
        <f>VLOOKUP(A365,[1]Order_Details!$A$1:$F$2156,2,FALSE)</f>
        <v>1</v>
      </c>
      <c r="M365" t="str">
        <f>VLOOKUP(L365,[1]!Products,2,FALSE)</f>
        <v>Chai</v>
      </c>
      <c r="N365">
        <f>VLOOKUP(L365,[1]!Products,4,FALSE)</f>
        <v>1</v>
      </c>
      <c r="O365" s="6" t="str">
        <f>VLOOKUP(N365,[1]!Categories,2,FALSE)</f>
        <v>Beverages</v>
      </c>
      <c r="P365" s="6">
        <f>VLOOKUP(A365,[1]Order_Details!$A$1:$F$2156,3,FALSE)</f>
        <v>18</v>
      </c>
      <c r="Q365">
        <f>VLOOKUP(A365,[1]Order_Details!$A$1:$F$2156,4,FALSE)</f>
        <v>6</v>
      </c>
      <c r="R365">
        <f>VLOOKUP(A365,[1]Order_Details!$A$1:$F$2156,5,FALSE)</f>
        <v>0</v>
      </c>
      <c r="S365" s="6">
        <f>VLOOKUP(A365,[1]Order_Details!$A$1:$F$2156,6,FALSE)</f>
        <v>108</v>
      </c>
      <c r="T365" s="6">
        <f>VLOOKUP(A365,[1]!Orders,8,FALSE)</f>
        <v>80.650000000000006</v>
      </c>
    </row>
    <row r="366" spans="1:20" x14ac:dyDescent="0.3">
      <c r="A366" s="2">
        <v>10612</v>
      </c>
      <c r="B366" s="2" t="s">
        <v>49</v>
      </c>
      <c r="C366" s="2">
        <v>1</v>
      </c>
      <c r="D366" s="3">
        <v>35639</v>
      </c>
      <c r="E366" t="str">
        <f>VLOOKUP(C366,[1]Employees!$A$1:$O$10,4,FALSE)</f>
        <v>Davolio Nancy</v>
      </c>
      <c r="F366">
        <f>VLOOKUP(A366,[1]!Orders,7,FALSE)</f>
        <v>2</v>
      </c>
      <c r="G366" t="str">
        <f>VLOOKUP(F366,[1]!Shippers,2,FALSE)</f>
        <v>United Package</v>
      </c>
      <c r="H366" t="str">
        <f>VLOOKUP(C366,[1]EmployeeTerritories!$A$1:$B$50,2,FALSE)</f>
        <v>06897</v>
      </c>
      <c r="I366">
        <f>VLOOKUP(C366,[1]EmployeeTerritories!$A$1:$B$50,1,FALSE)</f>
        <v>1</v>
      </c>
      <c r="J366">
        <f>VLOOKUP(H366,[1]!Territories,3,FALSE)</f>
        <v>1</v>
      </c>
      <c r="K366" t="str">
        <f>VLOOKUP(J366,[1]!Region,2,FALSE)</f>
        <v>Eastern</v>
      </c>
      <c r="L366">
        <f>VLOOKUP(A366,[1]Order_Details!$A$1:$F$2156,2,FALSE)</f>
        <v>10</v>
      </c>
      <c r="M366" t="str">
        <f>VLOOKUP(L366,[1]!Products,2,FALSE)</f>
        <v>Ikura</v>
      </c>
      <c r="N366">
        <f>VLOOKUP(L366,[1]!Products,4,FALSE)</f>
        <v>8</v>
      </c>
      <c r="O366" s="6" t="str">
        <f>VLOOKUP(N366,[1]!Categories,2,FALSE)</f>
        <v>Seafood</v>
      </c>
      <c r="P366" s="6">
        <f>VLOOKUP(A366,[1]Order_Details!$A$1:$F$2156,3,FALSE)</f>
        <v>31</v>
      </c>
      <c r="Q366">
        <f>VLOOKUP(A366,[1]Order_Details!$A$1:$F$2156,4,FALSE)</f>
        <v>70</v>
      </c>
      <c r="R366">
        <f>VLOOKUP(A366,[1]Order_Details!$A$1:$F$2156,5,FALSE)</f>
        <v>0</v>
      </c>
      <c r="S366" s="6">
        <f>VLOOKUP(A366,[1]Order_Details!$A$1:$F$2156,6,FALSE)</f>
        <v>2170</v>
      </c>
      <c r="T366" s="6">
        <f>VLOOKUP(A366,[1]!Orders,8,FALSE)</f>
        <v>544.08000000000004</v>
      </c>
    </row>
    <row r="367" spans="1:20" x14ac:dyDescent="0.3">
      <c r="A367" s="2">
        <v>10613</v>
      </c>
      <c r="B367" s="2" t="s">
        <v>12</v>
      </c>
      <c r="C367" s="2">
        <v>4</v>
      </c>
      <c r="D367" s="3">
        <v>35640</v>
      </c>
      <c r="E367" t="str">
        <f>VLOOKUP(C367,[1]Employees!$A$1:$O$10,4,FALSE)</f>
        <v>Peacock Margaret</v>
      </c>
      <c r="F367">
        <f>VLOOKUP(A367,[1]!Orders,7,FALSE)</f>
        <v>2</v>
      </c>
      <c r="G367" t="str">
        <f>VLOOKUP(F367,[1]!Shippers,2,FALSE)</f>
        <v>United Package</v>
      </c>
      <c r="H367" t="str">
        <f>VLOOKUP(C367,[1]EmployeeTerritories!$A$1:$B$50,2,FALSE)</f>
        <v>20852</v>
      </c>
      <c r="I367">
        <f>VLOOKUP(C367,[1]EmployeeTerritories!$A$1:$B$50,1,FALSE)</f>
        <v>4</v>
      </c>
      <c r="J367">
        <f>VLOOKUP(H367,[1]!Territories,3,FALSE)</f>
        <v>1</v>
      </c>
      <c r="K367" t="str">
        <f>VLOOKUP(J367,[1]!Region,2,FALSE)</f>
        <v>Eastern</v>
      </c>
      <c r="L367">
        <f>VLOOKUP(A367,[1]Order_Details!$A$1:$F$2156,2,FALSE)</f>
        <v>13</v>
      </c>
      <c r="M367" t="str">
        <f>VLOOKUP(L367,[1]!Products,2,FALSE)</f>
        <v>Konbu</v>
      </c>
      <c r="N367">
        <f>VLOOKUP(L367,[1]!Products,4,FALSE)</f>
        <v>8</v>
      </c>
      <c r="O367" s="6" t="str">
        <f>VLOOKUP(N367,[1]!Categories,2,FALSE)</f>
        <v>Seafood</v>
      </c>
      <c r="P367" s="6">
        <f>VLOOKUP(A367,[1]Order_Details!$A$1:$F$2156,3,FALSE)</f>
        <v>6</v>
      </c>
      <c r="Q367">
        <f>VLOOKUP(A367,[1]Order_Details!$A$1:$F$2156,4,FALSE)</f>
        <v>8</v>
      </c>
      <c r="R367">
        <f>VLOOKUP(A367,[1]Order_Details!$A$1:$F$2156,5,FALSE)</f>
        <v>0.10000000149011612</v>
      </c>
      <c r="S367" s="6">
        <f>VLOOKUP(A367,[1]Order_Details!$A$1:$F$2156,6,FALSE)</f>
        <v>43.199999928474426</v>
      </c>
      <c r="T367" s="6">
        <f>VLOOKUP(A367,[1]!Orders,8,FALSE)</f>
        <v>8.11</v>
      </c>
    </row>
    <row r="368" spans="1:20" x14ac:dyDescent="0.3">
      <c r="A368" s="2">
        <v>10614</v>
      </c>
      <c r="B368" s="2" t="s">
        <v>80</v>
      </c>
      <c r="C368" s="2">
        <v>8</v>
      </c>
      <c r="D368" s="3">
        <v>35640</v>
      </c>
      <c r="E368" t="str">
        <f>VLOOKUP(C368,[1]Employees!$A$1:$O$10,4,FALSE)</f>
        <v>Callahan Laura</v>
      </c>
      <c r="F368">
        <f>VLOOKUP(A368,[1]!Orders,7,FALSE)</f>
        <v>3</v>
      </c>
      <c r="G368" t="str">
        <f>VLOOKUP(F368,[1]!Shippers,2,FALSE)</f>
        <v>Federal Shipping</v>
      </c>
      <c r="H368" t="str">
        <f>VLOOKUP(C368,[1]EmployeeTerritories!$A$1:$B$50,2,FALSE)</f>
        <v>19428</v>
      </c>
      <c r="I368">
        <f>VLOOKUP(C368,[1]EmployeeTerritories!$A$1:$B$50,1,FALSE)</f>
        <v>8</v>
      </c>
      <c r="J368">
        <f>VLOOKUP(H368,[1]!Territories,3,FALSE)</f>
        <v>3</v>
      </c>
      <c r="K368" t="str">
        <f>VLOOKUP(J368,[1]!Region,2,FALSE)</f>
        <v>Northern</v>
      </c>
      <c r="L368">
        <f>VLOOKUP(A368,[1]Order_Details!$A$1:$F$2156,2,FALSE)</f>
        <v>11</v>
      </c>
      <c r="M368" t="str">
        <f>VLOOKUP(L368,[1]!Products,2,FALSE)</f>
        <v>Queso Cabrales</v>
      </c>
      <c r="N368">
        <f>VLOOKUP(L368,[1]!Products,4,FALSE)</f>
        <v>4</v>
      </c>
      <c r="O368" s="6" t="str">
        <f>VLOOKUP(N368,[1]!Categories,2,FALSE)</f>
        <v>Dairy Products</v>
      </c>
      <c r="P368" s="6">
        <f>VLOOKUP(A368,[1]Order_Details!$A$1:$F$2156,3,FALSE)</f>
        <v>21</v>
      </c>
      <c r="Q368">
        <f>VLOOKUP(A368,[1]Order_Details!$A$1:$F$2156,4,FALSE)</f>
        <v>14</v>
      </c>
      <c r="R368">
        <f>VLOOKUP(A368,[1]Order_Details!$A$1:$F$2156,5,FALSE)</f>
        <v>0</v>
      </c>
      <c r="S368" s="6">
        <f>VLOOKUP(A368,[1]Order_Details!$A$1:$F$2156,6,FALSE)</f>
        <v>294</v>
      </c>
      <c r="T368" s="6">
        <f>VLOOKUP(A368,[1]!Orders,8,FALSE)</f>
        <v>1.93</v>
      </c>
    </row>
    <row r="369" spans="1:20" x14ac:dyDescent="0.3">
      <c r="A369" s="2">
        <v>10615</v>
      </c>
      <c r="B369" s="2" t="s">
        <v>87</v>
      </c>
      <c r="C369" s="2">
        <v>2</v>
      </c>
      <c r="D369" s="3">
        <v>35641</v>
      </c>
      <c r="E369" t="str">
        <f>VLOOKUP(C369,[1]Employees!$A$1:$O$10,4,FALSE)</f>
        <v>Fuller Andrew</v>
      </c>
      <c r="F369">
        <f>VLOOKUP(A369,[1]!Orders,7,FALSE)</f>
        <v>3</v>
      </c>
      <c r="G369" t="str">
        <f>VLOOKUP(F369,[1]!Shippers,2,FALSE)</f>
        <v>Federal Shipping</v>
      </c>
      <c r="H369" t="str">
        <f>VLOOKUP(C369,[1]EmployeeTerritories!$A$1:$B$50,2,FALSE)</f>
        <v>01581</v>
      </c>
      <c r="I369">
        <f>VLOOKUP(C369,[1]EmployeeTerritories!$A$1:$B$50,1,FALSE)</f>
        <v>2</v>
      </c>
      <c r="J369">
        <f>VLOOKUP(H369,[1]!Territories,3,FALSE)</f>
        <v>1</v>
      </c>
      <c r="K369" t="str">
        <f>VLOOKUP(J369,[1]!Region,2,FALSE)</f>
        <v>Eastern</v>
      </c>
      <c r="L369">
        <f>VLOOKUP(A369,[1]Order_Details!$A$1:$F$2156,2,FALSE)</f>
        <v>55</v>
      </c>
      <c r="M369" t="str">
        <f>VLOOKUP(L369,[1]!Products,2,FALSE)</f>
        <v>Pâté chinois</v>
      </c>
      <c r="N369">
        <f>VLOOKUP(L369,[1]!Products,4,FALSE)</f>
        <v>6</v>
      </c>
      <c r="O369" s="6" t="str">
        <f>VLOOKUP(N369,[1]!Categories,2,FALSE)</f>
        <v>Meat/Poultry</v>
      </c>
      <c r="P369" s="6">
        <f>VLOOKUP(A369,[1]Order_Details!$A$1:$F$2156,3,FALSE)</f>
        <v>24</v>
      </c>
      <c r="Q369">
        <f>VLOOKUP(A369,[1]Order_Details!$A$1:$F$2156,4,FALSE)</f>
        <v>5</v>
      </c>
      <c r="R369">
        <f>VLOOKUP(A369,[1]Order_Details!$A$1:$F$2156,5,FALSE)</f>
        <v>0</v>
      </c>
      <c r="S369" s="6">
        <f>VLOOKUP(A369,[1]Order_Details!$A$1:$F$2156,6,FALSE)</f>
        <v>120</v>
      </c>
      <c r="T369" s="6">
        <f>VLOOKUP(A369,[1]!Orders,8,FALSE)</f>
        <v>0.75</v>
      </c>
    </row>
    <row r="370" spans="1:20" x14ac:dyDescent="0.3">
      <c r="A370" s="2">
        <v>10616</v>
      </c>
      <c r="B370" s="2" t="s">
        <v>83</v>
      </c>
      <c r="C370" s="2">
        <v>1</v>
      </c>
      <c r="D370" s="3">
        <v>35642</v>
      </c>
      <c r="E370" t="str">
        <f>VLOOKUP(C370,[1]Employees!$A$1:$O$10,4,FALSE)</f>
        <v>Davolio Nancy</v>
      </c>
      <c r="F370">
        <f>VLOOKUP(A370,[1]!Orders,7,FALSE)</f>
        <v>2</v>
      </c>
      <c r="G370" t="str">
        <f>VLOOKUP(F370,[1]!Shippers,2,FALSE)</f>
        <v>United Package</v>
      </c>
      <c r="H370" t="str">
        <f>VLOOKUP(C370,[1]EmployeeTerritories!$A$1:$B$50,2,FALSE)</f>
        <v>06897</v>
      </c>
      <c r="I370">
        <f>VLOOKUP(C370,[1]EmployeeTerritories!$A$1:$B$50,1,FALSE)</f>
        <v>1</v>
      </c>
      <c r="J370">
        <f>VLOOKUP(H370,[1]!Territories,3,FALSE)</f>
        <v>1</v>
      </c>
      <c r="K370" t="str">
        <f>VLOOKUP(J370,[1]!Region,2,FALSE)</f>
        <v>Eastern</v>
      </c>
      <c r="L370">
        <f>VLOOKUP(A370,[1]Order_Details!$A$1:$F$2156,2,FALSE)</f>
        <v>38</v>
      </c>
      <c r="M370" t="str">
        <f>VLOOKUP(L370,[1]!Products,2,FALSE)</f>
        <v>Côte de Blaye</v>
      </c>
      <c r="N370">
        <f>VLOOKUP(L370,[1]!Products,4,FALSE)</f>
        <v>1</v>
      </c>
      <c r="O370" s="6" t="str">
        <f>VLOOKUP(N370,[1]!Categories,2,FALSE)</f>
        <v>Beverages</v>
      </c>
      <c r="P370" s="6">
        <f>VLOOKUP(A370,[1]Order_Details!$A$1:$F$2156,3,FALSE)</f>
        <v>263.5</v>
      </c>
      <c r="Q370">
        <f>VLOOKUP(A370,[1]Order_Details!$A$1:$F$2156,4,FALSE)</f>
        <v>15</v>
      </c>
      <c r="R370">
        <f>VLOOKUP(A370,[1]Order_Details!$A$1:$F$2156,5,FALSE)</f>
        <v>5.000000074505806E-2</v>
      </c>
      <c r="S370" s="6">
        <f>VLOOKUP(A370,[1]Order_Details!$A$1:$F$2156,6,FALSE)</f>
        <v>3754.874997055158</v>
      </c>
      <c r="T370" s="6">
        <f>VLOOKUP(A370,[1]!Orders,8,FALSE)</f>
        <v>116.53</v>
      </c>
    </row>
    <row r="371" spans="1:20" x14ac:dyDescent="0.3">
      <c r="A371" s="2">
        <v>10617</v>
      </c>
      <c r="B371" s="2" t="s">
        <v>83</v>
      </c>
      <c r="C371" s="2">
        <v>4</v>
      </c>
      <c r="D371" s="3">
        <v>35642</v>
      </c>
      <c r="E371" t="str">
        <f>VLOOKUP(C371,[1]Employees!$A$1:$O$10,4,FALSE)</f>
        <v>Peacock Margaret</v>
      </c>
      <c r="F371">
        <f>VLOOKUP(A371,[1]!Orders,7,FALSE)</f>
        <v>2</v>
      </c>
      <c r="G371" t="str">
        <f>VLOOKUP(F371,[1]!Shippers,2,FALSE)</f>
        <v>United Package</v>
      </c>
      <c r="H371" t="str">
        <f>VLOOKUP(C371,[1]EmployeeTerritories!$A$1:$B$50,2,FALSE)</f>
        <v>20852</v>
      </c>
      <c r="I371">
        <f>VLOOKUP(C371,[1]EmployeeTerritories!$A$1:$B$50,1,FALSE)</f>
        <v>4</v>
      </c>
      <c r="J371">
        <f>VLOOKUP(H371,[1]!Territories,3,FALSE)</f>
        <v>1</v>
      </c>
      <c r="K371" t="str">
        <f>VLOOKUP(J371,[1]!Region,2,FALSE)</f>
        <v>Eastern</v>
      </c>
      <c r="L371">
        <f>VLOOKUP(A371,[1]Order_Details!$A$1:$F$2156,2,FALSE)</f>
        <v>59</v>
      </c>
      <c r="M371" t="str">
        <f>VLOOKUP(L371,[1]!Products,2,FALSE)</f>
        <v>Raclette Courdavault</v>
      </c>
      <c r="N371">
        <f>VLOOKUP(L371,[1]!Products,4,FALSE)</f>
        <v>4</v>
      </c>
      <c r="O371" s="6" t="str">
        <f>VLOOKUP(N371,[1]!Categories,2,FALSE)</f>
        <v>Dairy Products</v>
      </c>
      <c r="P371" s="6">
        <f>VLOOKUP(A371,[1]Order_Details!$A$1:$F$2156,3,FALSE)</f>
        <v>55</v>
      </c>
      <c r="Q371">
        <f>VLOOKUP(A371,[1]Order_Details!$A$1:$F$2156,4,FALSE)</f>
        <v>30</v>
      </c>
      <c r="R371">
        <f>VLOOKUP(A371,[1]Order_Details!$A$1:$F$2156,5,FALSE)</f>
        <v>0.15000000596046448</v>
      </c>
      <c r="S371" s="6">
        <f>VLOOKUP(A371,[1]Order_Details!$A$1:$F$2156,6,FALSE)</f>
        <v>1402.4999901652336</v>
      </c>
      <c r="T371" s="6">
        <f>VLOOKUP(A371,[1]!Orders,8,FALSE)</f>
        <v>18.53</v>
      </c>
    </row>
    <row r="372" spans="1:20" x14ac:dyDescent="0.3">
      <c r="A372" s="2">
        <v>10618</v>
      </c>
      <c r="B372" s="2" t="s">
        <v>53</v>
      </c>
      <c r="C372" s="2">
        <v>1</v>
      </c>
      <c r="D372" s="3">
        <v>35643</v>
      </c>
      <c r="E372" t="str">
        <f>VLOOKUP(C372,[1]Employees!$A$1:$O$10,4,FALSE)</f>
        <v>Davolio Nancy</v>
      </c>
      <c r="F372">
        <f>VLOOKUP(A372,[1]!Orders,7,FALSE)</f>
        <v>1</v>
      </c>
      <c r="G372" t="str">
        <f>VLOOKUP(F372,[1]!Shippers,2,FALSE)</f>
        <v>Speedy Express</v>
      </c>
      <c r="H372" t="str">
        <f>VLOOKUP(C372,[1]EmployeeTerritories!$A$1:$B$50,2,FALSE)</f>
        <v>06897</v>
      </c>
      <c r="I372">
        <f>VLOOKUP(C372,[1]EmployeeTerritories!$A$1:$B$50,1,FALSE)</f>
        <v>1</v>
      </c>
      <c r="J372">
        <f>VLOOKUP(H372,[1]!Territories,3,FALSE)</f>
        <v>1</v>
      </c>
      <c r="K372" t="str">
        <f>VLOOKUP(J372,[1]!Region,2,FALSE)</f>
        <v>Eastern</v>
      </c>
      <c r="L372">
        <f>VLOOKUP(A372,[1]Order_Details!$A$1:$F$2156,2,FALSE)</f>
        <v>6</v>
      </c>
      <c r="M372" t="str">
        <f>VLOOKUP(L372,[1]!Products,2,FALSE)</f>
        <v>Grandma's Boysenberry Spread</v>
      </c>
      <c r="N372">
        <f>VLOOKUP(L372,[1]!Products,4,FALSE)</f>
        <v>2</v>
      </c>
      <c r="O372" s="6" t="str">
        <f>VLOOKUP(N372,[1]!Categories,2,FALSE)</f>
        <v>Condiments</v>
      </c>
      <c r="P372" s="6">
        <f>VLOOKUP(A372,[1]Order_Details!$A$1:$F$2156,3,FALSE)</f>
        <v>25</v>
      </c>
      <c r="Q372">
        <f>VLOOKUP(A372,[1]Order_Details!$A$1:$F$2156,4,FALSE)</f>
        <v>70</v>
      </c>
      <c r="R372">
        <f>VLOOKUP(A372,[1]Order_Details!$A$1:$F$2156,5,FALSE)</f>
        <v>0</v>
      </c>
      <c r="S372" s="6">
        <f>VLOOKUP(A372,[1]Order_Details!$A$1:$F$2156,6,FALSE)</f>
        <v>1750</v>
      </c>
      <c r="T372" s="6">
        <f>VLOOKUP(A372,[1]!Orders,8,FALSE)</f>
        <v>154.68</v>
      </c>
    </row>
    <row r="373" spans="1:20" x14ac:dyDescent="0.3">
      <c r="A373" s="2">
        <v>10619</v>
      </c>
      <c r="B373" s="2" t="s">
        <v>53</v>
      </c>
      <c r="C373" s="2">
        <v>3</v>
      </c>
      <c r="D373" s="3">
        <v>35646</v>
      </c>
      <c r="E373" t="str">
        <f>VLOOKUP(C373,[1]Employees!$A$1:$O$10,4,FALSE)</f>
        <v>Leverling Janet</v>
      </c>
      <c r="F373">
        <f>VLOOKUP(A373,[1]!Orders,7,FALSE)</f>
        <v>3</v>
      </c>
      <c r="G373" t="str">
        <f>VLOOKUP(F373,[1]!Shippers,2,FALSE)</f>
        <v>Federal Shipping</v>
      </c>
      <c r="H373" t="str">
        <f>VLOOKUP(C373,[1]EmployeeTerritories!$A$1:$B$50,2,FALSE)</f>
        <v>30346</v>
      </c>
      <c r="I373">
        <f>VLOOKUP(C373,[1]EmployeeTerritories!$A$1:$B$50,1,FALSE)</f>
        <v>3</v>
      </c>
      <c r="J373">
        <f>VLOOKUP(H373,[1]!Territories,3,FALSE)</f>
        <v>4</v>
      </c>
      <c r="K373" t="str">
        <f>VLOOKUP(J373,[1]!Region,2,FALSE)</f>
        <v>Southern</v>
      </c>
      <c r="L373">
        <f>VLOOKUP(A373,[1]Order_Details!$A$1:$F$2156,2,FALSE)</f>
        <v>21</v>
      </c>
      <c r="M373" t="str">
        <f>VLOOKUP(L373,[1]!Products,2,FALSE)</f>
        <v>Sir Rodney's Scones</v>
      </c>
      <c r="N373">
        <f>VLOOKUP(L373,[1]!Products,4,FALSE)</f>
        <v>3</v>
      </c>
      <c r="O373" s="6" t="str">
        <f>VLOOKUP(N373,[1]!Categories,2,FALSE)</f>
        <v>Confections</v>
      </c>
      <c r="P373" s="6">
        <f>VLOOKUP(A373,[1]Order_Details!$A$1:$F$2156,3,FALSE)</f>
        <v>10</v>
      </c>
      <c r="Q373">
        <f>VLOOKUP(A373,[1]Order_Details!$A$1:$F$2156,4,FALSE)</f>
        <v>42</v>
      </c>
      <c r="R373">
        <f>VLOOKUP(A373,[1]Order_Details!$A$1:$F$2156,5,FALSE)</f>
        <v>0</v>
      </c>
      <c r="S373" s="6">
        <f>VLOOKUP(A373,[1]Order_Details!$A$1:$F$2156,6,FALSE)</f>
        <v>420</v>
      </c>
      <c r="T373" s="6">
        <f>VLOOKUP(A373,[1]!Orders,8,FALSE)</f>
        <v>91.05</v>
      </c>
    </row>
    <row r="374" spans="1:20" x14ac:dyDescent="0.3">
      <c r="A374" s="2">
        <v>10620</v>
      </c>
      <c r="B374" s="2" t="s">
        <v>79</v>
      </c>
      <c r="C374" s="2">
        <v>2</v>
      </c>
      <c r="D374" s="3">
        <v>35647</v>
      </c>
      <c r="E374" t="str">
        <f>VLOOKUP(C374,[1]Employees!$A$1:$O$10,4,FALSE)</f>
        <v>Fuller Andrew</v>
      </c>
      <c r="F374">
        <f>VLOOKUP(A374,[1]!Orders,7,FALSE)</f>
        <v>3</v>
      </c>
      <c r="G374" t="str">
        <f>VLOOKUP(F374,[1]!Shippers,2,FALSE)</f>
        <v>Federal Shipping</v>
      </c>
      <c r="H374" t="str">
        <f>VLOOKUP(C374,[1]EmployeeTerritories!$A$1:$B$50,2,FALSE)</f>
        <v>01581</v>
      </c>
      <c r="I374">
        <f>VLOOKUP(C374,[1]EmployeeTerritories!$A$1:$B$50,1,FALSE)</f>
        <v>2</v>
      </c>
      <c r="J374">
        <f>VLOOKUP(H374,[1]!Territories,3,FALSE)</f>
        <v>1</v>
      </c>
      <c r="K374" t="str">
        <f>VLOOKUP(J374,[1]!Region,2,FALSE)</f>
        <v>Eastern</v>
      </c>
      <c r="L374">
        <f>VLOOKUP(A374,[1]Order_Details!$A$1:$F$2156,2,FALSE)</f>
        <v>24</v>
      </c>
      <c r="M374" t="str">
        <f>VLOOKUP(L374,[1]!Products,2,FALSE)</f>
        <v>Guaraná Fantástica</v>
      </c>
      <c r="N374">
        <f>VLOOKUP(L374,[1]!Products,4,FALSE)</f>
        <v>1</v>
      </c>
      <c r="O374" s="6" t="str">
        <f>VLOOKUP(N374,[1]!Categories,2,FALSE)</f>
        <v>Beverages</v>
      </c>
      <c r="P374" s="6">
        <f>VLOOKUP(A374,[1]Order_Details!$A$1:$F$2156,3,FALSE)</f>
        <v>4.5</v>
      </c>
      <c r="Q374">
        <f>VLOOKUP(A374,[1]Order_Details!$A$1:$F$2156,4,FALSE)</f>
        <v>5</v>
      </c>
      <c r="R374">
        <f>VLOOKUP(A374,[1]Order_Details!$A$1:$F$2156,5,FALSE)</f>
        <v>0</v>
      </c>
      <c r="S374" s="6">
        <f>VLOOKUP(A374,[1]Order_Details!$A$1:$F$2156,6,FALSE)</f>
        <v>22.5</v>
      </c>
      <c r="T374" s="6">
        <f>VLOOKUP(A374,[1]!Orders,8,FALSE)</f>
        <v>0.94</v>
      </c>
    </row>
    <row r="375" spans="1:20" x14ac:dyDescent="0.3">
      <c r="A375" s="2">
        <v>10621</v>
      </c>
      <c r="B375" s="2" t="s">
        <v>46</v>
      </c>
      <c r="C375" s="2">
        <v>4</v>
      </c>
      <c r="D375" s="3">
        <v>35647</v>
      </c>
      <c r="E375" t="str">
        <f>VLOOKUP(C375,[1]Employees!$A$1:$O$10,4,FALSE)</f>
        <v>Peacock Margaret</v>
      </c>
      <c r="F375">
        <f>VLOOKUP(A375,[1]!Orders,7,FALSE)</f>
        <v>2</v>
      </c>
      <c r="G375" t="str">
        <f>VLOOKUP(F375,[1]!Shippers,2,FALSE)</f>
        <v>United Package</v>
      </c>
      <c r="H375" t="str">
        <f>VLOOKUP(C375,[1]EmployeeTerritories!$A$1:$B$50,2,FALSE)</f>
        <v>20852</v>
      </c>
      <c r="I375">
        <f>VLOOKUP(C375,[1]EmployeeTerritories!$A$1:$B$50,1,FALSE)</f>
        <v>4</v>
      </c>
      <c r="J375">
        <f>VLOOKUP(H375,[1]!Territories,3,FALSE)</f>
        <v>1</v>
      </c>
      <c r="K375" t="str">
        <f>VLOOKUP(J375,[1]!Region,2,FALSE)</f>
        <v>Eastern</v>
      </c>
      <c r="L375">
        <f>VLOOKUP(A375,[1]Order_Details!$A$1:$F$2156,2,FALSE)</f>
        <v>19</v>
      </c>
      <c r="M375" t="str">
        <f>VLOOKUP(L375,[1]!Products,2,FALSE)</f>
        <v>Teatime Chocolate Biscuits</v>
      </c>
      <c r="N375">
        <f>VLOOKUP(L375,[1]!Products,4,FALSE)</f>
        <v>3</v>
      </c>
      <c r="O375" s="6" t="str">
        <f>VLOOKUP(N375,[1]!Categories,2,FALSE)</f>
        <v>Confections</v>
      </c>
      <c r="P375" s="6">
        <f>VLOOKUP(A375,[1]Order_Details!$A$1:$F$2156,3,FALSE)</f>
        <v>9.1999999999999993</v>
      </c>
      <c r="Q375">
        <f>VLOOKUP(A375,[1]Order_Details!$A$1:$F$2156,4,FALSE)</f>
        <v>5</v>
      </c>
      <c r="R375">
        <f>VLOOKUP(A375,[1]Order_Details!$A$1:$F$2156,5,FALSE)</f>
        <v>0</v>
      </c>
      <c r="S375" s="6">
        <f>VLOOKUP(A375,[1]Order_Details!$A$1:$F$2156,6,FALSE)</f>
        <v>46</v>
      </c>
      <c r="T375" s="6">
        <f>VLOOKUP(A375,[1]!Orders,8,FALSE)</f>
        <v>23.73</v>
      </c>
    </row>
    <row r="376" spans="1:20" x14ac:dyDescent="0.3">
      <c r="A376" s="2">
        <v>10622</v>
      </c>
      <c r="B376" s="2" t="s">
        <v>33</v>
      </c>
      <c r="C376" s="2">
        <v>4</v>
      </c>
      <c r="D376" s="3">
        <v>35648</v>
      </c>
      <c r="E376" t="str">
        <f>VLOOKUP(C376,[1]Employees!$A$1:$O$10,4,FALSE)</f>
        <v>Peacock Margaret</v>
      </c>
      <c r="F376">
        <f>VLOOKUP(A376,[1]!Orders,7,FALSE)</f>
        <v>3</v>
      </c>
      <c r="G376" t="str">
        <f>VLOOKUP(F376,[1]!Shippers,2,FALSE)</f>
        <v>Federal Shipping</v>
      </c>
      <c r="H376" t="str">
        <f>VLOOKUP(C376,[1]EmployeeTerritories!$A$1:$B$50,2,FALSE)</f>
        <v>20852</v>
      </c>
      <c r="I376">
        <f>VLOOKUP(C376,[1]EmployeeTerritories!$A$1:$B$50,1,FALSE)</f>
        <v>4</v>
      </c>
      <c r="J376">
        <f>VLOOKUP(H376,[1]!Territories,3,FALSE)</f>
        <v>1</v>
      </c>
      <c r="K376" t="str">
        <f>VLOOKUP(J376,[1]!Region,2,FALSE)</f>
        <v>Eastern</v>
      </c>
      <c r="L376">
        <f>VLOOKUP(A376,[1]Order_Details!$A$1:$F$2156,2,FALSE)</f>
        <v>2</v>
      </c>
      <c r="M376" t="str">
        <f>VLOOKUP(L376,[1]!Products,2,FALSE)</f>
        <v>Chang</v>
      </c>
      <c r="N376">
        <f>VLOOKUP(L376,[1]!Products,4,FALSE)</f>
        <v>1</v>
      </c>
      <c r="O376" s="6" t="str">
        <f>VLOOKUP(N376,[1]!Categories,2,FALSE)</f>
        <v>Beverages</v>
      </c>
      <c r="P376" s="6">
        <f>VLOOKUP(A376,[1]Order_Details!$A$1:$F$2156,3,FALSE)</f>
        <v>19</v>
      </c>
      <c r="Q376">
        <f>VLOOKUP(A376,[1]Order_Details!$A$1:$F$2156,4,FALSE)</f>
        <v>20</v>
      </c>
      <c r="R376">
        <f>VLOOKUP(A376,[1]Order_Details!$A$1:$F$2156,5,FALSE)</f>
        <v>0</v>
      </c>
      <c r="S376" s="6">
        <f>VLOOKUP(A376,[1]Order_Details!$A$1:$F$2156,6,FALSE)</f>
        <v>380</v>
      </c>
      <c r="T376" s="6">
        <f>VLOOKUP(A376,[1]!Orders,8,FALSE)</f>
        <v>50.97</v>
      </c>
    </row>
    <row r="377" spans="1:20" x14ac:dyDescent="0.3">
      <c r="A377" s="2">
        <v>10623</v>
      </c>
      <c r="B377" s="2" t="s">
        <v>21</v>
      </c>
      <c r="C377" s="2">
        <v>8</v>
      </c>
      <c r="D377" s="3">
        <v>35649</v>
      </c>
      <c r="E377" t="str">
        <f>VLOOKUP(C377,[1]Employees!$A$1:$O$10,4,FALSE)</f>
        <v>Callahan Laura</v>
      </c>
      <c r="F377">
        <f>VLOOKUP(A377,[1]!Orders,7,FALSE)</f>
        <v>2</v>
      </c>
      <c r="G377" t="str">
        <f>VLOOKUP(F377,[1]!Shippers,2,FALSE)</f>
        <v>United Package</v>
      </c>
      <c r="H377" t="str">
        <f>VLOOKUP(C377,[1]EmployeeTerritories!$A$1:$B$50,2,FALSE)</f>
        <v>19428</v>
      </c>
      <c r="I377">
        <f>VLOOKUP(C377,[1]EmployeeTerritories!$A$1:$B$50,1,FALSE)</f>
        <v>8</v>
      </c>
      <c r="J377">
        <f>VLOOKUP(H377,[1]!Territories,3,FALSE)</f>
        <v>3</v>
      </c>
      <c r="K377" t="str">
        <f>VLOOKUP(J377,[1]!Region,2,FALSE)</f>
        <v>Northern</v>
      </c>
      <c r="L377">
        <f>VLOOKUP(A377,[1]Order_Details!$A$1:$F$2156,2,FALSE)</f>
        <v>14</v>
      </c>
      <c r="M377" t="str">
        <f>VLOOKUP(L377,[1]!Products,2,FALSE)</f>
        <v>Tofu</v>
      </c>
      <c r="N377">
        <f>VLOOKUP(L377,[1]!Products,4,FALSE)</f>
        <v>7</v>
      </c>
      <c r="O377" s="6" t="str">
        <f>VLOOKUP(N377,[1]!Categories,2,FALSE)</f>
        <v>Produce</v>
      </c>
      <c r="P377" s="6">
        <f>VLOOKUP(A377,[1]Order_Details!$A$1:$F$2156,3,FALSE)</f>
        <v>23.25</v>
      </c>
      <c r="Q377">
        <f>VLOOKUP(A377,[1]Order_Details!$A$1:$F$2156,4,FALSE)</f>
        <v>21</v>
      </c>
      <c r="R377">
        <f>VLOOKUP(A377,[1]Order_Details!$A$1:$F$2156,5,FALSE)</f>
        <v>0</v>
      </c>
      <c r="S377" s="6">
        <f>VLOOKUP(A377,[1]Order_Details!$A$1:$F$2156,6,FALSE)</f>
        <v>488.25</v>
      </c>
      <c r="T377" s="6">
        <f>VLOOKUP(A377,[1]!Orders,8,FALSE)</f>
        <v>97.18</v>
      </c>
    </row>
    <row r="378" spans="1:20" x14ac:dyDescent="0.3">
      <c r="A378" s="2">
        <v>10624</v>
      </c>
      <c r="B378" s="2" t="s">
        <v>88</v>
      </c>
      <c r="C378" s="2">
        <v>4</v>
      </c>
      <c r="D378" s="3">
        <v>35649</v>
      </c>
      <c r="E378" t="str">
        <f>VLOOKUP(C378,[1]Employees!$A$1:$O$10,4,FALSE)</f>
        <v>Peacock Margaret</v>
      </c>
      <c r="F378">
        <f>VLOOKUP(A378,[1]!Orders,7,FALSE)</f>
        <v>2</v>
      </c>
      <c r="G378" t="str">
        <f>VLOOKUP(F378,[1]!Shippers,2,FALSE)</f>
        <v>United Package</v>
      </c>
      <c r="H378" t="str">
        <f>VLOOKUP(C378,[1]EmployeeTerritories!$A$1:$B$50,2,FALSE)</f>
        <v>20852</v>
      </c>
      <c r="I378">
        <f>VLOOKUP(C378,[1]EmployeeTerritories!$A$1:$B$50,1,FALSE)</f>
        <v>4</v>
      </c>
      <c r="J378">
        <f>VLOOKUP(H378,[1]!Territories,3,FALSE)</f>
        <v>1</v>
      </c>
      <c r="K378" t="str">
        <f>VLOOKUP(J378,[1]!Region,2,FALSE)</f>
        <v>Eastern</v>
      </c>
      <c r="L378">
        <f>VLOOKUP(A378,[1]Order_Details!$A$1:$F$2156,2,FALSE)</f>
        <v>28</v>
      </c>
      <c r="M378" t="str">
        <f>VLOOKUP(L378,[1]!Products,2,FALSE)</f>
        <v>Rössle Sauerkraut</v>
      </c>
      <c r="N378">
        <f>VLOOKUP(L378,[1]!Products,4,FALSE)</f>
        <v>7</v>
      </c>
      <c r="O378" s="6" t="str">
        <f>VLOOKUP(N378,[1]!Categories,2,FALSE)</f>
        <v>Produce</v>
      </c>
      <c r="P378" s="6">
        <f>VLOOKUP(A378,[1]Order_Details!$A$1:$F$2156,3,FALSE)</f>
        <v>45.6</v>
      </c>
      <c r="Q378">
        <f>VLOOKUP(A378,[1]Order_Details!$A$1:$F$2156,4,FALSE)</f>
        <v>10</v>
      </c>
      <c r="R378">
        <f>VLOOKUP(A378,[1]Order_Details!$A$1:$F$2156,5,FALSE)</f>
        <v>0</v>
      </c>
      <c r="S378" s="6">
        <f>VLOOKUP(A378,[1]Order_Details!$A$1:$F$2156,6,FALSE)</f>
        <v>456</v>
      </c>
      <c r="T378" s="6">
        <f>VLOOKUP(A378,[1]!Orders,8,FALSE)</f>
        <v>94.8</v>
      </c>
    </row>
    <row r="379" spans="1:20" x14ac:dyDescent="0.3">
      <c r="A379" s="2">
        <v>10625</v>
      </c>
      <c r="B379" s="2" t="s">
        <v>43</v>
      </c>
      <c r="C379" s="2">
        <v>3</v>
      </c>
      <c r="D379" s="3">
        <v>35650</v>
      </c>
      <c r="E379" t="str">
        <f>VLOOKUP(C379,[1]Employees!$A$1:$O$10,4,FALSE)</f>
        <v>Leverling Janet</v>
      </c>
      <c r="F379">
        <f>VLOOKUP(A379,[1]!Orders,7,FALSE)</f>
        <v>1</v>
      </c>
      <c r="G379" t="str">
        <f>VLOOKUP(F379,[1]!Shippers,2,FALSE)</f>
        <v>Speedy Express</v>
      </c>
      <c r="H379" t="str">
        <f>VLOOKUP(C379,[1]EmployeeTerritories!$A$1:$B$50,2,FALSE)</f>
        <v>30346</v>
      </c>
      <c r="I379">
        <f>VLOOKUP(C379,[1]EmployeeTerritories!$A$1:$B$50,1,FALSE)</f>
        <v>3</v>
      </c>
      <c r="J379">
        <f>VLOOKUP(H379,[1]!Territories,3,FALSE)</f>
        <v>4</v>
      </c>
      <c r="K379" t="str">
        <f>VLOOKUP(J379,[1]!Region,2,FALSE)</f>
        <v>Southern</v>
      </c>
      <c r="L379">
        <f>VLOOKUP(A379,[1]Order_Details!$A$1:$F$2156,2,FALSE)</f>
        <v>14</v>
      </c>
      <c r="M379" t="str">
        <f>VLOOKUP(L379,[1]!Products,2,FALSE)</f>
        <v>Tofu</v>
      </c>
      <c r="N379">
        <f>VLOOKUP(L379,[1]!Products,4,FALSE)</f>
        <v>7</v>
      </c>
      <c r="O379" s="6" t="str">
        <f>VLOOKUP(N379,[1]!Categories,2,FALSE)</f>
        <v>Produce</v>
      </c>
      <c r="P379" s="6">
        <f>VLOOKUP(A379,[1]Order_Details!$A$1:$F$2156,3,FALSE)</f>
        <v>23.25</v>
      </c>
      <c r="Q379">
        <f>VLOOKUP(A379,[1]Order_Details!$A$1:$F$2156,4,FALSE)</f>
        <v>3</v>
      </c>
      <c r="R379">
        <f>VLOOKUP(A379,[1]Order_Details!$A$1:$F$2156,5,FALSE)</f>
        <v>0</v>
      </c>
      <c r="S379" s="6">
        <f>VLOOKUP(A379,[1]Order_Details!$A$1:$F$2156,6,FALSE)</f>
        <v>69.75</v>
      </c>
      <c r="T379" s="6">
        <f>VLOOKUP(A379,[1]!Orders,8,FALSE)</f>
        <v>43.9</v>
      </c>
    </row>
    <row r="380" spans="1:20" x14ac:dyDescent="0.3">
      <c r="A380" s="2">
        <v>10626</v>
      </c>
      <c r="B380" s="2" t="s">
        <v>29</v>
      </c>
      <c r="C380" s="2">
        <v>1</v>
      </c>
      <c r="D380" s="3">
        <v>35653</v>
      </c>
      <c r="E380" t="str">
        <f>VLOOKUP(C380,[1]Employees!$A$1:$O$10,4,FALSE)</f>
        <v>Davolio Nancy</v>
      </c>
      <c r="F380">
        <f>VLOOKUP(A380,[1]!Orders,7,FALSE)</f>
        <v>2</v>
      </c>
      <c r="G380" t="str">
        <f>VLOOKUP(F380,[1]!Shippers,2,FALSE)</f>
        <v>United Package</v>
      </c>
      <c r="H380" t="str">
        <f>VLOOKUP(C380,[1]EmployeeTerritories!$A$1:$B$50,2,FALSE)</f>
        <v>06897</v>
      </c>
      <c r="I380">
        <f>VLOOKUP(C380,[1]EmployeeTerritories!$A$1:$B$50,1,FALSE)</f>
        <v>1</v>
      </c>
      <c r="J380">
        <f>VLOOKUP(H380,[1]!Territories,3,FALSE)</f>
        <v>1</v>
      </c>
      <c r="K380" t="str">
        <f>VLOOKUP(J380,[1]!Region,2,FALSE)</f>
        <v>Eastern</v>
      </c>
      <c r="L380">
        <f>VLOOKUP(A380,[1]Order_Details!$A$1:$F$2156,2,FALSE)</f>
        <v>53</v>
      </c>
      <c r="M380" t="str">
        <f>VLOOKUP(L380,[1]!Products,2,FALSE)</f>
        <v>Perth Pasties</v>
      </c>
      <c r="N380">
        <f>VLOOKUP(L380,[1]!Products,4,FALSE)</f>
        <v>6</v>
      </c>
      <c r="O380" s="6" t="str">
        <f>VLOOKUP(N380,[1]!Categories,2,FALSE)</f>
        <v>Meat/Poultry</v>
      </c>
      <c r="P380" s="6">
        <f>VLOOKUP(A380,[1]Order_Details!$A$1:$F$2156,3,FALSE)</f>
        <v>32.799999999999997</v>
      </c>
      <c r="Q380">
        <f>VLOOKUP(A380,[1]Order_Details!$A$1:$F$2156,4,FALSE)</f>
        <v>12</v>
      </c>
      <c r="R380">
        <f>VLOOKUP(A380,[1]Order_Details!$A$1:$F$2156,5,FALSE)</f>
        <v>0</v>
      </c>
      <c r="S380" s="6">
        <f>VLOOKUP(A380,[1]Order_Details!$A$1:$F$2156,6,FALSE)</f>
        <v>393.59999999999997</v>
      </c>
      <c r="T380" s="6">
        <f>VLOOKUP(A380,[1]!Orders,8,FALSE)</f>
        <v>138.69</v>
      </c>
    </row>
    <row r="381" spans="1:20" x14ac:dyDescent="0.3">
      <c r="A381" s="2">
        <v>10627</v>
      </c>
      <c r="B381" s="2" t="s">
        <v>49</v>
      </c>
      <c r="C381" s="2">
        <v>8</v>
      </c>
      <c r="D381" s="3">
        <v>35653</v>
      </c>
      <c r="E381" t="str">
        <f>VLOOKUP(C381,[1]Employees!$A$1:$O$10,4,FALSE)</f>
        <v>Callahan Laura</v>
      </c>
      <c r="F381">
        <f>VLOOKUP(A381,[1]!Orders,7,FALSE)</f>
        <v>3</v>
      </c>
      <c r="G381" t="str">
        <f>VLOOKUP(F381,[1]!Shippers,2,FALSE)</f>
        <v>Federal Shipping</v>
      </c>
      <c r="H381" t="str">
        <f>VLOOKUP(C381,[1]EmployeeTerritories!$A$1:$B$50,2,FALSE)</f>
        <v>19428</v>
      </c>
      <c r="I381">
        <f>VLOOKUP(C381,[1]EmployeeTerritories!$A$1:$B$50,1,FALSE)</f>
        <v>8</v>
      </c>
      <c r="J381">
        <f>VLOOKUP(H381,[1]!Territories,3,FALSE)</f>
        <v>3</v>
      </c>
      <c r="K381" t="str">
        <f>VLOOKUP(J381,[1]!Region,2,FALSE)</f>
        <v>Northern</v>
      </c>
      <c r="L381">
        <f>VLOOKUP(A381,[1]Order_Details!$A$1:$F$2156,2,FALSE)</f>
        <v>62</v>
      </c>
      <c r="M381" t="str">
        <f>VLOOKUP(L381,[1]!Products,2,FALSE)</f>
        <v>Tarte au sucre</v>
      </c>
      <c r="N381">
        <f>VLOOKUP(L381,[1]!Products,4,FALSE)</f>
        <v>3</v>
      </c>
      <c r="O381" s="6" t="str">
        <f>VLOOKUP(N381,[1]!Categories,2,FALSE)</f>
        <v>Confections</v>
      </c>
      <c r="P381" s="6">
        <f>VLOOKUP(A381,[1]Order_Details!$A$1:$F$2156,3,FALSE)</f>
        <v>49.3</v>
      </c>
      <c r="Q381">
        <f>VLOOKUP(A381,[1]Order_Details!$A$1:$F$2156,4,FALSE)</f>
        <v>15</v>
      </c>
      <c r="R381">
        <f>VLOOKUP(A381,[1]Order_Details!$A$1:$F$2156,5,FALSE)</f>
        <v>0</v>
      </c>
      <c r="S381" s="6">
        <f>VLOOKUP(A381,[1]Order_Details!$A$1:$F$2156,6,FALSE)</f>
        <v>739.5</v>
      </c>
      <c r="T381" s="6">
        <f>VLOOKUP(A381,[1]!Orders,8,FALSE)</f>
        <v>107.46</v>
      </c>
    </row>
    <row r="382" spans="1:20" x14ac:dyDescent="0.3">
      <c r="A382" s="2">
        <v>10628</v>
      </c>
      <c r="B382" s="2" t="s">
        <v>19</v>
      </c>
      <c r="C382" s="2">
        <v>4</v>
      </c>
      <c r="D382" s="3">
        <v>35654</v>
      </c>
      <c r="E382" t="str">
        <f>VLOOKUP(C382,[1]Employees!$A$1:$O$10,4,FALSE)</f>
        <v>Peacock Margaret</v>
      </c>
      <c r="F382">
        <f>VLOOKUP(A382,[1]!Orders,7,FALSE)</f>
        <v>3</v>
      </c>
      <c r="G382" t="str">
        <f>VLOOKUP(F382,[1]!Shippers,2,FALSE)</f>
        <v>Federal Shipping</v>
      </c>
      <c r="H382" t="str">
        <f>VLOOKUP(C382,[1]EmployeeTerritories!$A$1:$B$50,2,FALSE)</f>
        <v>20852</v>
      </c>
      <c r="I382">
        <f>VLOOKUP(C382,[1]EmployeeTerritories!$A$1:$B$50,1,FALSE)</f>
        <v>4</v>
      </c>
      <c r="J382">
        <f>VLOOKUP(H382,[1]!Territories,3,FALSE)</f>
        <v>1</v>
      </c>
      <c r="K382" t="str">
        <f>VLOOKUP(J382,[1]!Region,2,FALSE)</f>
        <v>Eastern</v>
      </c>
      <c r="L382">
        <f>VLOOKUP(A382,[1]Order_Details!$A$1:$F$2156,2,FALSE)</f>
        <v>1</v>
      </c>
      <c r="M382" t="str">
        <f>VLOOKUP(L382,[1]!Products,2,FALSE)</f>
        <v>Chai</v>
      </c>
      <c r="N382">
        <f>VLOOKUP(L382,[1]!Products,4,FALSE)</f>
        <v>1</v>
      </c>
      <c r="O382" s="6" t="str">
        <f>VLOOKUP(N382,[1]!Categories,2,FALSE)</f>
        <v>Beverages</v>
      </c>
      <c r="P382" s="6">
        <f>VLOOKUP(A382,[1]Order_Details!$A$1:$F$2156,3,FALSE)</f>
        <v>18</v>
      </c>
      <c r="Q382">
        <f>VLOOKUP(A382,[1]Order_Details!$A$1:$F$2156,4,FALSE)</f>
        <v>25</v>
      </c>
      <c r="R382">
        <f>VLOOKUP(A382,[1]Order_Details!$A$1:$F$2156,5,FALSE)</f>
        <v>0</v>
      </c>
      <c r="S382" s="6">
        <f>VLOOKUP(A382,[1]Order_Details!$A$1:$F$2156,6,FALSE)</f>
        <v>450</v>
      </c>
      <c r="T382" s="6">
        <f>VLOOKUP(A382,[1]!Orders,8,FALSE)</f>
        <v>30.36</v>
      </c>
    </row>
    <row r="383" spans="1:20" x14ac:dyDescent="0.3">
      <c r="A383" s="2">
        <v>10629</v>
      </c>
      <c r="B383" s="2" t="s">
        <v>40</v>
      </c>
      <c r="C383" s="2">
        <v>4</v>
      </c>
      <c r="D383" s="3">
        <v>35654</v>
      </c>
      <c r="E383" t="str">
        <f>VLOOKUP(C383,[1]Employees!$A$1:$O$10,4,FALSE)</f>
        <v>Peacock Margaret</v>
      </c>
      <c r="F383">
        <f>VLOOKUP(A383,[1]!Orders,7,FALSE)</f>
        <v>3</v>
      </c>
      <c r="G383" t="str">
        <f>VLOOKUP(F383,[1]!Shippers,2,FALSE)</f>
        <v>Federal Shipping</v>
      </c>
      <c r="H383" t="str">
        <f>VLOOKUP(C383,[1]EmployeeTerritories!$A$1:$B$50,2,FALSE)</f>
        <v>20852</v>
      </c>
      <c r="I383">
        <f>VLOOKUP(C383,[1]EmployeeTerritories!$A$1:$B$50,1,FALSE)</f>
        <v>4</v>
      </c>
      <c r="J383">
        <f>VLOOKUP(H383,[1]!Territories,3,FALSE)</f>
        <v>1</v>
      </c>
      <c r="K383" t="str">
        <f>VLOOKUP(J383,[1]!Region,2,FALSE)</f>
        <v>Eastern</v>
      </c>
      <c r="L383">
        <f>VLOOKUP(A383,[1]Order_Details!$A$1:$F$2156,2,FALSE)</f>
        <v>29</v>
      </c>
      <c r="M383" t="str">
        <f>VLOOKUP(L383,[1]!Products,2,FALSE)</f>
        <v>Thüringer Rostbratwurst</v>
      </c>
      <c r="N383">
        <f>VLOOKUP(L383,[1]!Products,4,FALSE)</f>
        <v>6</v>
      </c>
      <c r="O383" s="6" t="str">
        <f>VLOOKUP(N383,[1]!Categories,2,FALSE)</f>
        <v>Meat/Poultry</v>
      </c>
      <c r="P383" s="6">
        <f>VLOOKUP(A383,[1]Order_Details!$A$1:$F$2156,3,FALSE)</f>
        <v>123.79</v>
      </c>
      <c r="Q383">
        <f>VLOOKUP(A383,[1]Order_Details!$A$1:$F$2156,4,FALSE)</f>
        <v>20</v>
      </c>
      <c r="R383">
        <f>VLOOKUP(A383,[1]Order_Details!$A$1:$F$2156,5,FALSE)</f>
        <v>0</v>
      </c>
      <c r="S383" s="6">
        <f>VLOOKUP(A383,[1]Order_Details!$A$1:$F$2156,6,FALSE)</f>
        <v>2475.8000000000002</v>
      </c>
      <c r="T383" s="6">
        <f>VLOOKUP(A383,[1]!Orders,8,FALSE)</f>
        <v>85.46</v>
      </c>
    </row>
    <row r="384" spans="1:20" x14ac:dyDescent="0.3">
      <c r="A384" s="2">
        <v>10630</v>
      </c>
      <c r="B384" s="2" t="s">
        <v>48</v>
      </c>
      <c r="C384" s="2">
        <v>1</v>
      </c>
      <c r="D384" s="3">
        <v>35655</v>
      </c>
      <c r="E384" t="str">
        <f>VLOOKUP(C384,[1]Employees!$A$1:$O$10,4,FALSE)</f>
        <v>Davolio Nancy</v>
      </c>
      <c r="F384">
        <f>VLOOKUP(A384,[1]!Orders,7,FALSE)</f>
        <v>2</v>
      </c>
      <c r="G384" t="str">
        <f>VLOOKUP(F384,[1]!Shippers,2,FALSE)</f>
        <v>United Package</v>
      </c>
      <c r="H384" t="str">
        <f>VLOOKUP(C384,[1]EmployeeTerritories!$A$1:$B$50,2,FALSE)</f>
        <v>06897</v>
      </c>
      <c r="I384">
        <f>VLOOKUP(C384,[1]EmployeeTerritories!$A$1:$B$50,1,FALSE)</f>
        <v>1</v>
      </c>
      <c r="J384">
        <f>VLOOKUP(H384,[1]!Territories,3,FALSE)</f>
        <v>1</v>
      </c>
      <c r="K384" t="str">
        <f>VLOOKUP(J384,[1]!Region,2,FALSE)</f>
        <v>Eastern</v>
      </c>
      <c r="L384">
        <f>VLOOKUP(A384,[1]Order_Details!$A$1:$F$2156,2,FALSE)</f>
        <v>55</v>
      </c>
      <c r="M384" t="str">
        <f>VLOOKUP(L384,[1]!Products,2,FALSE)</f>
        <v>Pâté chinois</v>
      </c>
      <c r="N384">
        <f>VLOOKUP(L384,[1]!Products,4,FALSE)</f>
        <v>6</v>
      </c>
      <c r="O384" s="6" t="str">
        <f>VLOOKUP(N384,[1]!Categories,2,FALSE)</f>
        <v>Meat/Poultry</v>
      </c>
      <c r="P384" s="6">
        <f>VLOOKUP(A384,[1]Order_Details!$A$1:$F$2156,3,FALSE)</f>
        <v>24</v>
      </c>
      <c r="Q384">
        <f>VLOOKUP(A384,[1]Order_Details!$A$1:$F$2156,4,FALSE)</f>
        <v>12</v>
      </c>
      <c r="R384">
        <f>VLOOKUP(A384,[1]Order_Details!$A$1:$F$2156,5,FALSE)</f>
        <v>5.000000074505806E-2</v>
      </c>
      <c r="S384" s="6">
        <f>VLOOKUP(A384,[1]Order_Details!$A$1:$F$2156,6,FALSE)</f>
        <v>273.59999978542328</v>
      </c>
      <c r="T384" s="6">
        <f>VLOOKUP(A384,[1]!Orders,8,FALSE)</f>
        <v>32.35</v>
      </c>
    </row>
    <row r="385" spans="1:20" x14ac:dyDescent="0.3">
      <c r="A385" s="2">
        <v>10631</v>
      </c>
      <c r="B385" s="2" t="s">
        <v>57</v>
      </c>
      <c r="C385" s="2">
        <v>8</v>
      </c>
      <c r="D385" s="3">
        <v>35656</v>
      </c>
      <c r="E385" t="str">
        <f>VLOOKUP(C385,[1]Employees!$A$1:$O$10,4,FALSE)</f>
        <v>Callahan Laura</v>
      </c>
      <c r="F385">
        <f>VLOOKUP(A385,[1]!Orders,7,FALSE)</f>
        <v>1</v>
      </c>
      <c r="G385" t="str">
        <f>VLOOKUP(F385,[1]!Shippers,2,FALSE)</f>
        <v>Speedy Express</v>
      </c>
      <c r="H385" t="str">
        <f>VLOOKUP(C385,[1]EmployeeTerritories!$A$1:$B$50,2,FALSE)</f>
        <v>19428</v>
      </c>
      <c r="I385">
        <f>VLOOKUP(C385,[1]EmployeeTerritories!$A$1:$B$50,1,FALSE)</f>
        <v>8</v>
      </c>
      <c r="J385">
        <f>VLOOKUP(H385,[1]!Territories,3,FALSE)</f>
        <v>3</v>
      </c>
      <c r="K385" t="str">
        <f>VLOOKUP(J385,[1]!Region,2,FALSE)</f>
        <v>Northern</v>
      </c>
      <c r="L385">
        <f>VLOOKUP(A385,[1]Order_Details!$A$1:$F$2156,2,FALSE)</f>
        <v>75</v>
      </c>
      <c r="M385" t="str">
        <f>VLOOKUP(L385,[1]!Products,2,FALSE)</f>
        <v>Rhönbräu Klosterbier</v>
      </c>
      <c r="N385">
        <f>VLOOKUP(L385,[1]!Products,4,FALSE)</f>
        <v>1</v>
      </c>
      <c r="O385" s="6" t="str">
        <f>VLOOKUP(N385,[1]!Categories,2,FALSE)</f>
        <v>Beverages</v>
      </c>
      <c r="P385" s="6">
        <f>VLOOKUP(A385,[1]Order_Details!$A$1:$F$2156,3,FALSE)</f>
        <v>7.75</v>
      </c>
      <c r="Q385">
        <f>VLOOKUP(A385,[1]Order_Details!$A$1:$F$2156,4,FALSE)</f>
        <v>8</v>
      </c>
      <c r="R385">
        <f>VLOOKUP(A385,[1]Order_Details!$A$1:$F$2156,5,FALSE)</f>
        <v>0.10000000149011612</v>
      </c>
      <c r="S385" s="6">
        <f>VLOOKUP(A385,[1]Order_Details!$A$1:$F$2156,6,FALSE)</f>
        <v>55.799999907612801</v>
      </c>
      <c r="T385" s="6">
        <f>VLOOKUP(A385,[1]!Orders,8,FALSE)</f>
        <v>0.87</v>
      </c>
    </row>
    <row r="386" spans="1:20" x14ac:dyDescent="0.3">
      <c r="A386" s="2">
        <v>10632</v>
      </c>
      <c r="B386" s="2" t="s">
        <v>39</v>
      </c>
      <c r="C386" s="2">
        <v>8</v>
      </c>
      <c r="D386" s="3">
        <v>35656</v>
      </c>
      <c r="E386" t="str">
        <f>VLOOKUP(C386,[1]Employees!$A$1:$O$10,4,FALSE)</f>
        <v>Callahan Laura</v>
      </c>
      <c r="F386">
        <f>VLOOKUP(A386,[1]!Orders,7,FALSE)</f>
        <v>1</v>
      </c>
      <c r="G386" t="str">
        <f>VLOOKUP(F386,[1]!Shippers,2,FALSE)</f>
        <v>Speedy Express</v>
      </c>
      <c r="H386" t="str">
        <f>VLOOKUP(C386,[1]EmployeeTerritories!$A$1:$B$50,2,FALSE)</f>
        <v>19428</v>
      </c>
      <c r="I386">
        <f>VLOOKUP(C386,[1]EmployeeTerritories!$A$1:$B$50,1,FALSE)</f>
        <v>8</v>
      </c>
      <c r="J386">
        <f>VLOOKUP(H386,[1]!Territories,3,FALSE)</f>
        <v>3</v>
      </c>
      <c r="K386" t="str">
        <f>VLOOKUP(J386,[1]!Region,2,FALSE)</f>
        <v>Northern</v>
      </c>
      <c r="L386">
        <f>VLOOKUP(A386,[1]Order_Details!$A$1:$F$2156,2,FALSE)</f>
        <v>2</v>
      </c>
      <c r="M386" t="str">
        <f>VLOOKUP(L386,[1]!Products,2,FALSE)</f>
        <v>Chang</v>
      </c>
      <c r="N386">
        <f>VLOOKUP(L386,[1]!Products,4,FALSE)</f>
        <v>1</v>
      </c>
      <c r="O386" s="6" t="str">
        <f>VLOOKUP(N386,[1]!Categories,2,FALSE)</f>
        <v>Beverages</v>
      </c>
      <c r="P386" s="6">
        <f>VLOOKUP(A386,[1]Order_Details!$A$1:$F$2156,3,FALSE)</f>
        <v>19</v>
      </c>
      <c r="Q386">
        <f>VLOOKUP(A386,[1]Order_Details!$A$1:$F$2156,4,FALSE)</f>
        <v>30</v>
      </c>
      <c r="R386">
        <f>VLOOKUP(A386,[1]Order_Details!$A$1:$F$2156,5,FALSE)</f>
        <v>5.000000074505806E-2</v>
      </c>
      <c r="S386" s="6">
        <f>VLOOKUP(A386,[1]Order_Details!$A$1:$F$2156,6,FALSE)</f>
        <v>541.49999957531691</v>
      </c>
      <c r="T386" s="6">
        <f>VLOOKUP(A386,[1]!Orders,8,FALSE)</f>
        <v>41.38</v>
      </c>
    </row>
    <row r="387" spans="1:20" x14ac:dyDescent="0.3">
      <c r="A387" s="2">
        <v>10633</v>
      </c>
      <c r="B387" s="2" t="s">
        <v>13</v>
      </c>
      <c r="C387" s="2">
        <v>7</v>
      </c>
      <c r="D387" s="3">
        <v>35657</v>
      </c>
      <c r="E387" t="str">
        <f>VLOOKUP(C387,[1]Employees!$A$1:$O$10,4,FALSE)</f>
        <v>King Robert</v>
      </c>
      <c r="F387">
        <f>VLOOKUP(A387,[1]!Orders,7,FALSE)</f>
        <v>3</v>
      </c>
      <c r="G387" t="str">
        <f>VLOOKUP(F387,[1]!Shippers,2,FALSE)</f>
        <v>Federal Shipping</v>
      </c>
      <c r="H387" t="str">
        <f>VLOOKUP(C387,[1]EmployeeTerritories!$A$1:$B$50,2,FALSE)</f>
        <v>60179</v>
      </c>
      <c r="I387">
        <f>VLOOKUP(C387,[1]EmployeeTerritories!$A$1:$B$50,1,FALSE)</f>
        <v>7</v>
      </c>
      <c r="J387">
        <f>VLOOKUP(H387,[1]!Territories,3,FALSE)</f>
        <v>2</v>
      </c>
      <c r="K387" t="str">
        <f>VLOOKUP(J387,[1]!Region,2,FALSE)</f>
        <v>Western</v>
      </c>
      <c r="L387">
        <f>VLOOKUP(A387,[1]Order_Details!$A$1:$F$2156,2,FALSE)</f>
        <v>12</v>
      </c>
      <c r="M387" t="str">
        <f>VLOOKUP(L387,[1]!Products,2,FALSE)</f>
        <v>Queso Manchego La Pastora</v>
      </c>
      <c r="N387">
        <f>VLOOKUP(L387,[1]!Products,4,FALSE)</f>
        <v>4</v>
      </c>
      <c r="O387" s="6" t="str">
        <f>VLOOKUP(N387,[1]!Categories,2,FALSE)</f>
        <v>Dairy Products</v>
      </c>
      <c r="P387" s="6">
        <f>VLOOKUP(A387,[1]Order_Details!$A$1:$F$2156,3,FALSE)</f>
        <v>38</v>
      </c>
      <c r="Q387">
        <f>VLOOKUP(A387,[1]Order_Details!$A$1:$F$2156,4,FALSE)</f>
        <v>36</v>
      </c>
      <c r="R387">
        <f>VLOOKUP(A387,[1]Order_Details!$A$1:$F$2156,5,FALSE)</f>
        <v>0.15000000596046448</v>
      </c>
      <c r="S387" s="6">
        <f>VLOOKUP(A387,[1]Order_Details!$A$1:$F$2156,6,FALSE)</f>
        <v>1162.7999918460846</v>
      </c>
      <c r="T387" s="6">
        <f>VLOOKUP(A387,[1]!Orders,8,FALSE)</f>
        <v>477.9</v>
      </c>
    </row>
    <row r="388" spans="1:20" x14ac:dyDescent="0.3">
      <c r="A388" s="2">
        <v>10634</v>
      </c>
      <c r="B388" s="2" t="s">
        <v>72</v>
      </c>
      <c r="C388" s="2">
        <v>4</v>
      </c>
      <c r="D388" s="3">
        <v>35657</v>
      </c>
      <c r="E388" t="str">
        <f>VLOOKUP(C388,[1]Employees!$A$1:$O$10,4,FALSE)</f>
        <v>Peacock Margaret</v>
      </c>
      <c r="F388">
        <f>VLOOKUP(A388,[1]!Orders,7,FALSE)</f>
        <v>3</v>
      </c>
      <c r="G388" t="str">
        <f>VLOOKUP(F388,[1]!Shippers,2,FALSE)</f>
        <v>Federal Shipping</v>
      </c>
      <c r="H388" t="str">
        <f>VLOOKUP(C388,[1]EmployeeTerritories!$A$1:$B$50,2,FALSE)</f>
        <v>20852</v>
      </c>
      <c r="I388">
        <f>VLOOKUP(C388,[1]EmployeeTerritories!$A$1:$B$50,1,FALSE)</f>
        <v>4</v>
      </c>
      <c r="J388">
        <f>VLOOKUP(H388,[1]!Territories,3,FALSE)</f>
        <v>1</v>
      </c>
      <c r="K388" t="str">
        <f>VLOOKUP(J388,[1]!Region,2,FALSE)</f>
        <v>Eastern</v>
      </c>
      <c r="L388">
        <f>VLOOKUP(A388,[1]Order_Details!$A$1:$F$2156,2,FALSE)</f>
        <v>7</v>
      </c>
      <c r="M388" t="str">
        <f>VLOOKUP(L388,[1]!Products,2,FALSE)</f>
        <v>Uncle Bob's Organic Dried Pears</v>
      </c>
      <c r="N388">
        <f>VLOOKUP(L388,[1]!Products,4,FALSE)</f>
        <v>7</v>
      </c>
      <c r="O388" s="6" t="str">
        <f>VLOOKUP(N388,[1]!Categories,2,FALSE)</f>
        <v>Produce</v>
      </c>
      <c r="P388" s="6">
        <f>VLOOKUP(A388,[1]Order_Details!$A$1:$F$2156,3,FALSE)</f>
        <v>30</v>
      </c>
      <c r="Q388">
        <f>VLOOKUP(A388,[1]Order_Details!$A$1:$F$2156,4,FALSE)</f>
        <v>35</v>
      </c>
      <c r="R388">
        <f>VLOOKUP(A388,[1]Order_Details!$A$1:$F$2156,5,FALSE)</f>
        <v>0</v>
      </c>
      <c r="S388" s="6">
        <f>VLOOKUP(A388,[1]Order_Details!$A$1:$F$2156,6,FALSE)</f>
        <v>1050</v>
      </c>
      <c r="T388" s="6">
        <f>VLOOKUP(A388,[1]!Orders,8,FALSE)</f>
        <v>487.38</v>
      </c>
    </row>
    <row r="389" spans="1:20" x14ac:dyDescent="0.3">
      <c r="A389" s="2">
        <v>10635</v>
      </c>
      <c r="B389" s="2" t="s">
        <v>26</v>
      </c>
      <c r="C389" s="2">
        <v>8</v>
      </c>
      <c r="D389" s="3">
        <v>35660</v>
      </c>
      <c r="E389" t="str">
        <f>VLOOKUP(C389,[1]Employees!$A$1:$O$10,4,FALSE)</f>
        <v>Callahan Laura</v>
      </c>
      <c r="F389">
        <f>VLOOKUP(A389,[1]!Orders,7,FALSE)</f>
        <v>3</v>
      </c>
      <c r="G389" t="str">
        <f>VLOOKUP(F389,[1]!Shippers,2,FALSE)</f>
        <v>Federal Shipping</v>
      </c>
      <c r="H389" t="str">
        <f>VLOOKUP(C389,[1]EmployeeTerritories!$A$1:$B$50,2,FALSE)</f>
        <v>19428</v>
      </c>
      <c r="I389">
        <f>VLOOKUP(C389,[1]EmployeeTerritories!$A$1:$B$50,1,FALSE)</f>
        <v>8</v>
      </c>
      <c r="J389">
        <f>VLOOKUP(H389,[1]!Territories,3,FALSE)</f>
        <v>3</v>
      </c>
      <c r="K389" t="str">
        <f>VLOOKUP(J389,[1]!Region,2,FALSE)</f>
        <v>Northern</v>
      </c>
      <c r="L389">
        <f>VLOOKUP(A389,[1]Order_Details!$A$1:$F$2156,2,FALSE)</f>
        <v>4</v>
      </c>
      <c r="M389" t="str">
        <f>VLOOKUP(L389,[1]!Products,2,FALSE)</f>
        <v>Chef Anton's Cajun Seasoning</v>
      </c>
      <c r="N389">
        <f>VLOOKUP(L389,[1]!Products,4,FALSE)</f>
        <v>2</v>
      </c>
      <c r="O389" s="6" t="str">
        <f>VLOOKUP(N389,[1]!Categories,2,FALSE)</f>
        <v>Condiments</v>
      </c>
      <c r="P389" s="6">
        <f>VLOOKUP(A389,[1]Order_Details!$A$1:$F$2156,3,FALSE)</f>
        <v>22</v>
      </c>
      <c r="Q389">
        <f>VLOOKUP(A389,[1]Order_Details!$A$1:$F$2156,4,FALSE)</f>
        <v>10</v>
      </c>
      <c r="R389">
        <f>VLOOKUP(A389,[1]Order_Details!$A$1:$F$2156,5,FALSE)</f>
        <v>0.10000000149011612</v>
      </c>
      <c r="S389" s="6">
        <f>VLOOKUP(A389,[1]Order_Details!$A$1:$F$2156,6,FALSE)</f>
        <v>197.99999967217445</v>
      </c>
      <c r="T389" s="6">
        <f>VLOOKUP(A389,[1]!Orders,8,FALSE)</f>
        <v>47.46</v>
      </c>
    </row>
    <row r="390" spans="1:20" x14ac:dyDescent="0.3">
      <c r="A390" s="2">
        <v>10636</v>
      </c>
      <c r="B390" s="2" t="s">
        <v>20</v>
      </c>
      <c r="C390" s="2">
        <v>4</v>
      </c>
      <c r="D390" s="3">
        <v>35661</v>
      </c>
      <c r="E390" t="str">
        <f>VLOOKUP(C390,[1]Employees!$A$1:$O$10,4,FALSE)</f>
        <v>Peacock Margaret</v>
      </c>
      <c r="F390">
        <f>VLOOKUP(A390,[1]!Orders,7,FALSE)</f>
        <v>1</v>
      </c>
      <c r="G390" t="str">
        <f>VLOOKUP(F390,[1]!Shippers,2,FALSE)</f>
        <v>Speedy Express</v>
      </c>
      <c r="H390" t="str">
        <f>VLOOKUP(C390,[1]EmployeeTerritories!$A$1:$B$50,2,FALSE)</f>
        <v>20852</v>
      </c>
      <c r="I390">
        <f>VLOOKUP(C390,[1]EmployeeTerritories!$A$1:$B$50,1,FALSE)</f>
        <v>4</v>
      </c>
      <c r="J390">
        <f>VLOOKUP(H390,[1]!Territories,3,FALSE)</f>
        <v>1</v>
      </c>
      <c r="K390" t="str">
        <f>VLOOKUP(J390,[1]!Region,2,FALSE)</f>
        <v>Eastern</v>
      </c>
      <c r="L390">
        <f>VLOOKUP(A390,[1]Order_Details!$A$1:$F$2156,2,FALSE)</f>
        <v>4</v>
      </c>
      <c r="M390" t="str">
        <f>VLOOKUP(L390,[1]!Products,2,FALSE)</f>
        <v>Chef Anton's Cajun Seasoning</v>
      </c>
      <c r="N390">
        <f>VLOOKUP(L390,[1]!Products,4,FALSE)</f>
        <v>2</v>
      </c>
      <c r="O390" s="6" t="str">
        <f>VLOOKUP(N390,[1]!Categories,2,FALSE)</f>
        <v>Condiments</v>
      </c>
      <c r="P390" s="6">
        <f>VLOOKUP(A390,[1]Order_Details!$A$1:$F$2156,3,FALSE)</f>
        <v>22</v>
      </c>
      <c r="Q390">
        <f>VLOOKUP(A390,[1]Order_Details!$A$1:$F$2156,4,FALSE)</f>
        <v>25</v>
      </c>
      <c r="R390">
        <f>VLOOKUP(A390,[1]Order_Details!$A$1:$F$2156,5,FALSE)</f>
        <v>0</v>
      </c>
      <c r="S390" s="6">
        <f>VLOOKUP(A390,[1]Order_Details!$A$1:$F$2156,6,FALSE)</f>
        <v>550</v>
      </c>
      <c r="T390" s="6">
        <f>VLOOKUP(A390,[1]!Orders,8,FALSE)</f>
        <v>1.1499999999999999</v>
      </c>
    </row>
    <row r="391" spans="1:20" x14ac:dyDescent="0.3">
      <c r="A391" s="2">
        <v>10637</v>
      </c>
      <c r="B391" s="2" t="s">
        <v>66</v>
      </c>
      <c r="C391" s="2">
        <v>6</v>
      </c>
      <c r="D391" s="3">
        <v>35661</v>
      </c>
      <c r="E391" t="str">
        <f>VLOOKUP(C391,[1]Employees!$A$1:$O$10,4,FALSE)</f>
        <v>Suyama Michael</v>
      </c>
      <c r="F391">
        <f>VLOOKUP(A391,[1]!Orders,7,FALSE)</f>
        <v>1</v>
      </c>
      <c r="G391" t="str">
        <f>VLOOKUP(F391,[1]!Shippers,2,FALSE)</f>
        <v>Speedy Express</v>
      </c>
      <c r="H391" t="str">
        <f>VLOOKUP(C391,[1]EmployeeTerritories!$A$1:$B$50,2,FALSE)</f>
        <v>85014</v>
      </c>
      <c r="I391">
        <f>VLOOKUP(C391,[1]EmployeeTerritories!$A$1:$B$50,1,FALSE)</f>
        <v>6</v>
      </c>
      <c r="J391">
        <f>VLOOKUP(H391,[1]!Territories,3,FALSE)</f>
        <v>2</v>
      </c>
      <c r="K391" t="str">
        <f>VLOOKUP(J391,[1]!Region,2,FALSE)</f>
        <v>Western</v>
      </c>
      <c r="L391">
        <f>VLOOKUP(A391,[1]Order_Details!$A$1:$F$2156,2,FALSE)</f>
        <v>11</v>
      </c>
      <c r="M391" t="str">
        <f>VLOOKUP(L391,[1]!Products,2,FALSE)</f>
        <v>Queso Cabrales</v>
      </c>
      <c r="N391">
        <f>VLOOKUP(L391,[1]!Products,4,FALSE)</f>
        <v>4</v>
      </c>
      <c r="O391" s="6" t="str">
        <f>VLOOKUP(N391,[1]!Categories,2,FALSE)</f>
        <v>Dairy Products</v>
      </c>
      <c r="P391" s="6">
        <f>VLOOKUP(A391,[1]Order_Details!$A$1:$F$2156,3,FALSE)</f>
        <v>21</v>
      </c>
      <c r="Q391">
        <f>VLOOKUP(A391,[1]Order_Details!$A$1:$F$2156,4,FALSE)</f>
        <v>10</v>
      </c>
      <c r="R391">
        <f>VLOOKUP(A391,[1]Order_Details!$A$1:$F$2156,5,FALSE)</f>
        <v>0</v>
      </c>
      <c r="S391" s="6">
        <f>VLOOKUP(A391,[1]Order_Details!$A$1:$F$2156,6,FALSE)</f>
        <v>210</v>
      </c>
      <c r="T391" s="6">
        <f>VLOOKUP(A391,[1]!Orders,8,FALSE)</f>
        <v>201.29</v>
      </c>
    </row>
    <row r="392" spans="1:20" x14ac:dyDescent="0.3">
      <c r="A392" s="2">
        <v>10638</v>
      </c>
      <c r="B392" s="2" t="s">
        <v>71</v>
      </c>
      <c r="C392" s="2">
        <v>3</v>
      </c>
      <c r="D392" s="3">
        <v>35662</v>
      </c>
      <c r="E392" t="str">
        <f>VLOOKUP(C392,[1]Employees!$A$1:$O$10,4,FALSE)</f>
        <v>Leverling Janet</v>
      </c>
      <c r="F392">
        <f>VLOOKUP(A392,[1]!Orders,7,FALSE)</f>
        <v>1</v>
      </c>
      <c r="G392" t="str">
        <f>VLOOKUP(F392,[1]!Shippers,2,FALSE)</f>
        <v>Speedy Express</v>
      </c>
      <c r="H392" t="str">
        <f>VLOOKUP(C392,[1]EmployeeTerritories!$A$1:$B$50,2,FALSE)</f>
        <v>30346</v>
      </c>
      <c r="I392">
        <f>VLOOKUP(C392,[1]EmployeeTerritories!$A$1:$B$50,1,FALSE)</f>
        <v>3</v>
      </c>
      <c r="J392">
        <f>VLOOKUP(H392,[1]!Territories,3,FALSE)</f>
        <v>4</v>
      </c>
      <c r="K392" t="str">
        <f>VLOOKUP(J392,[1]!Region,2,FALSE)</f>
        <v>Southern</v>
      </c>
      <c r="L392">
        <f>VLOOKUP(A392,[1]Order_Details!$A$1:$F$2156,2,FALSE)</f>
        <v>45</v>
      </c>
      <c r="M392" t="str">
        <f>VLOOKUP(L392,[1]!Products,2,FALSE)</f>
        <v>Rogede sild</v>
      </c>
      <c r="N392">
        <f>VLOOKUP(L392,[1]!Products,4,FALSE)</f>
        <v>8</v>
      </c>
      <c r="O392" s="6" t="str">
        <f>VLOOKUP(N392,[1]!Categories,2,FALSE)</f>
        <v>Seafood</v>
      </c>
      <c r="P392" s="6">
        <f>VLOOKUP(A392,[1]Order_Details!$A$1:$F$2156,3,FALSE)</f>
        <v>9.5</v>
      </c>
      <c r="Q392">
        <f>VLOOKUP(A392,[1]Order_Details!$A$1:$F$2156,4,FALSE)</f>
        <v>20</v>
      </c>
      <c r="R392">
        <f>VLOOKUP(A392,[1]Order_Details!$A$1:$F$2156,5,FALSE)</f>
        <v>0</v>
      </c>
      <c r="S392" s="6">
        <f>VLOOKUP(A392,[1]Order_Details!$A$1:$F$2156,6,FALSE)</f>
        <v>190</v>
      </c>
      <c r="T392" s="6">
        <f>VLOOKUP(A392,[1]!Orders,8,FALSE)</f>
        <v>158.44</v>
      </c>
    </row>
    <row r="393" spans="1:20" x14ac:dyDescent="0.3">
      <c r="A393" s="2">
        <v>10639</v>
      </c>
      <c r="B393" s="2" t="s">
        <v>69</v>
      </c>
      <c r="C393" s="2">
        <v>7</v>
      </c>
      <c r="D393" s="3">
        <v>35662</v>
      </c>
      <c r="E393" t="str">
        <f>VLOOKUP(C393,[1]Employees!$A$1:$O$10,4,FALSE)</f>
        <v>King Robert</v>
      </c>
      <c r="F393">
        <f>VLOOKUP(A393,[1]!Orders,7,FALSE)</f>
        <v>3</v>
      </c>
      <c r="G393" t="str">
        <f>VLOOKUP(F393,[1]!Shippers,2,FALSE)</f>
        <v>Federal Shipping</v>
      </c>
      <c r="H393" t="str">
        <f>VLOOKUP(C393,[1]EmployeeTerritories!$A$1:$B$50,2,FALSE)</f>
        <v>60179</v>
      </c>
      <c r="I393">
        <f>VLOOKUP(C393,[1]EmployeeTerritories!$A$1:$B$50,1,FALSE)</f>
        <v>7</v>
      </c>
      <c r="J393">
        <f>VLOOKUP(H393,[1]!Territories,3,FALSE)</f>
        <v>2</v>
      </c>
      <c r="K393" t="str">
        <f>VLOOKUP(J393,[1]!Region,2,FALSE)</f>
        <v>Western</v>
      </c>
      <c r="L393">
        <f>VLOOKUP(A393,[1]Order_Details!$A$1:$F$2156,2,FALSE)</f>
        <v>18</v>
      </c>
      <c r="M393" t="str">
        <f>VLOOKUP(L393,[1]!Products,2,FALSE)</f>
        <v>Carnarvon Tigers</v>
      </c>
      <c r="N393">
        <f>VLOOKUP(L393,[1]!Products,4,FALSE)</f>
        <v>8</v>
      </c>
      <c r="O393" s="6" t="str">
        <f>VLOOKUP(N393,[1]!Categories,2,FALSE)</f>
        <v>Seafood</v>
      </c>
      <c r="P393" s="6">
        <f>VLOOKUP(A393,[1]Order_Details!$A$1:$F$2156,3,FALSE)</f>
        <v>62.5</v>
      </c>
      <c r="Q393">
        <f>VLOOKUP(A393,[1]Order_Details!$A$1:$F$2156,4,FALSE)</f>
        <v>8</v>
      </c>
      <c r="R393">
        <f>VLOOKUP(A393,[1]Order_Details!$A$1:$F$2156,5,FALSE)</f>
        <v>0</v>
      </c>
      <c r="S393" s="6">
        <f>VLOOKUP(A393,[1]Order_Details!$A$1:$F$2156,6,FALSE)</f>
        <v>500</v>
      </c>
      <c r="T393" s="6">
        <f>VLOOKUP(A393,[1]!Orders,8,FALSE)</f>
        <v>38.64</v>
      </c>
    </row>
    <row r="394" spans="1:20" x14ac:dyDescent="0.3">
      <c r="A394" s="2">
        <v>10640</v>
      </c>
      <c r="B394" s="2" t="s">
        <v>39</v>
      </c>
      <c r="C394" s="2">
        <v>4</v>
      </c>
      <c r="D394" s="3">
        <v>35663</v>
      </c>
      <c r="E394" t="str">
        <f>VLOOKUP(C394,[1]Employees!$A$1:$O$10,4,FALSE)</f>
        <v>Peacock Margaret</v>
      </c>
      <c r="F394">
        <f>VLOOKUP(A394,[1]!Orders,7,FALSE)</f>
        <v>1</v>
      </c>
      <c r="G394" t="str">
        <f>VLOOKUP(F394,[1]!Shippers,2,FALSE)</f>
        <v>Speedy Express</v>
      </c>
      <c r="H394" t="str">
        <f>VLOOKUP(C394,[1]EmployeeTerritories!$A$1:$B$50,2,FALSE)</f>
        <v>20852</v>
      </c>
      <c r="I394">
        <f>VLOOKUP(C394,[1]EmployeeTerritories!$A$1:$B$50,1,FALSE)</f>
        <v>4</v>
      </c>
      <c r="J394">
        <f>VLOOKUP(H394,[1]!Territories,3,FALSE)</f>
        <v>1</v>
      </c>
      <c r="K394" t="str">
        <f>VLOOKUP(J394,[1]!Region,2,FALSE)</f>
        <v>Eastern</v>
      </c>
      <c r="L394">
        <f>VLOOKUP(A394,[1]Order_Details!$A$1:$F$2156,2,FALSE)</f>
        <v>69</v>
      </c>
      <c r="M394" t="str">
        <f>VLOOKUP(L394,[1]!Products,2,FALSE)</f>
        <v>Gudbrandsdalsost</v>
      </c>
      <c r="N394">
        <f>VLOOKUP(L394,[1]!Products,4,FALSE)</f>
        <v>4</v>
      </c>
      <c r="O394" s="6" t="str">
        <f>VLOOKUP(N394,[1]!Categories,2,FALSE)</f>
        <v>Dairy Products</v>
      </c>
      <c r="P394" s="6">
        <f>VLOOKUP(A394,[1]Order_Details!$A$1:$F$2156,3,FALSE)</f>
        <v>36</v>
      </c>
      <c r="Q394">
        <f>VLOOKUP(A394,[1]Order_Details!$A$1:$F$2156,4,FALSE)</f>
        <v>20</v>
      </c>
      <c r="R394">
        <f>VLOOKUP(A394,[1]Order_Details!$A$1:$F$2156,5,FALSE)</f>
        <v>0.25</v>
      </c>
      <c r="S394" s="6">
        <f>VLOOKUP(A394,[1]Order_Details!$A$1:$F$2156,6,FALSE)</f>
        <v>540</v>
      </c>
      <c r="T394" s="6">
        <f>VLOOKUP(A394,[1]!Orders,8,FALSE)</f>
        <v>23.55</v>
      </c>
    </row>
    <row r="395" spans="1:20" x14ac:dyDescent="0.3">
      <c r="A395" s="2">
        <v>10641</v>
      </c>
      <c r="B395" s="2" t="s">
        <v>12</v>
      </c>
      <c r="C395" s="2">
        <v>4</v>
      </c>
      <c r="D395" s="3">
        <v>35664</v>
      </c>
      <c r="E395" t="str">
        <f>VLOOKUP(C395,[1]Employees!$A$1:$O$10,4,FALSE)</f>
        <v>Peacock Margaret</v>
      </c>
      <c r="F395">
        <f>VLOOKUP(A395,[1]!Orders,7,FALSE)</f>
        <v>2</v>
      </c>
      <c r="G395" t="str">
        <f>VLOOKUP(F395,[1]!Shippers,2,FALSE)</f>
        <v>United Package</v>
      </c>
      <c r="H395" t="str">
        <f>VLOOKUP(C395,[1]EmployeeTerritories!$A$1:$B$50,2,FALSE)</f>
        <v>20852</v>
      </c>
      <c r="I395">
        <f>VLOOKUP(C395,[1]EmployeeTerritories!$A$1:$B$50,1,FALSE)</f>
        <v>4</v>
      </c>
      <c r="J395">
        <f>VLOOKUP(H395,[1]!Territories,3,FALSE)</f>
        <v>1</v>
      </c>
      <c r="K395" t="str">
        <f>VLOOKUP(J395,[1]!Region,2,FALSE)</f>
        <v>Eastern</v>
      </c>
      <c r="L395">
        <f>VLOOKUP(A395,[1]Order_Details!$A$1:$F$2156,2,FALSE)</f>
        <v>2</v>
      </c>
      <c r="M395" t="str">
        <f>VLOOKUP(L395,[1]!Products,2,FALSE)</f>
        <v>Chang</v>
      </c>
      <c r="N395">
        <f>VLOOKUP(L395,[1]!Products,4,FALSE)</f>
        <v>1</v>
      </c>
      <c r="O395" s="6" t="str">
        <f>VLOOKUP(N395,[1]!Categories,2,FALSE)</f>
        <v>Beverages</v>
      </c>
      <c r="P395" s="6">
        <f>VLOOKUP(A395,[1]Order_Details!$A$1:$F$2156,3,FALSE)</f>
        <v>19</v>
      </c>
      <c r="Q395">
        <f>VLOOKUP(A395,[1]Order_Details!$A$1:$F$2156,4,FALSE)</f>
        <v>50</v>
      </c>
      <c r="R395">
        <f>VLOOKUP(A395,[1]Order_Details!$A$1:$F$2156,5,FALSE)</f>
        <v>0</v>
      </c>
      <c r="S395" s="6">
        <f>VLOOKUP(A395,[1]Order_Details!$A$1:$F$2156,6,FALSE)</f>
        <v>950</v>
      </c>
      <c r="T395" s="6">
        <f>VLOOKUP(A395,[1]!Orders,8,FALSE)</f>
        <v>179.61</v>
      </c>
    </row>
    <row r="396" spans="1:20" x14ac:dyDescent="0.3">
      <c r="A396" s="2">
        <v>10642</v>
      </c>
      <c r="B396" s="2" t="s">
        <v>55</v>
      </c>
      <c r="C396" s="2">
        <v>7</v>
      </c>
      <c r="D396" s="3">
        <v>35664</v>
      </c>
      <c r="E396" t="str">
        <f>VLOOKUP(C396,[1]Employees!$A$1:$O$10,4,FALSE)</f>
        <v>King Robert</v>
      </c>
      <c r="F396">
        <f>VLOOKUP(A396,[1]!Orders,7,FALSE)</f>
        <v>3</v>
      </c>
      <c r="G396" t="str">
        <f>VLOOKUP(F396,[1]!Shippers,2,FALSE)</f>
        <v>Federal Shipping</v>
      </c>
      <c r="H396" t="str">
        <f>VLOOKUP(C396,[1]EmployeeTerritories!$A$1:$B$50,2,FALSE)</f>
        <v>60179</v>
      </c>
      <c r="I396">
        <f>VLOOKUP(C396,[1]EmployeeTerritories!$A$1:$B$50,1,FALSE)</f>
        <v>7</v>
      </c>
      <c r="J396">
        <f>VLOOKUP(H396,[1]!Territories,3,FALSE)</f>
        <v>2</v>
      </c>
      <c r="K396" t="str">
        <f>VLOOKUP(J396,[1]!Region,2,FALSE)</f>
        <v>Western</v>
      </c>
      <c r="L396">
        <f>VLOOKUP(A396,[1]Order_Details!$A$1:$F$2156,2,FALSE)</f>
        <v>21</v>
      </c>
      <c r="M396" t="str">
        <f>VLOOKUP(L396,[1]!Products,2,FALSE)</f>
        <v>Sir Rodney's Scones</v>
      </c>
      <c r="N396">
        <f>VLOOKUP(L396,[1]!Products,4,FALSE)</f>
        <v>3</v>
      </c>
      <c r="O396" s="6" t="str">
        <f>VLOOKUP(N396,[1]!Categories,2,FALSE)</f>
        <v>Confections</v>
      </c>
      <c r="P396" s="6">
        <f>VLOOKUP(A396,[1]Order_Details!$A$1:$F$2156,3,FALSE)</f>
        <v>10</v>
      </c>
      <c r="Q396">
        <f>VLOOKUP(A396,[1]Order_Details!$A$1:$F$2156,4,FALSE)</f>
        <v>30</v>
      </c>
      <c r="R396">
        <f>VLOOKUP(A396,[1]Order_Details!$A$1:$F$2156,5,FALSE)</f>
        <v>0.20000000298023224</v>
      </c>
      <c r="S396" s="6">
        <f>VLOOKUP(A396,[1]Order_Details!$A$1:$F$2156,6,FALSE)</f>
        <v>239.99999910593033</v>
      </c>
      <c r="T396" s="6">
        <f>VLOOKUP(A396,[1]!Orders,8,FALSE)</f>
        <v>41.89</v>
      </c>
    </row>
    <row r="397" spans="1:20" x14ac:dyDescent="0.3">
      <c r="A397" s="2">
        <v>10643</v>
      </c>
      <c r="B397" s="2" t="s">
        <v>89</v>
      </c>
      <c r="C397" s="2">
        <v>6</v>
      </c>
      <c r="D397" s="3">
        <v>35667</v>
      </c>
      <c r="E397" t="str">
        <f>VLOOKUP(C397,[1]Employees!$A$1:$O$10,4,FALSE)</f>
        <v>Suyama Michael</v>
      </c>
      <c r="F397">
        <f>VLOOKUP(A397,[1]!Orders,7,FALSE)</f>
        <v>1</v>
      </c>
      <c r="G397" t="str">
        <f>VLOOKUP(F397,[1]!Shippers,2,FALSE)</f>
        <v>Speedy Express</v>
      </c>
      <c r="H397" t="str">
        <f>VLOOKUP(C397,[1]EmployeeTerritories!$A$1:$B$50,2,FALSE)</f>
        <v>85014</v>
      </c>
      <c r="I397">
        <f>VLOOKUP(C397,[1]EmployeeTerritories!$A$1:$B$50,1,FALSE)</f>
        <v>6</v>
      </c>
      <c r="J397">
        <f>VLOOKUP(H397,[1]!Territories,3,FALSE)</f>
        <v>2</v>
      </c>
      <c r="K397" t="str">
        <f>VLOOKUP(J397,[1]!Region,2,FALSE)</f>
        <v>Western</v>
      </c>
      <c r="L397">
        <f>VLOOKUP(A397,[1]Order_Details!$A$1:$F$2156,2,FALSE)</f>
        <v>28</v>
      </c>
      <c r="M397" t="str">
        <f>VLOOKUP(L397,[1]!Products,2,FALSE)</f>
        <v>Rössle Sauerkraut</v>
      </c>
      <c r="N397">
        <f>VLOOKUP(L397,[1]!Products,4,FALSE)</f>
        <v>7</v>
      </c>
      <c r="O397" s="6" t="str">
        <f>VLOOKUP(N397,[1]!Categories,2,FALSE)</f>
        <v>Produce</v>
      </c>
      <c r="P397" s="6">
        <f>VLOOKUP(A397,[1]Order_Details!$A$1:$F$2156,3,FALSE)</f>
        <v>45.6</v>
      </c>
      <c r="Q397">
        <f>VLOOKUP(A397,[1]Order_Details!$A$1:$F$2156,4,FALSE)</f>
        <v>15</v>
      </c>
      <c r="R397">
        <f>VLOOKUP(A397,[1]Order_Details!$A$1:$F$2156,5,FALSE)</f>
        <v>0.25</v>
      </c>
      <c r="S397" s="6">
        <f>VLOOKUP(A397,[1]Order_Details!$A$1:$F$2156,6,FALSE)</f>
        <v>513</v>
      </c>
      <c r="T397" s="6">
        <f>VLOOKUP(A397,[1]!Orders,8,FALSE)</f>
        <v>29.46</v>
      </c>
    </row>
    <row r="398" spans="1:20" x14ac:dyDescent="0.3">
      <c r="A398" s="2">
        <v>10644</v>
      </c>
      <c r="B398" s="2" t="s">
        <v>11</v>
      </c>
      <c r="C398" s="2">
        <v>3</v>
      </c>
      <c r="D398" s="3">
        <v>35667</v>
      </c>
      <c r="E398" t="str">
        <f>VLOOKUP(C398,[1]Employees!$A$1:$O$10,4,FALSE)</f>
        <v>Leverling Janet</v>
      </c>
      <c r="F398">
        <f>VLOOKUP(A398,[1]!Orders,7,FALSE)</f>
        <v>2</v>
      </c>
      <c r="G398" t="str">
        <f>VLOOKUP(F398,[1]!Shippers,2,FALSE)</f>
        <v>United Package</v>
      </c>
      <c r="H398" t="str">
        <f>VLOOKUP(C398,[1]EmployeeTerritories!$A$1:$B$50,2,FALSE)</f>
        <v>30346</v>
      </c>
      <c r="I398">
        <f>VLOOKUP(C398,[1]EmployeeTerritories!$A$1:$B$50,1,FALSE)</f>
        <v>3</v>
      </c>
      <c r="J398">
        <f>VLOOKUP(H398,[1]!Territories,3,FALSE)</f>
        <v>4</v>
      </c>
      <c r="K398" t="str">
        <f>VLOOKUP(J398,[1]!Region,2,FALSE)</f>
        <v>Southern</v>
      </c>
      <c r="L398">
        <f>VLOOKUP(A398,[1]Order_Details!$A$1:$F$2156,2,FALSE)</f>
        <v>18</v>
      </c>
      <c r="M398" t="str">
        <f>VLOOKUP(L398,[1]!Products,2,FALSE)</f>
        <v>Carnarvon Tigers</v>
      </c>
      <c r="N398">
        <f>VLOOKUP(L398,[1]!Products,4,FALSE)</f>
        <v>8</v>
      </c>
      <c r="O398" s="6" t="str">
        <f>VLOOKUP(N398,[1]!Categories,2,FALSE)</f>
        <v>Seafood</v>
      </c>
      <c r="P398" s="6">
        <f>VLOOKUP(A398,[1]Order_Details!$A$1:$F$2156,3,FALSE)</f>
        <v>62.5</v>
      </c>
      <c r="Q398">
        <f>VLOOKUP(A398,[1]Order_Details!$A$1:$F$2156,4,FALSE)</f>
        <v>4</v>
      </c>
      <c r="R398">
        <f>VLOOKUP(A398,[1]Order_Details!$A$1:$F$2156,5,FALSE)</f>
        <v>0.10000000149011612</v>
      </c>
      <c r="S398" s="6">
        <f>VLOOKUP(A398,[1]Order_Details!$A$1:$F$2156,6,FALSE)</f>
        <v>224.99999962747097</v>
      </c>
      <c r="T398" s="6">
        <f>VLOOKUP(A398,[1]!Orders,8,FALSE)</f>
        <v>0.14000000000000001</v>
      </c>
    </row>
    <row r="399" spans="1:20" x14ac:dyDescent="0.3">
      <c r="A399" s="2">
        <v>10645</v>
      </c>
      <c r="B399" s="2" t="s">
        <v>6</v>
      </c>
      <c r="C399" s="2">
        <v>4</v>
      </c>
      <c r="D399" s="3">
        <v>35668</v>
      </c>
      <c r="E399" t="str">
        <f>VLOOKUP(C399,[1]Employees!$A$1:$O$10,4,FALSE)</f>
        <v>Peacock Margaret</v>
      </c>
      <c r="F399">
        <f>VLOOKUP(A399,[1]!Orders,7,FALSE)</f>
        <v>1</v>
      </c>
      <c r="G399" t="str">
        <f>VLOOKUP(F399,[1]!Shippers,2,FALSE)</f>
        <v>Speedy Express</v>
      </c>
      <c r="H399" t="str">
        <f>VLOOKUP(C399,[1]EmployeeTerritories!$A$1:$B$50,2,FALSE)</f>
        <v>20852</v>
      </c>
      <c r="I399">
        <f>VLOOKUP(C399,[1]EmployeeTerritories!$A$1:$B$50,1,FALSE)</f>
        <v>4</v>
      </c>
      <c r="J399">
        <f>VLOOKUP(H399,[1]!Territories,3,FALSE)</f>
        <v>1</v>
      </c>
      <c r="K399" t="str">
        <f>VLOOKUP(J399,[1]!Region,2,FALSE)</f>
        <v>Eastern</v>
      </c>
      <c r="L399">
        <f>VLOOKUP(A399,[1]Order_Details!$A$1:$F$2156,2,FALSE)</f>
        <v>18</v>
      </c>
      <c r="M399" t="str">
        <f>VLOOKUP(L399,[1]!Products,2,FALSE)</f>
        <v>Carnarvon Tigers</v>
      </c>
      <c r="N399">
        <f>VLOOKUP(L399,[1]!Products,4,FALSE)</f>
        <v>8</v>
      </c>
      <c r="O399" s="6" t="str">
        <f>VLOOKUP(N399,[1]!Categories,2,FALSE)</f>
        <v>Seafood</v>
      </c>
      <c r="P399" s="6">
        <f>VLOOKUP(A399,[1]Order_Details!$A$1:$F$2156,3,FALSE)</f>
        <v>62.5</v>
      </c>
      <c r="Q399">
        <f>VLOOKUP(A399,[1]Order_Details!$A$1:$F$2156,4,FALSE)</f>
        <v>20</v>
      </c>
      <c r="R399">
        <f>VLOOKUP(A399,[1]Order_Details!$A$1:$F$2156,5,FALSE)</f>
        <v>0</v>
      </c>
      <c r="S399" s="6">
        <f>VLOOKUP(A399,[1]Order_Details!$A$1:$F$2156,6,FALSE)</f>
        <v>1250</v>
      </c>
      <c r="T399" s="6">
        <f>VLOOKUP(A399,[1]!Orders,8,FALSE)</f>
        <v>12.41</v>
      </c>
    </row>
    <row r="400" spans="1:20" x14ac:dyDescent="0.3">
      <c r="A400" s="2">
        <v>10646</v>
      </c>
      <c r="B400" s="2" t="s">
        <v>38</v>
      </c>
      <c r="C400" s="2">
        <v>9</v>
      </c>
      <c r="D400" s="3">
        <v>35669</v>
      </c>
      <c r="E400" t="str">
        <f>VLOOKUP(C400,[1]Employees!$A$1:$O$10,4,FALSE)</f>
        <v>Dodsworth Anne</v>
      </c>
      <c r="F400">
        <f>VLOOKUP(A400,[1]!Orders,7,FALSE)</f>
        <v>3</v>
      </c>
      <c r="G400" t="str">
        <f>VLOOKUP(F400,[1]!Shippers,2,FALSE)</f>
        <v>Federal Shipping</v>
      </c>
      <c r="H400" t="str">
        <f>VLOOKUP(C400,[1]EmployeeTerritories!$A$1:$B$50,2,FALSE)</f>
        <v>03049</v>
      </c>
      <c r="I400">
        <f>VLOOKUP(C400,[1]EmployeeTerritories!$A$1:$B$50,1,FALSE)</f>
        <v>9</v>
      </c>
      <c r="J400">
        <f>VLOOKUP(H400,[1]!Territories,3,FALSE)</f>
        <v>3</v>
      </c>
      <c r="K400" t="str">
        <f>VLOOKUP(J400,[1]!Region,2,FALSE)</f>
        <v>Northern</v>
      </c>
      <c r="L400">
        <f>VLOOKUP(A400,[1]Order_Details!$A$1:$F$2156,2,FALSE)</f>
        <v>1</v>
      </c>
      <c r="M400" t="str">
        <f>VLOOKUP(L400,[1]!Products,2,FALSE)</f>
        <v>Chai</v>
      </c>
      <c r="N400">
        <f>VLOOKUP(L400,[1]!Products,4,FALSE)</f>
        <v>1</v>
      </c>
      <c r="O400" s="6" t="str">
        <f>VLOOKUP(N400,[1]!Categories,2,FALSE)</f>
        <v>Beverages</v>
      </c>
      <c r="P400" s="6">
        <f>VLOOKUP(A400,[1]Order_Details!$A$1:$F$2156,3,FALSE)</f>
        <v>18</v>
      </c>
      <c r="Q400">
        <f>VLOOKUP(A400,[1]Order_Details!$A$1:$F$2156,4,FALSE)</f>
        <v>15</v>
      </c>
      <c r="R400">
        <f>VLOOKUP(A400,[1]Order_Details!$A$1:$F$2156,5,FALSE)</f>
        <v>0.25</v>
      </c>
      <c r="S400" s="6">
        <f>VLOOKUP(A400,[1]Order_Details!$A$1:$F$2156,6,FALSE)</f>
        <v>202.5</v>
      </c>
      <c r="T400" s="6">
        <f>VLOOKUP(A400,[1]!Orders,8,FALSE)</f>
        <v>142.33000000000001</v>
      </c>
    </row>
    <row r="401" spans="1:20" x14ac:dyDescent="0.3">
      <c r="A401" s="2">
        <v>10647</v>
      </c>
      <c r="B401" s="2" t="s">
        <v>16</v>
      </c>
      <c r="C401" s="2">
        <v>4</v>
      </c>
      <c r="D401" s="3">
        <v>35669</v>
      </c>
      <c r="E401" t="str">
        <f>VLOOKUP(C401,[1]Employees!$A$1:$O$10,4,FALSE)</f>
        <v>Peacock Margaret</v>
      </c>
      <c r="F401">
        <f>VLOOKUP(A401,[1]!Orders,7,FALSE)</f>
        <v>2</v>
      </c>
      <c r="G401" t="str">
        <f>VLOOKUP(F401,[1]!Shippers,2,FALSE)</f>
        <v>United Package</v>
      </c>
      <c r="H401" t="str">
        <f>VLOOKUP(C401,[1]EmployeeTerritories!$A$1:$B$50,2,FALSE)</f>
        <v>20852</v>
      </c>
      <c r="I401">
        <f>VLOOKUP(C401,[1]EmployeeTerritories!$A$1:$B$50,1,FALSE)</f>
        <v>4</v>
      </c>
      <c r="J401">
        <f>VLOOKUP(H401,[1]!Territories,3,FALSE)</f>
        <v>1</v>
      </c>
      <c r="K401" t="str">
        <f>VLOOKUP(J401,[1]!Region,2,FALSE)</f>
        <v>Eastern</v>
      </c>
      <c r="L401">
        <f>VLOOKUP(A401,[1]Order_Details!$A$1:$F$2156,2,FALSE)</f>
        <v>19</v>
      </c>
      <c r="M401" t="str">
        <f>VLOOKUP(L401,[1]!Products,2,FALSE)</f>
        <v>Teatime Chocolate Biscuits</v>
      </c>
      <c r="N401">
        <f>VLOOKUP(L401,[1]!Products,4,FALSE)</f>
        <v>3</v>
      </c>
      <c r="O401" s="6" t="str">
        <f>VLOOKUP(N401,[1]!Categories,2,FALSE)</f>
        <v>Confections</v>
      </c>
      <c r="P401" s="6">
        <f>VLOOKUP(A401,[1]Order_Details!$A$1:$F$2156,3,FALSE)</f>
        <v>9.1999999999999993</v>
      </c>
      <c r="Q401">
        <f>VLOOKUP(A401,[1]Order_Details!$A$1:$F$2156,4,FALSE)</f>
        <v>30</v>
      </c>
      <c r="R401">
        <f>VLOOKUP(A401,[1]Order_Details!$A$1:$F$2156,5,FALSE)</f>
        <v>0</v>
      </c>
      <c r="S401" s="6">
        <f>VLOOKUP(A401,[1]Order_Details!$A$1:$F$2156,6,FALSE)</f>
        <v>276</v>
      </c>
      <c r="T401" s="6">
        <f>VLOOKUP(A401,[1]!Orders,8,FALSE)</f>
        <v>45.54</v>
      </c>
    </row>
    <row r="402" spans="1:20" x14ac:dyDescent="0.3">
      <c r="A402" s="2">
        <v>10648</v>
      </c>
      <c r="B402" s="2" t="s">
        <v>33</v>
      </c>
      <c r="C402" s="2">
        <v>5</v>
      </c>
      <c r="D402" s="3">
        <v>35670</v>
      </c>
      <c r="E402" t="str">
        <f>VLOOKUP(C402,[1]Employees!$A$1:$O$10,4,FALSE)</f>
        <v>Buchanan Steven</v>
      </c>
      <c r="F402">
        <f>VLOOKUP(A402,[1]!Orders,7,FALSE)</f>
        <v>2</v>
      </c>
      <c r="G402" t="str">
        <f>VLOOKUP(F402,[1]!Shippers,2,FALSE)</f>
        <v>United Package</v>
      </c>
      <c r="H402" t="str">
        <f>VLOOKUP(C402,[1]EmployeeTerritories!$A$1:$B$50,2,FALSE)</f>
        <v>02903</v>
      </c>
      <c r="I402">
        <f>VLOOKUP(C402,[1]EmployeeTerritories!$A$1:$B$50,1,FALSE)</f>
        <v>5</v>
      </c>
      <c r="J402">
        <f>VLOOKUP(H402,[1]!Territories,3,FALSE)</f>
        <v>1</v>
      </c>
      <c r="K402" t="str">
        <f>VLOOKUP(J402,[1]!Region,2,FALSE)</f>
        <v>Eastern</v>
      </c>
      <c r="L402">
        <f>VLOOKUP(A402,[1]Order_Details!$A$1:$F$2156,2,FALSE)</f>
        <v>22</v>
      </c>
      <c r="M402" t="str">
        <f>VLOOKUP(L402,[1]!Products,2,FALSE)</f>
        <v>Gustaf's Knäckebröd</v>
      </c>
      <c r="N402">
        <f>VLOOKUP(L402,[1]!Products,4,FALSE)</f>
        <v>5</v>
      </c>
      <c r="O402" s="6" t="str">
        <f>VLOOKUP(N402,[1]!Categories,2,FALSE)</f>
        <v>Grains/Cereals</v>
      </c>
      <c r="P402" s="6">
        <f>VLOOKUP(A402,[1]Order_Details!$A$1:$F$2156,3,FALSE)</f>
        <v>21</v>
      </c>
      <c r="Q402">
        <f>VLOOKUP(A402,[1]Order_Details!$A$1:$F$2156,4,FALSE)</f>
        <v>15</v>
      </c>
      <c r="R402">
        <f>VLOOKUP(A402,[1]Order_Details!$A$1:$F$2156,5,FALSE)</f>
        <v>0</v>
      </c>
      <c r="S402" s="6">
        <f>VLOOKUP(A402,[1]Order_Details!$A$1:$F$2156,6,FALSE)</f>
        <v>315</v>
      </c>
      <c r="T402" s="6">
        <f>VLOOKUP(A402,[1]!Orders,8,FALSE)</f>
        <v>14.25</v>
      </c>
    </row>
    <row r="403" spans="1:20" x14ac:dyDescent="0.3">
      <c r="A403" s="2">
        <v>10649</v>
      </c>
      <c r="B403" s="2" t="s">
        <v>84</v>
      </c>
      <c r="C403" s="2">
        <v>5</v>
      </c>
      <c r="D403" s="3">
        <v>35670</v>
      </c>
      <c r="E403" t="str">
        <f>VLOOKUP(C403,[1]Employees!$A$1:$O$10,4,FALSE)</f>
        <v>Buchanan Steven</v>
      </c>
      <c r="F403">
        <f>VLOOKUP(A403,[1]!Orders,7,FALSE)</f>
        <v>3</v>
      </c>
      <c r="G403" t="str">
        <f>VLOOKUP(F403,[1]!Shippers,2,FALSE)</f>
        <v>Federal Shipping</v>
      </c>
      <c r="H403" t="str">
        <f>VLOOKUP(C403,[1]EmployeeTerritories!$A$1:$B$50,2,FALSE)</f>
        <v>02903</v>
      </c>
      <c r="I403">
        <f>VLOOKUP(C403,[1]EmployeeTerritories!$A$1:$B$50,1,FALSE)</f>
        <v>5</v>
      </c>
      <c r="J403">
        <f>VLOOKUP(H403,[1]!Territories,3,FALSE)</f>
        <v>1</v>
      </c>
      <c r="K403" t="str">
        <f>VLOOKUP(J403,[1]!Region,2,FALSE)</f>
        <v>Eastern</v>
      </c>
      <c r="L403">
        <f>VLOOKUP(A403,[1]Order_Details!$A$1:$F$2156,2,FALSE)</f>
        <v>28</v>
      </c>
      <c r="M403" t="str">
        <f>VLOOKUP(L403,[1]!Products,2,FALSE)</f>
        <v>Rössle Sauerkraut</v>
      </c>
      <c r="N403">
        <f>VLOOKUP(L403,[1]!Products,4,FALSE)</f>
        <v>7</v>
      </c>
      <c r="O403" s="6" t="str">
        <f>VLOOKUP(N403,[1]!Categories,2,FALSE)</f>
        <v>Produce</v>
      </c>
      <c r="P403" s="6">
        <f>VLOOKUP(A403,[1]Order_Details!$A$1:$F$2156,3,FALSE)</f>
        <v>45.6</v>
      </c>
      <c r="Q403">
        <f>VLOOKUP(A403,[1]Order_Details!$A$1:$F$2156,4,FALSE)</f>
        <v>20</v>
      </c>
      <c r="R403">
        <f>VLOOKUP(A403,[1]Order_Details!$A$1:$F$2156,5,FALSE)</f>
        <v>0</v>
      </c>
      <c r="S403" s="6">
        <f>VLOOKUP(A403,[1]Order_Details!$A$1:$F$2156,6,FALSE)</f>
        <v>912</v>
      </c>
      <c r="T403" s="6">
        <f>VLOOKUP(A403,[1]!Orders,8,FALSE)</f>
        <v>6.2</v>
      </c>
    </row>
    <row r="404" spans="1:20" x14ac:dyDescent="0.3">
      <c r="A404" s="2">
        <v>10650</v>
      </c>
      <c r="B404" s="2" t="s">
        <v>56</v>
      </c>
      <c r="C404" s="2">
        <v>5</v>
      </c>
      <c r="D404" s="3">
        <v>35671</v>
      </c>
      <c r="E404" t="str">
        <f>VLOOKUP(C404,[1]Employees!$A$1:$O$10,4,FALSE)</f>
        <v>Buchanan Steven</v>
      </c>
      <c r="F404">
        <f>VLOOKUP(A404,[1]!Orders,7,FALSE)</f>
        <v>3</v>
      </c>
      <c r="G404" t="str">
        <f>VLOOKUP(F404,[1]!Shippers,2,FALSE)</f>
        <v>Federal Shipping</v>
      </c>
      <c r="H404" t="str">
        <f>VLOOKUP(C404,[1]EmployeeTerritories!$A$1:$B$50,2,FALSE)</f>
        <v>02903</v>
      </c>
      <c r="I404">
        <f>VLOOKUP(C404,[1]EmployeeTerritories!$A$1:$B$50,1,FALSE)</f>
        <v>5</v>
      </c>
      <c r="J404">
        <f>VLOOKUP(H404,[1]!Territories,3,FALSE)</f>
        <v>1</v>
      </c>
      <c r="K404" t="str">
        <f>VLOOKUP(J404,[1]!Region,2,FALSE)</f>
        <v>Eastern</v>
      </c>
      <c r="L404">
        <f>VLOOKUP(A404,[1]Order_Details!$A$1:$F$2156,2,FALSE)</f>
        <v>30</v>
      </c>
      <c r="M404" t="str">
        <f>VLOOKUP(L404,[1]!Products,2,FALSE)</f>
        <v>Nord-Ost Matjeshering</v>
      </c>
      <c r="N404">
        <f>VLOOKUP(L404,[1]!Products,4,FALSE)</f>
        <v>8</v>
      </c>
      <c r="O404" s="6" t="str">
        <f>VLOOKUP(N404,[1]!Categories,2,FALSE)</f>
        <v>Seafood</v>
      </c>
      <c r="P404" s="6">
        <f>VLOOKUP(A404,[1]Order_Details!$A$1:$F$2156,3,FALSE)</f>
        <v>25.89</v>
      </c>
      <c r="Q404">
        <f>VLOOKUP(A404,[1]Order_Details!$A$1:$F$2156,4,FALSE)</f>
        <v>30</v>
      </c>
      <c r="R404">
        <f>VLOOKUP(A404,[1]Order_Details!$A$1:$F$2156,5,FALSE)</f>
        <v>0</v>
      </c>
      <c r="S404" s="6">
        <f>VLOOKUP(A404,[1]Order_Details!$A$1:$F$2156,6,FALSE)</f>
        <v>776.7</v>
      </c>
      <c r="T404" s="6">
        <f>VLOOKUP(A404,[1]!Orders,8,FALSE)</f>
        <v>176.81</v>
      </c>
    </row>
    <row r="405" spans="1:20" x14ac:dyDescent="0.3">
      <c r="A405" s="2">
        <v>10651</v>
      </c>
      <c r="B405" s="2" t="s">
        <v>39</v>
      </c>
      <c r="C405" s="2">
        <v>8</v>
      </c>
      <c r="D405" s="3">
        <v>35674</v>
      </c>
      <c r="E405" t="str">
        <f>VLOOKUP(C405,[1]Employees!$A$1:$O$10,4,FALSE)</f>
        <v>Callahan Laura</v>
      </c>
      <c r="F405">
        <f>VLOOKUP(A405,[1]!Orders,7,FALSE)</f>
        <v>2</v>
      </c>
      <c r="G405" t="str">
        <f>VLOOKUP(F405,[1]!Shippers,2,FALSE)</f>
        <v>United Package</v>
      </c>
      <c r="H405" t="str">
        <f>VLOOKUP(C405,[1]EmployeeTerritories!$A$1:$B$50,2,FALSE)</f>
        <v>19428</v>
      </c>
      <c r="I405">
        <f>VLOOKUP(C405,[1]EmployeeTerritories!$A$1:$B$50,1,FALSE)</f>
        <v>8</v>
      </c>
      <c r="J405">
        <f>VLOOKUP(H405,[1]!Territories,3,FALSE)</f>
        <v>3</v>
      </c>
      <c r="K405" t="str">
        <f>VLOOKUP(J405,[1]!Region,2,FALSE)</f>
        <v>Northern</v>
      </c>
      <c r="L405">
        <f>VLOOKUP(A405,[1]Order_Details!$A$1:$F$2156,2,FALSE)</f>
        <v>19</v>
      </c>
      <c r="M405" t="str">
        <f>VLOOKUP(L405,[1]!Products,2,FALSE)</f>
        <v>Teatime Chocolate Biscuits</v>
      </c>
      <c r="N405">
        <f>VLOOKUP(L405,[1]!Products,4,FALSE)</f>
        <v>3</v>
      </c>
      <c r="O405" s="6" t="str">
        <f>VLOOKUP(N405,[1]!Categories,2,FALSE)</f>
        <v>Confections</v>
      </c>
      <c r="P405" s="6">
        <f>VLOOKUP(A405,[1]Order_Details!$A$1:$F$2156,3,FALSE)</f>
        <v>9.1999999999999993</v>
      </c>
      <c r="Q405">
        <f>VLOOKUP(A405,[1]Order_Details!$A$1:$F$2156,4,FALSE)</f>
        <v>12</v>
      </c>
      <c r="R405">
        <f>VLOOKUP(A405,[1]Order_Details!$A$1:$F$2156,5,FALSE)</f>
        <v>0.25</v>
      </c>
      <c r="S405" s="6">
        <f>VLOOKUP(A405,[1]Order_Details!$A$1:$F$2156,6,FALSE)</f>
        <v>82.8</v>
      </c>
      <c r="T405" s="6">
        <f>VLOOKUP(A405,[1]!Orders,8,FALSE)</f>
        <v>20.6</v>
      </c>
    </row>
    <row r="406" spans="1:20" x14ac:dyDescent="0.3">
      <c r="A406" s="2">
        <v>10652</v>
      </c>
      <c r="B406" s="2" t="s">
        <v>75</v>
      </c>
      <c r="C406" s="2">
        <v>4</v>
      </c>
      <c r="D406" s="3">
        <v>35674</v>
      </c>
      <c r="E406" t="str">
        <f>VLOOKUP(C406,[1]Employees!$A$1:$O$10,4,FALSE)</f>
        <v>Peacock Margaret</v>
      </c>
      <c r="F406">
        <f>VLOOKUP(A406,[1]!Orders,7,FALSE)</f>
        <v>2</v>
      </c>
      <c r="G406" t="str">
        <f>VLOOKUP(F406,[1]!Shippers,2,FALSE)</f>
        <v>United Package</v>
      </c>
      <c r="H406" t="str">
        <f>VLOOKUP(C406,[1]EmployeeTerritories!$A$1:$B$50,2,FALSE)</f>
        <v>20852</v>
      </c>
      <c r="I406">
        <f>VLOOKUP(C406,[1]EmployeeTerritories!$A$1:$B$50,1,FALSE)</f>
        <v>4</v>
      </c>
      <c r="J406">
        <f>VLOOKUP(H406,[1]!Territories,3,FALSE)</f>
        <v>1</v>
      </c>
      <c r="K406" t="str">
        <f>VLOOKUP(J406,[1]!Region,2,FALSE)</f>
        <v>Eastern</v>
      </c>
      <c r="L406">
        <f>VLOOKUP(A406,[1]Order_Details!$A$1:$F$2156,2,FALSE)</f>
        <v>30</v>
      </c>
      <c r="M406" t="str">
        <f>VLOOKUP(L406,[1]!Products,2,FALSE)</f>
        <v>Nord-Ost Matjeshering</v>
      </c>
      <c r="N406">
        <f>VLOOKUP(L406,[1]!Products,4,FALSE)</f>
        <v>8</v>
      </c>
      <c r="O406" s="6" t="str">
        <f>VLOOKUP(N406,[1]!Categories,2,FALSE)</f>
        <v>Seafood</v>
      </c>
      <c r="P406" s="6">
        <f>VLOOKUP(A406,[1]Order_Details!$A$1:$F$2156,3,FALSE)</f>
        <v>25.89</v>
      </c>
      <c r="Q406">
        <f>VLOOKUP(A406,[1]Order_Details!$A$1:$F$2156,4,FALSE)</f>
        <v>2</v>
      </c>
      <c r="R406">
        <f>VLOOKUP(A406,[1]Order_Details!$A$1:$F$2156,5,FALSE)</f>
        <v>0.25</v>
      </c>
      <c r="S406" s="6">
        <f>VLOOKUP(A406,[1]Order_Details!$A$1:$F$2156,6,FALSE)</f>
        <v>38.835000000000001</v>
      </c>
      <c r="T406" s="6">
        <f>VLOOKUP(A406,[1]!Orders,8,FALSE)</f>
        <v>7.14</v>
      </c>
    </row>
    <row r="407" spans="1:20" x14ac:dyDescent="0.3">
      <c r="A407" s="2">
        <v>10653</v>
      </c>
      <c r="B407" s="2" t="s">
        <v>21</v>
      </c>
      <c r="C407" s="2">
        <v>1</v>
      </c>
      <c r="D407" s="3">
        <v>35675</v>
      </c>
      <c r="E407" t="str">
        <f>VLOOKUP(C407,[1]Employees!$A$1:$O$10,4,FALSE)</f>
        <v>Davolio Nancy</v>
      </c>
      <c r="F407">
        <f>VLOOKUP(A407,[1]!Orders,7,FALSE)</f>
        <v>1</v>
      </c>
      <c r="G407" t="str">
        <f>VLOOKUP(F407,[1]!Shippers,2,FALSE)</f>
        <v>Speedy Express</v>
      </c>
      <c r="H407" t="str">
        <f>VLOOKUP(C407,[1]EmployeeTerritories!$A$1:$B$50,2,FALSE)</f>
        <v>06897</v>
      </c>
      <c r="I407">
        <f>VLOOKUP(C407,[1]EmployeeTerritories!$A$1:$B$50,1,FALSE)</f>
        <v>1</v>
      </c>
      <c r="J407">
        <f>VLOOKUP(H407,[1]!Territories,3,FALSE)</f>
        <v>1</v>
      </c>
      <c r="K407" t="str">
        <f>VLOOKUP(J407,[1]!Region,2,FALSE)</f>
        <v>Eastern</v>
      </c>
      <c r="L407">
        <f>VLOOKUP(A407,[1]Order_Details!$A$1:$F$2156,2,FALSE)</f>
        <v>16</v>
      </c>
      <c r="M407" t="str">
        <f>VLOOKUP(L407,[1]!Products,2,FALSE)</f>
        <v>Pavlova</v>
      </c>
      <c r="N407">
        <f>VLOOKUP(L407,[1]!Products,4,FALSE)</f>
        <v>3</v>
      </c>
      <c r="O407" s="6" t="str">
        <f>VLOOKUP(N407,[1]!Categories,2,FALSE)</f>
        <v>Confections</v>
      </c>
      <c r="P407" s="6">
        <f>VLOOKUP(A407,[1]Order_Details!$A$1:$F$2156,3,FALSE)</f>
        <v>17.45</v>
      </c>
      <c r="Q407">
        <f>VLOOKUP(A407,[1]Order_Details!$A$1:$F$2156,4,FALSE)</f>
        <v>30</v>
      </c>
      <c r="R407">
        <f>VLOOKUP(A407,[1]Order_Details!$A$1:$F$2156,5,FALSE)</f>
        <v>0.10000000149011612</v>
      </c>
      <c r="S407" s="6">
        <f>VLOOKUP(A407,[1]Order_Details!$A$1:$F$2156,6,FALSE)</f>
        <v>471.14999921992421</v>
      </c>
      <c r="T407" s="6">
        <f>VLOOKUP(A407,[1]!Orders,8,FALSE)</f>
        <v>93.25</v>
      </c>
    </row>
    <row r="408" spans="1:20" x14ac:dyDescent="0.3">
      <c r="A408" s="2">
        <v>10654</v>
      </c>
      <c r="B408" s="2" t="s">
        <v>29</v>
      </c>
      <c r="C408" s="2">
        <v>5</v>
      </c>
      <c r="D408" s="3">
        <v>35675</v>
      </c>
      <c r="E408" t="str">
        <f>VLOOKUP(C408,[1]Employees!$A$1:$O$10,4,FALSE)</f>
        <v>Buchanan Steven</v>
      </c>
      <c r="F408">
        <f>VLOOKUP(A408,[1]!Orders,7,FALSE)</f>
        <v>1</v>
      </c>
      <c r="G408" t="str">
        <f>VLOOKUP(F408,[1]!Shippers,2,FALSE)</f>
        <v>Speedy Express</v>
      </c>
      <c r="H408" t="str">
        <f>VLOOKUP(C408,[1]EmployeeTerritories!$A$1:$B$50,2,FALSE)</f>
        <v>02903</v>
      </c>
      <c r="I408">
        <f>VLOOKUP(C408,[1]EmployeeTerritories!$A$1:$B$50,1,FALSE)</f>
        <v>5</v>
      </c>
      <c r="J408">
        <f>VLOOKUP(H408,[1]!Territories,3,FALSE)</f>
        <v>1</v>
      </c>
      <c r="K408" t="str">
        <f>VLOOKUP(J408,[1]!Region,2,FALSE)</f>
        <v>Eastern</v>
      </c>
      <c r="L408">
        <f>VLOOKUP(A408,[1]Order_Details!$A$1:$F$2156,2,FALSE)</f>
        <v>4</v>
      </c>
      <c r="M408" t="str">
        <f>VLOOKUP(L408,[1]!Products,2,FALSE)</f>
        <v>Chef Anton's Cajun Seasoning</v>
      </c>
      <c r="N408">
        <f>VLOOKUP(L408,[1]!Products,4,FALSE)</f>
        <v>2</v>
      </c>
      <c r="O408" s="6" t="str">
        <f>VLOOKUP(N408,[1]!Categories,2,FALSE)</f>
        <v>Condiments</v>
      </c>
      <c r="P408" s="6">
        <f>VLOOKUP(A408,[1]Order_Details!$A$1:$F$2156,3,FALSE)</f>
        <v>22</v>
      </c>
      <c r="Q408">
        <f>VLOOKUP(A408,[1]Order_Details!$A$1:$F$2156,4,FALSE)</f>
        <v>12</v>
      </c>
      <c r="R408">
        <f>VLOOKUP(A408,[1]Order_Details!$A$1:$F$2156,5,FALSE)</f>
        <v>0.10000000149011612</v>
      </c>
      <c r="S408" s="6">
        <f>VLOOKUP(A408,[1]Order_Details!$A$1:$F$2156,6,FALSE)</f>
        <v>237.59999960660934</v>
      </c>
      <c r="T408" s="6">
        <f>VLOOKUP(A408,[1]!Orders,8,FALSE)</f>
        <v>55.26</v>
      </c>
    </row>
    <row r="409" spans="1:20" x14ac:dyDescent="0.3">
      <c r="A409" s="2">
        <v>10655</v>
      </c>
      <c r="B409" s="2" t="s">
        <v>34</v>
      </c>
      <c r="C409" s="2">
        <v>1</v>
      </c>
      <c r="D409" s="3">
        <v>35676</v>
      </c>
      <c r="E409" t="str">
        <f>VLOOKUP(C409,[1]Employees!$A$1:$O$10,4,FALSE)</f>
        <v>Davolio Nancy</v>
      </c>
      <c r="F409">
        <f>VLOOKUP(A409,[1]!Orders,7,FALSE)</f>
        <v>2</v>
      </c>
      <c r="G409" t="str">
        <f>VLOOKUP(F409,[1]!Shippers,2,FALSE)</f>
        <v>United Package</v>
      </c>
      <c r="H409" t="str">
        <f>VLOOKUP(C409,[1]EmployeeTerritories!$A$1:$B$50,2,FALSE)</f>
        <v>06897</v>
      </c>
      <c r="I409">
        <f>VLOOKUP(C409,[1]EmployeeTerritories!$A$1:$B$50,1,FALSE)</f>
        <v>1</v>
      </c>
      <c r="J409">
        <f>VLOOKUP(H409,[1]!Territories,3,FALSE)</f>
        <v>1</v>
      </c>
      <c r="K409" t="str">
        <f>VLOOKUP(J409,[1]!Region,2,FALSE)</f>
        <v>Eastern</v>
      </c>
      <c r="L409">
        <f>VLOOKUP(A409,[1]Order_Details!$A$1:$F$2156,2,FALSE)</f>
        <v>41</v>
      </c>
      <c r="M409" t="str">
        <f>VLOOKUP(L409,[1]!Products,2,FALSE)</f>
        <v>Jack's New England Clam Chowder</v>
      </c>
      <c r="N409">
        <f>VLOOKUP(L409,[1]!Products,4,FALSE)</f>
        <v>8</v>
      </c>
      <c r="O409" s="6" t="str">
        <f>VLOOKUP(N409,[1]!Categories,2,FALSE)</f>
        <v>Seafood</v>
      </c>
      <c r="P409" s="6">
        <f>VLOOKUP(A409,[1]Order_Details!$A$1:$F$2156,3,FALSE)</f>
        <v>9.65</v>
      </c>
      <c r="Q409">
        <f>VLOOKUP(A409,[1]Order_Details!$A$1:$F$2156,4,FALSE)</f>
        <v>20</v>
      </c>
      <c r="R409">
        <f>VLOOKUP(A409,[1]Order_Details!$A$1:$F$2156,5,FALSE)</f>
        <v>0.20000000298023224</v>
      </c>
      <c r="S409" s="6">
        <f>VLOOKUP(A409,[1]Order_Details!$A$1:$F$2156,6,FALSE)</f>
        <v>154.39999942481518</v>
      </c>
      <c r="T409" s="6">
        <f>VLOOKUP(A409,[1]!Orders,8,FALSE)</f>
        <v>4.41</v>
      </c>
    </row>
    <row r="410" spans="1:20" x14ac:dyDescent="0.3">
      <c r="A410" s="2">
        <v>10656</v>
      </c>
      <c r="B410" s="2" t="s">
        <v>83</v>
      </c>
      <c r="C410" s="2">
        <v>6</v>
      </c>
      <c r="D410" s="3">
        <v>35677</v>
      </c>
      <c r="E410" t="str">
        <f>VLOOKUP(C410,[1]Employees!$A$1:$O$10,4,FALSE)</f>
        <v>Suyama Michael</v>
      </c>
      <c r="F410">
        <f>VLOOKUP(A410,[1]!Orders,7,FALSE)</f>
        <v>1</v>
      </c>
      <c r="G410" t="str">
        <f>VLOOKUP(F410,[1]!Shippers,2,FALSE)</f>
        <v>Speedy Express</v>
      </c>
      <c r="H410" t="str">
        <f>VLOOKUP(C410,[1]EmployeeTerritories!$A$1:$B$50,2,FALSE)</f>
        <v>85014</v>
      </c>
      <c r="I410">
        <f>VLOOKUP(C410,[1]EmployeeTerritories!$A$1:$B$50,1,FALSE)</f>
        <v>6</v>
      </c>
      <c r="J410">
        <f>VLOOKUP(H410,[1]!Territories,3,FALSE)</f>
        <v>2</v>
      </c>
      <c r="K410" t="str">
        <f>VLOOKUP(J410,[1]!Region,2,FALSE)</f>
        <v>Western</v>
      </c>
      <c r="L410">
        <f>VLOOKUP(A410,[1]Order_Details!$A$1:$F$2156,2,FALSE)</f>
        <v>14</v>
      </c>
      <c r="M410" t="str">
        <f>VLOOKUP(L410,[1]!Products,2,FALSE)</f>
        <v>Tofu</v>
      </c>
      <c r="N410">
        <f>VLOOKUP(L410,[1]!Products,4,FALSE)</f>
        <v>7</v>
      </c>
      <c r="O410" s="6" t="str">
        <f>VLOOKUP(N410,[1]!Categories,2,FALSE)</f>
        <v>Produce</v>
      </c>
      <c r="P410" s="6">
        <f>VLOOKUP(A410,[1]Order_Details!$A$1:$F$2156,3,FALSE)</f>
        <v>23.25</v>
      </c>
      <c r="Q410">
        <f>VLOOKUP(A410,[1]Order_Details!$A$1:$F$2156,4,FALSE)</f>
        <v>3</v>
      </c>
      <c r="R410">
        <f>VLOOKUP(A410,[1]Order_Details!$A$1:$F$2156,5,FALSE)</f>
        <v>0.10000000149011612</v>
      </c>
      <c r="S410" s="6">
        <f>VLOOKUP(A410,[1]Order_Details!$A$1:$F$2156,6,FALSE)</f>
        <v>62.774999896064401</v>
      </c>
      <c r="T410" s="6">
        <f>VLOOKUP(A410,[1]!Orders,8,FALSE)</f>
        <v>57.15</v>
      </c>
    </row>
    <row r="411" spans="1:20" x14ac:dyDescent="0.3">
      <c r="A411" s="2">
        <v>10657</v>
      </c>
      <c r="B411" s="2" t="s">
        <v>49</v>
      </c>
      <c r="C411" s="2">
        <v>2</v>
      </c>
      <c r="D411" s="3">
        <v>35677</v>
      </c>
      <c r="E411" t="str">
        <f>VLOOKUP(C411,[1]Employees!$A$1:$O$10,4,FALSE)</f>
        <v>Fuller Andrew</v>
      </c>
      <c r="F411">
        <f>VLOOKUP(A411,[1]!Orders,7,FALSE)</f>
        <v>2</v>
      </c>
      <c r="G411" t="str">
        <f>VLOOKUP(F411,[1]!Shippers,2,FALSE)</f>
        <v>United Package</v>
      </c>
      <c r="H411" t="str">
        <f>VLOOKUP(C411,[1]EmployeeTerritories!$A$1:$B$50,2,FALSE)</f>
        <v>01581</v>
      </c>
      <c r="I411">
        <f>VLOOKUP(C411,[1]EmployeeTerritories!$A$1:$B$50,1,FALSE)</f>
        <v>2</v>
      </c>
      <c r="J411">
        <f>VLOOKUP(H411,[1]!Territories,3,FALSE)</f>
        <v>1</v>
      </c>
      <c r="K411" t="str">
        <f>VLOOKUP(J411,[1]!Region,2,FALSE)</f>
        <v>Eastern</v>
      </c>
      <c r="L411">
        <f>VLOOKUP(A411,[1]Order_Details!$A$1:$F$2156,2,FALSE)</f>
        <v>15</v>
      </c>
      <c r="M411" t="str">
        <f>VLOOKUP(L411,[1]!Products,2,FALSE)</f>
        <v>Genen Shouyu</v>
      </c>
      <c r="N411">
        <f>VLOOKUP(L411,[1]!Products,4,FALSE)</f>
        <v>2</v>
      </c>
      <c r="O411" s="6" t="str">
        <f>VLOOKUP(N411,[1]!Categories,2,FALSE)</f>
        <v>Condiments</v>
      </c>
      <c r="P411" s="6">
        <f>VLOOKUP(A411,[1]Order_Details!$A$1:$F$2156,3,FALSE)</f>
        <v>15.5</v>
      </c>
      <c r="Q411">
        <f>VLOOKUP(A411,[1]Order_Details!$A$1:$F$2156,4,FALSE)</f>
        <v>50</v>
      </c>
      <c r="R411">
        <f>VLOOKUP(A411,[1]Order_Details!$A$1:$F$2156,5,FALSE)</f>
        <v>0</v>
      </c>
      <c r="S411" s="6">
        <f>VLOOKUP(A411,[1]Order_Details!$A$1:$F$2156,6,FALSE)</f>
        <v>775</v>
      </c>
      <c r="T411" s="6">
        <f>VLOOKUP(A411,[1]!Orders,8,FALSE)</f>
        <v>352.69</v>
      </c>
    </row>
    <row r="412" spans="1:20" x14ac:dyDescent="0.3">
      <c r="A412" s="2">
        <v>10658</v>
      </c>
      <c r="B412" s="2" t="s">
        <v>25</v>
      </c>
      <c r="C412" s="2">
        <v>4</v>
      </c>
      <c r="D412" s="3">
        <v>35678</v>
      </c>
      <c r="E412" t="str">
        <f>VLOOKUP(C412,[1]Employees!$A$1:$O$10,4,FALSE)</f>
        <v>Peacock Margaret</v>
      </c>
      <c r="F412">
        <f>VLOOKUP(A412,[1]!Orders,7,FALSE)</f>
        <v>1</v>
      </c>
      <c r="G412" t="str">
        <f>VLOOKUP(F412,[1]!Shippers,2,FALSE)</f>
        <v>Speedy Express</v>
      </c>
      <c r="H412" t="str">
        <f>VLOOKUP(C412,[1]EmployeeTerritories!$A$1:$B$50,2,FALSE)</f>
        <v>20852</v>
      </c>
      <c r="I412">
        <f>VLOOKUP(C412,[1]EmployeeTerritories!$A$1:$B$50,1,FALSE)</f>
        <v>4</v>
      </c>
      <c r="J412">
        <f>VLOOKUP(H412,[1]!Territories,3,FALSE)</f>
        <v>1</v>
      </c>
      <c r="K412" t="str">
        <f>VLOOKUP(J412,[1]!Region,2,FALSE)</f>
        <v>Eastern</v>
      </c>
      <c r="L412">
        <f>VLOOKUP(A412,[1]Order_Details!$A$1:$F$2156,2,FALSE)</f>
        <v>21</v>
      </c>
      <c r="M412" t="str">
        <f>VLOOKUP(L412,[1]!Products,2,FALSE)</f>
        <v>Sir Rodney's Scones</v>
      </c>
      <c r="N412">
        <f>VLOOKUP(L412,[1]!Products,4,FALSE)</f>
        <v>3</v>
      </c>
      <c r="O412" s="6" t="str">
        <f>VLOOKUP(N412,[1]!Categories,2,FALSE)</f>
        <v>Confections</v>
      </c>
      <c r="P412" s="6">
        <f>VLOOKUP(A412,[1]Order_Details!$A$1:$F$2156,3,FALSE)</f>
        <v>10</v>
      </c>
      <c r="Q412">
        <f>VLOOKUP(A412,[1]Order_Details!$A$1:$F$2156,4,FALSE)</f>
        <v>60</v>
      </c>
      <c r="R412">
        <f>VLOOKUP(A412,[1]Order_Details!$A$1:$F$2156,5,FALSE)</f>
        <v>0</v>
      </c>
      <c r="S412" s="6">
        <f>VLOOKUP(A412,[1]Order_Details!$A$1:$F$2156,6,FALSE)</f>
        <v>600</v>
      </c>
      <c r="T412" s="6">
        <f>VLOOKUP(A412,[1]!Orders,8,FALSE)</f>
        <v>364.15</v>
      </c>
    </row>
    <row r="413" spans="1:20" x14ac:dyDescent="0.3">
      <c r="A413" s="2">
        <v>10659</v>
      </c>
      <c r="B413" s="2" t="s">
        <v>66</v>
      </c>
      <c r="C413" s="2">
        <v>7</v>
      </c>
      <c r="D413" s="3">
        <v>35678</v>
      </c>
      <c r="E413" t="str">
        <f>VLOOKUP(C413,[1]Employees!$A$1:$O$10,4,FALSE)</f>
        <v>King Robert</v>
      </c>
      <c r="F413">
        <f>VLOOKUP(A413,[1]!Orders,7,FALSE)</f>
        <v>2</v>
      </c>
      <c r="G413" t="str">
        <f>VLOOKUP(F413,[1]!Shippers,2,FALSE)</f>
        <v>United Package</v>
      </c>
      <c r="H413" t="str">
        <f>VLOOKUP(C413,[1]EmployeeTerritories!$A$1:$B$50,2,FALSE)</f>
        <v>60179</v>
      </c>
      <c r="I413">
        <f>VLOOKUP(C413,[1]EmployeeTerritories!$A$1:$B$50,1,FALSE)</f>
        <v>7</v>
      </c>
      <c r="J413">
        <f>VLOOKUP(H413,[1]!Territories,3,FALSE)</f>
        <v>2</v>
      </c>
      <c r="K413" t="str">
        <f>VLOOKUP(J413,[1]!Region,2,FALSE)</f>
        <v>Western</v>
      </c>
      <c r="L413">
        <f>VLOOKUP(A413,[1]Order_Details!$A$1:$F$2156,2,FALSE)</f>
        <v>31</v>
      </c>
      <c r="M413" t="str">
        <f>VLOOKUP(L413,[1]!Products,2,FALSE)</f>
        <v>Gorgonzola Telino</v>
      </c>
      <c r="N413">
        <f>VLOOKUP(L413,[1]!Products,4,FALSE)</f>
        <v>4</v>
      </c>
      <c r="O413" s="6" t="str">
        <f>VLOOKUP(N413,[1]!Categories,2,FALSE)</f>
        <v>Dairy Products</v>
      </c>
      <c r="P413" s="6">
        <f>VLOOKUP(A413,[1]Order_Details!$A$1:$F$2156,3,FALSE)</f>
        <v>12.5</v>
      </c>
      <c r="Q413">
        <f>VLOOKUP(A413,[1]Order_Details!$A$1:$F$2156,4,FALSE)</f>
        <v>20</v>
      </c>
      <c r="R413">
        <f>VLOOKUP(A413,[1]Order_Details!$A$1:$F$2156,5,FALSE)</f>
        <v>5.000000074505806E-2</v>
      </c>
      <c r="S413" s="6">
        <f>VLOOKUP(A413,[1]Order_Details!$A$1:$F$2156,6,FALSE)</f>
        <v>237.49999981373549</v>
      </c>
      <c r="T413" s="6">
        <f>VLOOKUP(A413,[1]!Orders,8,FALSE)</f>
        <v>105.81</v>
      </c>
    </row>
    <row r="414" spans="1:20" x14ac:dyDescent="0.3">
      <c r="A414" s="2">
        <v>10660</v>
      </c>
      <c r="B414" s="2" t="s">
        <v>68</v>
      </c>
      <c r="C414" s="2">
        <v>8</v>
      </c>
      <c r="D414" s="3">
        <v>35681</v>
      </c>
      <c r="E414" t="str">
        <f>VLOOKUP(C414,[1]Employees!$A$1:$O$10,4,FALSE)</f>
        <v>Callahan Laura</v>
      </c>
      <c r="F414">
        <f>VLOOKUP(A414,[1]!Orders,7,FALSE)</f>
        <v>1</v>
      </c>
      <c r="G414" t="str">
        <f>VLOOKUP(F414,[1]!Shippers,2,FALSE)</f>
        <v>Speedy Express</v>
      </c>
      <c r="H414" t="str">
        <f>VLOOKUP(C414,[1]EmployeeTerritories!$A$1:$B$50,2,FALSE)</f>
        <v>19428</v>
      </c>
      <c r="I414">
        <f>VLOOKUP(C414,[1]EmployeeTerritories!$A$1:$B$50,1,FALSE)</f>
        <v>8</v>
      </c>
      <c r="J414">
        <f>VLOOKUP(H414,[1]!Territories,3,FALSE)</f>
        <v>3</v>
      </c>
      <c r="K414" t="str">
        <f>VLOOKUP(J414,[1]!Region,2,FALSE)</f>
        <v>Northern</v>
      </c>
      <c r="L414">
        <f>VLOOKUP(A414,[1]Order_Details!$A$1:$F$2156,2,FALSE)</f>
        <v>20</v>
      </c>
      <c r="M414" t="str">
        <f>VLOOKUP(L414,[1]!Products,2,FALSE)</f>
        <v>Sir Rodney's Marmalade</v>
      </c>
      <c r="N414">
        <f>VLOOKUP(L414,[1]!Products,4,FALSE)</f>
        <v>3</v>
      </c>
      <c r="O414" s="6" t="str">
        <f>VLOOKUP(N414,[1]!Categories,2,FALSE)</f>
        <v>Confections</v>
      </c>
      <c r="P414" s="6">
        <f>VLOOKUP(A414,[1]Order_Details!$A$1:$F$2156,3,FALSE)</f>
        <v>81</v>
      </c>
      <c r="Q414">
        <f>VLOOKUP(A414,[1]Order_Details!$A$1:$F$2156,4,FALSE)</f>
        <v>21</v>
      </c>
      <c r="R414">
        <f>VLOOKUP(A414,[1]Order_Details!$A$1:$F$2156,5,FALSE)</f>
        <v>0</v>
      </c>
      <c r="S414" s="6">
        <f>VLOOKUP(A414,[1]Order_Details!$A$1:$F$2156,6,FALSE)</f>
        <v>1701</v>
      </c>
      <c r="T414" s="6">
        <f>VLOOKUP(A414,[1]!Orders,8,FALSE)</f>
        <v>111.29</v>
      </c>
    </row>
    <row r="415" spans="1:20" x14ac:dyDescent="0.3">
      <c r="A415" s="2">
        <v>10661</v>
      </c>
      <c r="B415" s="2" t="s">
        <v>38</v>
      </c>
      <c r="C415" s="2">
        <v>7</v>
      </c>
      <c r="D415" s="3">
        <v>35682</v>
      </c>
      <c r="E415" t="str">
        <f>VLOOKUP(C415,[1]Employees!$A$1:$O$10,4,FALSE)</f>
        <v>King Robert</v>
      </c>
      <c r="F415">
        <f>VLOOKUP(A415,[1]!Orders,7,FALSE)</f>
        <v>3</v>
      </c>
      <c r="G415" t="str">
        <f>VLOOKUP(F415,[1]!Shippers,2,FALSE)</f>
        <v>Federal Shipping</v>
      </c>
      <c r="H415" t="str">
        <f>VLOOKUP(C415,[1]EmployeeTerritories!$A$1:$B$50,2,FALSE)</f>
        <v>60179</v>
      </c>
      <c r="I415">
        <f>VLOOKUP(C415,[1]EmployeeTerritories!$A$1:$B$50,1,FALSE)</f>
        <v>7</v>
      </c>
      <c r="J415">
        <f>VLOOKUP(H415,[1]!Territories,3,FALSE)</f>
        <v>2</v>
      </c>
      <c r="K415" t="str">
        <f>VLOOKUP(J415,[1]!Region,2,FALSE)</f>
        <v>Western</v>
      </c>
      <c r="L415">
        <f>VLOOKUP(A415,[1]Order_Details!$A$1:$F$2156,2,FALSE)</f>
        <v>39</v>
      </c>
      <c r="M415" t="str">
        <f>VLOOKUP(L415,[1]!Products,2,FALSE)</f>
        <v>Chartreuse verte</v>
      </c>
      <c r="N415">
        <f>VLOOKUP(L415,[1]!Products,4,FALSE)</f>
        <v>1</v>
      </c>
      <c r="O415" s="6" t="str">
        <f>VLOOKUP(N415,[1]!Categories,2,FALSE)</f>
        <v>Beverages</v>
      </c>
      <c r="P415" s="6">
        <f>VLOOKUP(A415,[1]Order_Details!$A$1:$F$2156,3,FALSE)</f>
        <v>18</v>
      </c>
      <c r="Q415">
        <f>VLOOKUP(A415,[1]Order_Details!$A$1:$F$2156,4,FALSE)</f>
        <v>3</v>
      </c>
      <c r="R415">
        <f>VLOOKUP(A415,[1]Order_Details!$A$1:$F$2156,5,FALSE)</f>
        <v>0.20000000298023224</v>
      </c>
      <c r="S415" s="6">
        <f>VLOOKUP(A415,[1]Order_Details!$A$1:$F$2156,6,FALSE)</f>
        <v>43.199999839067459</v>
      </c>
      <c r="T415" s="6">
        <f>VLOOKUP(A415,[1]!Orders,8,FALSE)</f>
        <v>17.55</v>
      </c>
    </row>
    <row r="416" spans="1:20" x14ac:dyDescent="0.3">
      <c r="A416" s="2">
        <v>10662</v>
      </c>
      <c r="B416" s="2" t="s">
        <v>42</v>
      </c>
      <c r="C416" s="2">
        <v>3</v>
      </c>
      <c r="D416" s="3">
        <v>35682</v>
      </c>
      <c r="E416" t="str">
        <f>VLOOKUP(C416,[1]Employees!$A$1:$O$10,4,FALSE)</f>
        <v>Leverling Janet</v>
      </c>
      <c r="F416">
        <f>VLOOKUP(A416,[1]!Orders,7,FALSE)</f>
        <v>2</v>
      </c>
      <c r="G416" t="str">
        <f>VLOOKUP(F416,[1]!Shippers,2,FALSE)</f>
        <v>United Package</v>
      </c>
      <c r="H416" t="str">
        <f>VLOOKUP(C416,[1]EmployeeTerritories!$A$1:$B$50,2,FALSE)</f>
        <v>30346</v>
      </c>
      <c r="I416">
        <f>VLOOKUP(C416,[1]EmployeeTerritories!$A$1:$B$50,1,FALSE)</f>
        <v>3</v>
      </c>
      <c r="J416">
        <f>VLOOKUP(H416,[1]!Territories,3,FALSE)</f>
        <v>4</v>
      </c>
      <c r="K416" t="str">
        <f>VLOOKUP(J416,[1]!Region,2,FALSE)</f>
        <v>Southern</v>
      </c>
      <c r="L416">
        <f>VLOOKUP(A416,[1]Order_Details!$A$1:$F$2156,2,FALSE)</f>
        <v>68</v>
      </c>
      <c r="M416" t="str">
        <f>VLOOKUP(L416,[1]!Products,2,FALSE)</f>
        <v>Scottish Longbreads</v>
      </c>
      <c r="N416">
        <f>VLOOKUP(L416,[1]!Products,4,FALSE)</f>
        <v>3</v>
      </c>
      <c r="O416" s="6" t="str">
        <f>VLOOKUP(N416,[1]!Categories,2,FALSE)</f>
        <v>Confections</v>
      </c>
      <c r="P416" s="6">
        <f>VLOOKUP(A416,[1]Order_Details!$A$1:$F$2156,3,FALSE)</f>
        <v>12.5</v>
      </c>
      <c r="Q416">
        <f>VLOOKUP(A416,[1]Order_Details!$A$1:$F$2156,4,FALSE)</f>
        <v>10</v>
      </c>
      <c r="R416">
        <f>VLOOKUP(A416,[1]Order_Details!$A$1:$F$2156,5,FALSE)</f>
        <v>0</v>
      </c>
      <c r="S416" s="6">
        <f>VLOOKUP(A416,[1]Order_Details!$A$1:$F$2156,6,FALSE)</f>
        <v>125</v>
      </c>
      <c r="T416" s="6">
        <f>VLOOKUP(A416,[1]!Orders,8,FALSE)</f>
        <v>1.28</v>
      </c>
    </row>
    <row r="417" spans="1:20" x14ac:dyDescent="0.3">
      <c r="A417" s="2">
        <v>10663</v>
      </c>
      <c r="B417" s="2" t="s">
        <v>52</v>
      </c>
      <c r="C417" s="2">
        <v>2</v>
      </c>
      <c r="D417" s="3">
        <v>35683</v>
      </c>
      <c r="E417" t="str">
        <f>VLOOKUP(C417,[1]Employees!$A$1:$O$10,4,FALSE)</f>
        <v>Fuller Andrew</v>
      </c>
      <c r="F417">
        <f>VLOOKUP(A417,[1]!Orders,7,FALSE)</f>
        <v>2</v>
      </c>
      <c r="G417" t="str">
        <f>VLOOKUP(F417,[1]!Shippers,2,FALSE)</f>
        <v>United Package</v>
      </c>
      <c r="H417" t="str">
        <f>VLOOKUP(C417,[1]EmployeeTerritories!$A$1:$B$50,2,FALSE)</f>
        <v>01581</v>
      </c>
      <c r="I417">
        <f>VLOOKUP(C417,[1]EmployeeTerritories!$A$1:$B$50,1,FALSE)</f>
        <v>2</v>
      </c>
      <c r="J417">
        <f>VLOOKUP(H417,[1]!Territories,3,FALSE)</f>
        <v>1</v>
      </c>
      <c r="K417" t="str">
        <f>VLOOKUP(J417,[1]!Region,2,FALSE)</f>
        <v>Eastern</v>
      </c>
      <c r="L417">
        <f>VLOOKUP(A417,[1]Order_Details!$A$1:$F$2156,2,FALSE)</f>
        <v>40</v>
      </c>
      <c r="M417" t="str">
        <f>VLOOKUP(L417,[1]!Products,2,FALSE)</f>
        <v>Boston Crab Meat</v>
      </c>
      <c r="N417">
        <f>VLOOKUP(L417,[1]!Products,4,FALSE)</f>
        <v>8</v>
      </c>
      <c r="O417" s="6" t="str">
        <f>VLOOKUP(N417,[1]!Categories,2,FALSE)</f>
        <v>Seafood</v>
      </c>
      <c r="P417" s="6">
        <f>VLOOKUP(A417,[1]Order_Details!$A$1:$F$2156,3,FALSE)</f>
        <v>18.399999999999999</v>
      </c>
      <c r="Q417">
        <f>VLOOKUP(A417,[1]Order_Details!$A$1:$F$2156,4,FALSE)</f>
        <v>30</v>
      </c>
      <c r="R417">
        <f>VLOOKUP(A417,[1]Order_Details!$A$1:$F$2156,5,FALSE)</f>
        <v>5.000000074505806E-2</v>
      </c>
      <c r="S417" s="6">
        <f>VLOOKUP(A417,[1]Order_Details!$A$1:$F$2156,6,FALSE)</f>
        <v>524.39999958872795</v>
      </c>
      <c r="T417" s="6">
        <f>VLOOKUP(A417,[1]!Orders,8,FALSE)</f>
        <v>113.15</v>
      </c>
    </row>
    <row r="418" spans="1:20" x14ac:dyDescent="0.3">
      <c r="A418" s="2">
        <v>10664</v>
      </c>
      <c r="B418" s="2" t="s">
        <v>51</v>
      </c>
      <c r="C418" s="2">
        <v>1</v>
      </c>
      <c r="D418" s="3">
        <v>35683</v>
      </c>
      <c r="E418" t="str">
        <f>VLOOKUP(C418,[1]Employees!$A$1:$O$10,4,FALSE)</f>
        <v>Davolio Nancy</v>
      </c>
      <c r="F418">
        <f>VLOOKUP(A418,[1]!Orders,7,FALSE)</f>
        <v>3</v>
      </c>
      <c r="G418" t="str">
        <f>VLOOKUP(F418,[1]!Shippers,2,FALSE)</f>
        <v>Federal Shipping</v>
      </c>
      <c r="H418" t="str">
        <f>VLOOKUP(C418,[1]EmployeeTerritories!$A$1:$B$50,2,FALSE)</f>
        <v>06897</v>
      </c>
      <c r="I418">
        <f>VLOOKUP(C418,[1]EmployeeTerritories!$A$1:$B$50,1,FALSE)</f>
        <v>1</v>
      </c>
      <c r="J418">
        <f>VLOOKUP(H418,[1]!Territories,3,FALSE)</f>
        <v>1</v>
      </c>
      <c r="K418" t="str">
        <f>VLOOKUP(J418,[1]!Region,2,FALSE)</f>
        <v>Eastern</v>
      </c>
      <c r="L418">
        <f>VLOOKUP(A418,[1]Order_Details!$A$1:$F$2156,2,FALSE)</f>
        <v>10</v>
      </c>
      <c r="M418" t="str">
        <f>VLOOKUP(L418,[1]!Products,2,FALSE)</f>
        <v>Ikura</v>
      </c>
      <c r="N418">
        <f>VLOOKUP(L418,[1]!Products,4,FALSE)</f>
        <v>8</v>
      </c>
      <c r="O418" s="6" t="str">
        <f>VLOOKUP(N418,[1]!Categories,2,FALSE)</f>
        <v>Seafood</v>
      </c>
      <c r="P418" s="6">
        <f>VLOOKUP(A418,[1]Order_Details!$A$1:$F$2156,3,FALSE)</f>
        <v>31</v>
      </c>
      <c r="Q418">
        <f>VLOOKUP(A418,[1]Order_Details!$A$1:$F$2156,4,FALSE)</f>
        <v>24</v>
      </c>
      <c r="R418">
        <f>VLOOKUP(A418,[1]Order_Details!$A$1:$F$2156,5,FALSE)</f>
        <v>0.15000000596046448</v>
      </c>
      <c r="S418" s="6">
        <f>VLOOKUP(A418,[1]Order_Details!$A$1:$F$2156,6,FALSE)</f>
        <v>632.39999556541443</v>
      </c>
      <c r="T418" s="6">
        <f>VLOOKUP(A418,[1]!Orders,8,FALSE)</f>
        <v>1.27</v>
      </c>
    </row>
    <row r="419" spans="1:20" x14ac:dyDescent="0.3">
      <c r="A419" s="2">
        <v>10665</v>
      </c>
      <c r="B419" s="2" t="s">
        <v>42</v>
      </c>
      <c r="C419" s="2">
        <v>1</v>
      </c>
      <c r="D419" s="3">
        <v>35684</v>
      </c>
      <c r="E419" t="str">
        <f>VLOOKUP(C419,[1]Employees!$A$1:$O$10,4,FALSE)</f>
        <v>Davolio Nancy</v>
      </c>
      <c r="F419">
        <f>VLOOKUP(A419,[1]!Orders,7,FALSE)</f>
        <v>2</v>
      </c>
      <c r="G419" t="str">
        <f>VLOOKUP(F419,[1]!Shippers,2,FALSE)</f>
        <v>United Package</v>
      </c>
      <c r="H419" t="str">
        <f>VLOOKUP(C419,[1]EmployeeTerritories!$A$1:$B$50,2,FALSE)</f>
        <v>06897</v>
      </c>
      <c r="I419">
        <f>VLOOKUP(C419,[1]EmployeeTerritories!$A$1:$B$50,1,FALSE)</f>
        <v>1</v>
      </c>
      <c r="J419">
        <f>VLOOKUP(H419,[1]!Territories,3,FALSE)</f>
        <v>1</v>
      </c>
      <c r="K419" t="str">
        <f>VLOOKUP(J419,[1]!Region,2,FALSE)</f>
        <v>Eastern</v>
      </c>
      <c r="L419">
        <f>VLOOKUP(A419,[1]Order_Details!$A$1:$F$2156,2,FALSE)</f>
        <v>51</v>
      </c>
      <c r="M419" t="str">
        <f>VLOOKUP(L419,[1]!Products,2,FALSE)</f>
        <v>Manjimup Dried Apples</v>
      </c>
      <c r="N419">
        <f>VLOOKUP(L419,[1]!Products,4,FALSE)</f>
        <v>7</v>
      </c>
      <c r="O419" s="6" t="str">
        <f>VLOOKUP(N419,[1]!Categories,2,FALSE)</f>
        <v>Produce</v>
      </c>
      <c r="P419" s="6">
        <f>VLOOKUP(A419,[1]Order_Details!$A$1:$F$2156,3,FALSE)</f>
        <v>53</v>
      </c>
      <c r="Q419">
        <f>VLOOKUP(A419,[1]Order_Details!$A$1:$F$2156,4,FALSE)</f>
        <v>20</v>
      </c>
      <c r="R419">
        <f>VLOOKUP(A419,[1]Order_Details!$A$1:$F$2156,5,FALSE)</f>
        <v>0</v>
      </c>
      <c r="S419" s="6">
        <f>VLOOKUP(A419,[1]Order_Details!$A$1:$F$2156,6,FALSE)</f>
        <v>1060</v>
      </c>
      <c r="T419" s="6">
        <f>VLOOKUP(A419,[1]!Orders,8,FALSE)</f>
        <v>26.31</v>
      </c>
    </row>
    <row r="420" spans="1:20" x14ac:dyDescent="0.3">
      <c r="A420" s="2">
        <v>10666</v>
      </c>
      <c r="B420" s="2" t="s">
        <v>10</v>
      </c>
      <c r="C420" s="2">
        <v>7</v>
      </c>
      <c r="D420" s="3">
        <v>35685</v>
      </c>
      <c r="E420" t="str">
        <f>VLOOKUP(C420,[1]Employees!$A$1:$O$10,4,FALSE)</f>
        <v>King Robert</v>
      </c>
      <c r="F420">
        <f>VLOOKUP(A420,[1]!Orders,7,FALSE)</f>
        <v>2</v>
      </c>
      <c r="G420" t="str">
        <f>VLOOKUP(F420,[1]!Shippers,2,FALSE)</f>
        <v>United Package</v>
      </c>
      <c r="H420" t="str">
        <f>VLOOKUP(C420,[1]EmployeeTerritories!$A$1:$B$50,2,FALSE)</f>
        <v>60179</v>
      </c>
      <c r="I420">
        <f>VLOOKUP(C420,[1]EmployeeTerritories!$A$1:$B$50,1,FALSE)</f>
        <v>7</v>
      </c>
      <c r="J420">
        <f>VLOOKUP(H420,[1]!Territories,3,FALSE)</f>
        <v>2</v>
      </c>
      <c r="K420" t="str">
        <f>VLOOKUP(J420,[1]!Region,2,FALSE)</f>
        <v>Western</v>
      </c>
      <c r="L420">
        <f>VLOOKUP(A420,[1]Order_Details!$A$1:$F$2156,2,FALSE)</f>
        <v>29</v>
      </c>
      <c r="M420" t="str">
        <f>VLOOKUP(L420,[1]!Products,2,FALSE)</f>
        <v>Thüringer Rostbratwurst</v>
      </c>
      <c r="N420">
        <f>VLOOKUP(L420,[1]!Products,4,FALSE)</f>
        <v>6</v>
      </c>
      <c r="O420" s="6" t="str">
        <f>VLOOKUP(N420,[1]!Categories,2,FALSE)</f>
        <v>Meat/Poultry</v>
      </c>
      <c r="P420" s="6">
        <f>VLOOKUP(A420,[1]Order_Details!$A$1:$F$2156,3,FALSE)</f>
        <v>123.79</v>
      </c>
      <c r="Q420">
        <f>VLOOKUP(A420,[1]Order_Details!$A$1:$F$2156,4,FALSE)</f>
        <v>36</v>
      </c>
      <c r="R420">
        <f>VLOOKUP(A420,[1]Order_Details!$A$1:$F$2156,5,FALSE)</f>
        <v>0</v>
      </c>
      <c r="S420" s="6">
        <f>VLOOKUP(A420,[1]Order_Details!$A$1:$F$2156,6,FALSE)</f>
        <v>4456.4400000000005</v>
      </c>
      <c r="T420" s="6">
        <f>VLOOKUP(A420,[1]!Orders,8,FALSE)</f>
        <v>232.42</v>
      </c>
    </row>
    <row r="421" spans="1:20" x14ac:dyDescent="0.3">
      <c r="A421" s="2">
        <v>10667</v>
      </c>
      <c r="B421" s="2" t="s">
        <v>13</v>
      </c>
      <c r="C421" s="2">
        <v>7</v>
      </c>
      <c r="D421" s="3">
        <v>35685</v>
      </c>
      <c r="E421" t="str">
        <f>VLOOKUP(C421,[1]Employees!$A$1:$O$10,4,FALSE)</f>
        <v>King Robert</v>
      </c>
      <c r="F421">
        <f>VLOOKUP(A421,[1]!Orders,7,FALSE)</f>
        <v>1</v>
      </c>
      <c r="G421" t="str">
        <f>VLOOKUP(F421,[1]!Shippers,2,FALSE)</f>
        <v>Speedy Express</v>
      </c>
      <c r="H421" t="str">
        <f>VLOOKUP(C421,[1]EmployeeTerritories!$A$1:$B$50,2,FALSE)</f>
        <v>60179</v>
      </c>
      <c r="I421">
        <f>VLOOKUP(C421,[1]EmployeeTerritories!$A$1:$B$50,1,FALSE)</f>
        <v>7</v>
      </c>
      <c r="J421">
        <f>VLOOKUP(H421,[1]!Territories,3,FALSE)</f>
        <v>2</v>
      </c>
      <c r="K421" t="str">
        <f>VLOOKUP(J421,[1]!Region,2,FALSE)</f>
        <v>Western</v>
      </c>
      <c r="L421">
        <f>VLOOKUP(A421,[1]Order_Details!$A$1:$F$2156,2,FALSE)</f>
        <v>69</v>
      </c>
      <c r="M421" t="str">
        <f>VLOOKUP(L421,[1]!Products,2,FALSE)</f>
        <v>Gudbrandsdalsost</v>
      </c>
      <c r="N421">
        <f>VLOOKUP(L421,[1]!Products,4,FALSE)</f>
        <v>4</v>
      </c>
      <c r="O421" s="6" t="str">
        <f>VLOOKUP(N421,[1]!Categories,2,FALSE)</f>
        <v>Dairy Products</v>
      </c>
      <c r="P421" s="6">
        <f>VLOOKUP(A421,[1]Order_Details!$A$1:$F$2156,3,FALSE)</f>
        <v>36</v>
      </c>
      <c r="Q421">
        <f>VLOOKUP(A421,[1]Order_Details!$A$1:$F$2156,4,FALSE)</f>
        <v>45</v>
      </c>
      <c r="R421">
        <f>VLOOKUP(A421,[1]Order_Details!$A$1:$F$2156,5,FALSE)</f>
        <v>0.20000000298023224</v>
      </c>
      <c r="S421" s="6">
        <f>VLOOKUP(A421,[1]Order_Details!$A$1:$F$2156,6,FALSE)</f>
        <v>1295.9999951720238</v>
      </c>
      <c r="T421" s="6">
        <f>VLOOKUP(A421,[1]!Orders,8,FALSE)</f>
        <v>78.09</v>
      </c>
    </row>
    <row r="422" spans="1:20" x14ac:dyDescent="0.3">
      <c r="A422" s="2">
        <v>10668</v>
      </c>
      <c r="B422" s="2" t="s">
        <v>39</v>
      </c>
      <c r="C422" s="2">
        <v>1</v>
      </c>
      <c r="D422" s="3">
        <v>35688</v>
      </c>
      <c r="E422" t="str">
        <f>VLOOKUP(C422,[1]Employees!$A$1:$O$10,4,FALSE)</f>
        <v>Davolio Nancy</v>
      </c>
      <c r="F422">
        <f>VLOOKUP(A422,[1]!Orders,7,FALSE)</f>
        <v>2</v>
      </c>
      <c r="G422" t="str">
        <f>VLOOKUP(F422,[1]!Shippers,2,FALSE)</f>
        <v>United Package</v>
      </c>
      <c r="H422" t="str">
        <f>VLOOKUP(C422,[1]EmployeeTerritories!$A$1:$B$50,2,FALSE)</f>
        <v>06897</v>
      </c>
      <c r="I422">
        <f>VLOOKUP(C422,[1]EmployeeTerritories!$A$1:$B$50,1,FALSE)</f>
        <v>1</v>
      </c>
      <c r="J422">
        <f>VLOOKUP(H422,[1]!Territories,3,FALSE)</f>
        <v>1</v>
      </c>
      <c r="K422" t="str">
        <f>VLOOKUP(J422,[1]!Region,2,FALSE)</f>
        <v>Eastern</v>
      </c>
      <c r="L422">
        <f>VLOOKUP(A422,[1]Order_Details!$A$1:$F$2156,2,FALSE)</f>
        <v>31</v>
      </c>
      <c r="M422" t="str">
        <f>VLOOKUP(L422,[1]!Products,2,FALSE)</f>
        <v>Gorgonzola Telino</v>
      </c>
      <c r="N422">
        <f>VLOOKUP(L422,[1]!Products,4,FALSE)</f>
        <v>4</v>
      </c>
      <c r="O422" s="6" t="str">
        <f>VLOOKUP(N422,[1]!Categories,2,FALSE)</f>
        <v>Dairy Products</v>
      </c>
      <c r="P422" s="6">
        <f>VLOOKUP(A422,[1]Order_Details!$A$1:$F$2156,3,FALSE)</f>
        <v>12.5</v>
      </c>
      <c r="Q422">
        <f>VLOOKUP(A422,[1]Order_Details!$A$1:$F$2156,4,FALSE)</f>
        <v>8</v>
      </c>
      <c r="R422">
        <f>VLOOKUP(A422,[1]Order_Details!$A$1:$F$2156,5,FALSE)</f>
        <v>0.10000000149011612</v>
      </c>
      <c r="S422" s="6">
        <f>VLOOKUP(A422,[1]Order_Details!$A$1:$F$2156,6,FALSE)</f>
        <v>89.999999850988388</v>
      </c>
      <c r="T422" s="6">
        <f>VLOOKUP(A422,[1]!Orders,8,FALSE)</f>
        <v>47.22</v>
      </c>
    </row>
    <row r="423" spans="1:20" x14ac:dyDescent="0.3">
      <c r="A423" s="2">
        <v>10669</v>
      </c>
      <c r="B423" s="2" t="s">
        <v>55</v>
      </c>
      <c r="C423" s="2">
        <v>2</v>
      </c>
      <c r="D423" s="3">
        <v>35688</v>
      </c>
      <c r="E423" t="str">
        <f>VLOOKUP(C423,[1]Employees!$A$1:$O$10,4,FALSE)</f>
        <v>Fuller Andrew</v>
      </c>
      <c r="F423">
        <f>VLOOKUP(A423,[1]!Orders,7,FALSE)</f>
        <v>1</v>
      </c>
      <c r="G423" t="str">
        <f>VLOOKUP(F423,[1]!Shippers,2,FALSE)</f>
        <v>Speedy Express</v>
      </c>
      <c r="H423" t="str">
        <f>VLOOKUP(C423,[1]EmployeeTerritories!$A$1:$B$50,2,FALSE)</f>
        <v>01581</v>
      </c>
      <c r="I423">
        <f>VLOOKUP(C423,[1]EmployeeTerritories!$A$1:$B$50,1,FALSE)</f>
        <v>2</v>
      </c>
      <c r="J423">
        <f>VLOOKUP(H423,[1]!Territories,3,FALSE)</f>
        <v>1</v>
      </c>
      <c r="K423" t="str">
        <f>VLOOKUP(J423,[1]!Region,2,FALSE)</f>
        <v>Eastern</v>
      </c>
      <c r="L423">
        <f>VLOOKUP(A423,[1]Order_Details!$A$1:$F$2156,2,FALSE)</f>
        <v>36</v>
      </c>
      <c r="M423" t="str">
        <f>VLOOKUP(L423,[1]!Products,2,FALSE)</f>
        <v>Inlagd Sill</v>
      </c>
      <c r="N423">
        <f>VLOOKUP(L423,[1]!Products,4,FALSE)</f>
        <v>8</v>
      </c>
      <c r="O423" s="6" t="str">
        <f>VLOOKUP(N423,[1]!Categories,2,FALSE)</f>
        <v>Seafood</v>
      </c>
      <c r="P423" s="6">
        <f>VLOOKUP(A423,[1]Order_Details!$A$1:$F$2156,3,FALSE)</f>
        <v>19</v>
      </c>
      <c r="Q423">
        <f>VLOOKUP(A423,[1]Order_Details!$A$1:$F$2156,4,FALSE)</f>
        <v>30</v>
      </c>
      <c r="R423">
        <f>VLOOKUP(A423,[1]Order_Details!$A$1:$F$2156,5,FALSE)</f>
        <v>0</v>
      </c>
      <c r="S423" s="6">
        <f>VLOOKUP(A423,[1]Order_Details!$A$1:$F$2156,6,FALSE)</f>
        <v>570</v>
      </c>
      <c r="T423" s="6">
        <f>VLOOKUP(A423,[1]!Orders,8,FALSE)</f>
        <v>24.39</v>
      </c>
    </row>
    <row r="424" spans="1:20" x14ac:dyDescent="0.3">
      <c r="A424" s="2">
        <v>10670</v>
      </c>
      <c r="B424" s="2" t="s">
        <v>21</v>
      </c>
      <c r="C424" s="2">
        <v>4</v>
      </c>
      <c r="D424" s="3">
        <v>35689</v>
      </c>
      <c r="E424" t="str">
        <f>VLOOKUP(C424,[1]Employees!$A$1:$O$10,4,FALSE)</f>
        <v>Peacock Margaret</v>
      </c>
      <c r="F424">
        <f>VLOOKUP(A424,[1]!Orders,7,FALSE)</f>
        <v>1</v>
      </c>
      <c r="G424" t="str">
        <f>VLOOKUP(F424,[1]!Shippers,2,FALSE)</f>
        <v>Speedy Express</v>
      </c>
      <c r="H424" t="str">
        <f>VLOOKUP(C424,[1]EmployeeTerritories!$A$1:$B$50,2,FALSE)</f>
        <v>20852</v>
      </c>
      <c r="I424">
        <f>VLOOKUP(C424,[1]EmployeeTerritories!$A$1:$B$50,1,FALSE)</f>
        <v>4</v>
      </c>
      <c r="J424">
        <f>VLOOKUP(H424,[1]!Territories,3,FALSE)</f>
        <v>1</v>
      </c>
      <c r="K424" t="str">
        <f>VLOOKUP(J424,[1]!Region,2,FALSE)</f>
        <v>Eastern</v>
      </c>
      <c r="L424">
        <f>VLOOKUP(A424,[1]Order_Details!$A$1:$F$2156,2,FALSE)</f>
        <v>23</v>
      </c>
      <c r="M424" t="str">
        <f>VLOOKUP(L424,[1]!Products,2,FALSE)</f>
        <v>Tunnbröd</v>
      </c>
      <c r="N424">
        <f>VLOOKUP(L424,[1]!Products,4,FALSE)</f>
        <v>5</v>
      </c>
      <c r="O424" s="6" t="str">
        <f>VLOOKUP(N424,[1]!Categories,2,FALSE)</f>
        <v>Grains/Cereals</v>
      </c>
      <c r="P424" s="6">
        <f>VLOOKUP(A424,[1]Order_Details!$A$1:$F$2156,3,FALSE)</f>
        <v>9</v>
      </c>
      <c r="Q424">
        <f>VLOOKUP(A424,[1]Order_Details!$A$1:$F$2156,4,FALSE)</f>
        <v>32</v>
      </c>
      <c r="R424">
        <f>VLOOKUP(A424,[1]Order_Details!$A$1:$F$2156,5,FALSE)</f>
        <v>0</v>
      </c>
      <c r="S424" s="6">
        <f>VLOOKUP(A424,[1]Order_Details!$A$1:$F$2156,6,FALSE)</f>
        <v>288</v>
      </c>
      <c r="T424" s="6">
        <f>VLOOKUP(A424,[1]!Orders,8,FALSE)</f>
        <v>203.48</v>
      </c>
    </row>
    <row r="425" spans="1:20" x14ac:dyDescent="0.3">
      <c r="A425" s="2">
        <v>10671</v>
      </c>
      <c r="B425" s="2" t="s">
        <v>90</v>
      </c>
      <c r="C425" s="2">
        <v>1</v>
      </c>
      <c r="D425" s="3">
        <v>35690</v>
      </c>
      <c r="E425" t="str">
        <f>VLOOKUP(C425,[1]Employees!$A$1:$O$10,4,FALSE)</f>
        <v>Davolio Nancy</v>
      </c>
      <c r="F425">
        <f>VLOOKUP(A425,[1]!Orders,7,FALSE)</f>
        <v>1</v>
      </c>
      <c r="G425" t="str">
        <f>VLOOKUP(F425,[1]!Shippers,2,FALSE)</f>
        <v>Speedy Express</v>
      </c>
      <c r="H425" t="str">
        <f>VLOOKUP(C425,[1]EmployeeTerritories!$A$1:$B$50,2,FALSE)</f>
        <v>06897</v>
      </c>
      <c r="I425">
        <f>VLOOKUP(C425,[1]EmployeeTerritories!$A$1:$B$50,1,FALSE)</f>
        <v>1</v>
      </c>
      <c r="J425">
        <f>VLOOKUP(H425,[1]!Territories,3,FALSE)</f>
        <v>1</v>
      </c>
      <c r="K425" t="str">
        <f>VLOOKUP(J425,[1]!Region,2,FALSE)</f>
        <v>Eastern</v>
      </c>
      <c r="L425">
        <f>VLOOKUP(A425,[1]Order_Details!$A$1:$F$2156,2,FALSE)</f>
        <v>16</v>
      </c>
      <c r="M425" t="str">
        <f>VLOOKUP(L425,[1]!Products,2,FALSE)</f>
        <v>Pavlova</v>
      </c>
      <c r="N425">
        <f>VLOOKUP(L425,[1]!Products,4,FALSE)</f>
        <v>3</v>
      </c>
      <c r="O425" s="6" t="str">
        <f>VLOOKUP(N425,[1]!Categories,2,FALSE)</f>
        <v>Confections</v>
      </c>
      <c r="P425" s="6">
        <f>VLOOKUP(A425,[1]Order_Details!$A$1:$F$2156,3,FALSE)</f>
        <v>17.45</v>
      </c>
      <c r="Q425">
        <f>VLOOKUP(A425,[1]Order_Details!$A$1:$F$2156,4,FALSE)</f>
        <v>10</v>
      </c>
      <c r="R425">
        <f>VLOOKUP(A425,[1]Order_Details!$A$1:$F$2156,5,FALSE)</f>
        <v>0</v>
      </c>
      <c r="S425" s="6">
        <f>VLOOKUP(A425,[1]Order_Details!$A$1:$F$2156,6,FALSE)</f>
        <v>174.5</v>
      </c>
      <c r="T425" s="6">
        <f>VLOOKUP(A425,[1]!Orders,8,FALSE)</f>
        <v>30.34</v>
      </c>
    </row>
    <row r="426" spans="1:20" x14ac:dyDescent="0.3">
      <c r="A426" s="2">
        <v>10672</v>
      </c>
      <c r="B426" s="2" t="s">
        <v>29</v>
      </c>
      <c r="C426" s="2">
        <v>9</v>
      </c>
      <c r="D426" s="3">
        <v>35690</v>
      </c>
      <c r="E426" t="str">
        <f>VLOOKUP(C426,[1]Employees!$A$1:$O$10,4,FALSE)</f>
        <v>Dodsworth Anne</v>
      </c>
      <c r="F426">
        <f>VLOOKUP(A426,[1]!Orders,7,FALSE)</f>
        <v>2</v>
      </c>
      <c r="G426" t="str">
        <f>VLOOKUP(F426,[1]!Shippers,2,FALSE)</f>
        <v>United Package</v>
      </c>
      <c r="H426" t="str">
        <f>VLOOKUP(C426,[1]EmployeeTerritories!$A$1:$B$50,2,FALSE)</f>
        <v>03049</v>
      </c>
      <c r="I426">
        <f>VLOOKUP(C426,[1]EmployeeTerritories!$A$1:$B$50,1,FALSE)</f>
        <v>9</v>
      </c>
      <c r="J426">
        <f>VLOOKUP(H426,[1]!Territories,3,FALSE)</f>
        <v>3</v>
      </c>
      <c r="K426" t="str">
        <f>VLOOKUP(J426,[1]!Region,2,FALSE)</f>
        <v>Northern</v>
      </c>
      <c r="L426">
        <f>VLOOKUP(A426,[1]Order_Details!$A$1:$F$2156,2,FALSE)</f>
        <v>38</v>
      </c>
      <c r="M426" t="str">
        <f>VLOOKUP(L426,[1]!Products,2,FALSE)</f>
        <v>Côte de Blaye</v>
      </c>
      <c r="N426">
        <f>VLOOKUP(L426,[1]!Products,4,FALSE)</f>
        <v>1</v>
      </c>
      <c r="O426" s="6" t="str">
        <f>VLOOKUP(N426,[1]!Categories,2,FALSE)</f>
        <v>Beverages</v>
      </c>
      <c r="P426" s="6">
        <f>VLOOKUP(A426,[1]Order_Details!$A$1:$F$2156,3,FALSE)</f>
        <v>263.5</v>
      </c>
      <c r="Q426">
        <f>VLOOKUP(A426,[1]Order_Details!$A$1:$F$2156,4,FALSE)</f>
        <v>15</v>
      </c>
      <c r="R426">
        <f>VLOOKUP(A426,[1]Order_Details!$A$1:$F$2156,5,FALSE)</f>
        <v>0.10000000149011612</v>
      </c>
      <c r="S426" s="6">
        <f>VLOOKUP(A426,[1]Order_Details!$A$1:$F$2156,6,FALSE)</f>
        <v>3557.249994110316</v>
      </c>
      <c r="T426" s="6">
        <f>VLOOKUP(A426,[1]!Orders,8,FALSE)</f>
        <v>95.75</v>
      </c>
    </row>
    <row r="427" spans="1:20" x14ac:dyDescent="0.3">
      <c r="A427" s="2">
        <v>10673</v>
      </c>
      <c r="B427" s="2" t="s">
        <v>87</v>
      </c>
      <c r="C427" s="2">
        <v>2</v>
      </c>
      <c r="D427" s="3">
        <v>35691</v>
      </c>
      <c r="E427" t="str">
        <f>VLOOKUP(C427,[1]Employees!$A$1:$O$10,4,FALSE)</f>
        <v>Fuller Andrew</v>
      </c>
      <c r="F427">
        <f>VLOOKUP(A427,[1]!Orders,7,FALSE)</f>
        <v>1</v>
      </c>
      <c r="G427" t="str">
        <f>VLOOKUP(F427,[1]!Shippers,2,FALSE)</f>
        <v>Speedy Express</v>
      </c>
      <c r="H427" t="str">
        <f>VLOOKUP(C427,[1]EmployeeTerritories!$A$1:$B$50,2,FALSE)</f>
        <v>01581</v>
      </c>
      <c r="I427">
        <f>VLOOKUP(C427,[1]EmployeeTerritories!$A$1:$B$50,1,FALSE)</f>
        <v>2</v>
      </c>
      <c r="J427">
        <f>VLOOKUP(H427,[1]!Territories,3,FALSE)</f>
        <v>1</v>
      </c>
      <c r="K427" t="str">
        <f>VLOOKUP(J427,[1]!Region,2,FALSE)</f>
        <v>Eastern</v>
      </c>
      <c r="L427">
        <f>VLOOKUP(A427,[1]Order_Details!$A$1:$F$2156,2,FALSE)</f>
        <v>16</v>
      </c>
      <c r="M427" t="str">
        <f>VLOOKUP(L427,[1]!Products,2,FALSE)</f>
        <v>Pavlova</v>
      </c>
      <c r="N427">
        <f>VLOOKUP(L427,[1]!Products,4,FALSE)</f>
        <v>3</v>
      </c>
      <c r="O427" s="6" t="str">
        <f>VLOOKUP(N427,[1]!Categories,2,FALSE)</f>
        <v>Confections</v>
      </c>
      <c r="P427" s="6">
        <f>VLOOKUP(A427,[1]Order_Details!$A$1:$F$2156,3,FALSE)</f>
        <v>17.45</v>
      </c>
      <c r="Q427">
        <f>VLOOKUP(A427,[1]Order_Details!$A$1:$F$2156,4,FALSE)</f>
        <v>3</v>
      </c>
      <c r="R427">
        <f>VLOOKUP(A427,[1]Order_Details!$A$1:$F$2156,5,FALSE)</f>
        <v>0</v>
      </c>
      <c r="S427" s="6">
        <f>VLOOKUP(A427,[1]Order_Details!$A$1:$F$2156,6,FALSE)</f>
        <v>52.349999999999994</v>
      </c>
      <c r="T427" s="6">
        <f>VLOOKUP(A427,[1]!Orders,8,FALSE)</f>
        <v>22.76</v>
      </c>
    </row>
    <row r="428" spans="1:20" x14ac:dyDescent="0.3">
      <c r="A428" s="2">
        <v>10674</v>
      </c>
      <c r="B428" s="2" t="s">
        <v>46</v>
      </c>
      <c r="C428" s="2">
        <v>4</v>
      </c>
      <c r="D428" s="3">
        <v>35691</v>
      </c>
      <c r="E428" t="str">
        <f>VLOOKUP(C428,[1]Employees!$A$1:$O$10,4,FALSE)</f>
        <v>Peacock Margaret</v>
      </c>
      <c r="F428">
        <f>VLOOKUP(A428,[1]!Orders,7,FALSE)</f>
        <v>2</v>
      </c>
      <c r="G428" t="str">
        <f>VLOOKUP(F428,[1]!Shippers,2,FALSE)</f>
        <v>United Package</v>
      </c>
      <c r="H428" t="str">
        <f>VLOOKUP(C428,[1]EmployeeTerritories!$A$1:$B$50,2,FALSE)</f>
        <v>20852</v>
      </c>
      <c r="I428">
        <f>VLOOKUP(C428,[1]EmployeeTerritories!$A$1:$B$50,1,FALSE)</f>
        <v>4</v>
      </c>
      <c r="J428">
        <f>VLOOKUP(H428,[1]!Territories,3,FALSE)</f>
        <v>1</v>
      </c>
      <c r="K428" t="str">
        <f>VLOOKUP(J428,[1]!Region,2,FALSE)</f>
        <v>Eastern</v>
      </c>
      <c r="L428">
        <f>VLOOKUP(A428,[1]Order_Details!$A$1:$F$2156,2,FALSE)</f>
        <v>23</v>
      </c>
      <c r="M428" t="str">
        <f>VLOOKUP(L428,[1]!Products,2,FALSE)</f>
        <v>Tunnbröd</v>
      </c>
      <c r="N428">
        <f>VLOOKUP(L428,[1]!Products,4,FALSE)</f>
        <v>5</v>
      </c>
      <c r="O428" s="6" t="str">
        <f>VLOOKUP(N428,[1]!Categories,2,FALSE)</f>
        <v>Grains/Cereals</v>
      </c>
      <c r="P428" s="6">
        <f>VLOOKUP(A428,[1]Order_Details!$A$1:$F$2156,3,FALSE)</f>
        <v>9</v>
      </c>
      <c r="Q428">
        <f>VLOOKUP(A428,[1]Order_Details!$A$1:$F$2156,4,FALSE)</f>
        <v>5</v>
      </c>
      <c r="R428">
        <f>VLOOKUP(A428,[1]Order_Details!$A$1:$F$2156,5,FALSE)</f>
        <v>0</v>
      </c>
      <c r="S428" s="6">
        <f>VLOOKUP(A428,[1]Order_Details!$A$1:$F$2156,6,FALSE)</f>
        <v>45</v>
      </c>
      <c r="T428" s="6">
        <f>VLOOKUP(A428,[1]!Orders,8,FALSE)</f>
        <v>0.9</v>
      </c>
    </row>
    <row r="429" spans="1:20" x14ac:dyDescent="0.3">
      <c r="A429" s="2">
        <v>10675</v>
      </c>
      <c r="B429" s="2" t="s">
        <v>21</v>
      </c>
      <c r="C429" s="2">
        <v>5</v>
      </c>
      <c r="D429" s="3">
        <v>35692</v>
      </c>
      <c r="E429" t="str">
        <f>VLOOKUP(C429,[1]Employees!$A$1:$O$10,4,FALSE)</f>
        <v>Buchanan Steven</v>
      </c>
      <c r="F429">
        <f>VLOOKUP(A429,[1]!Orders,7,FALSE)</f>
        <v>2</v>
      </c>
      <c r="G429" t="str">
        <f>VLOOKUP(F429,[1]!Shippers,2,FALSE)</f>
        <v>United Package</v>
      </c>
      <c r="H429" t="str">
        <f>VLOOKUP(C429,[1]EmployeeTerritories!$A$1:$B$50,2,FALSE)</f>
        <v>02903</v>
      </c>
      <c r="I429">
        <f>VLOOKUP(C429,[1]EmployeeTerritories!$A$1:$B$50,1,FALSE)</f>
        <v>5</v>
      </c>
      <c r="J429">
        <f>VLOOKUP(H429,[1]!Territories,3,FALSE)</f>
        <v>1</v>
      </c>
      <c r="K429" t="str">
        <f>VLOOKUP(J429,[1]!Region,2,FALSE)</f>
        <v>Eastern</v>
      </c>
      <c r="L429">
        <f>VLOOKUP(A429,[1]Order_Details!$A$1:$F$2156,2,FALSE)</f>
        <v>14</v>
      </c>
      <c r="M429" t="str">
        <f>VLOOKUP(L429,[1]!Products,2,FALSE)</f>
        <v>Tofu</v>
      </c>
      <c r="N429">
        <f>VLOOKUP(L429,[1]!Products,4,FALSE)</f>
        <v>7</v>
      </c>
      <c r="O429" s="6" t="str">
        <f>VLOOKUP(N429,[1]!Categories,2,FALSE)</f>
        <v>Produce</v>
      </c>
      <c r="P429" s="6">
        <f>VLOOKUP(A429,[1]Order_Details!$A$1:$F$2156,3,FALSE)</f>
        <v>23.25</v>
      </c>
      <c r="Q429">
        <f>VLOOKUP(A429,[1]Order_Details!$A$1:$F$2156,4,FALSE)</f>
        <v>30</v>
      </c>
      <c r="R429">
        <f>VLOOKUP(A429,[1]Order_Details!$A$1:$F$2156,5,FALSE)</f>
        <v>0</v>
      </c>
      <c r="S429" s="6">
        <f>VLOOKUP(A429,[1]Order_Details!$A$1:$F$2156,6,FALSE)</f>
        <v>697.5</v>
      </c>
      <c r="T429" s="6">
        <f>VLOOKUP(A429,[1]!Orders,8,FALSE)</f>
        <v>31.85</v>
      </c>
    </row>
    <row r="430" spans="1:20" x14ac:dyDescent="0.3">
      <c r="A430" s="2">
        <v>10676</v>
      </c>
      <c r="B430" s="2" t="s">
        <v>27</v>
      </c>
      <c r="C430" s="2">
        <v>2</v>
      </c>
      <c r="D430" s="3">
        <v>35695</v>
      </c>
      <c r="E430" t="str">
        <f>VLOOKUP(C430,[1]Employees!$A$1:$O$10,4,FALSE)</f>
        <v>Fuller Andrew</v>
      </c>
      <c r="F430">
        <f>VLOOKUP(A430,[1]!Orders,7,FALSE)</f>
        <v>2</v>
      </c>
      <c r="G430" t="str">
        <f>VLOOKUP(F430,[1]!Shippers,2,FALSE)</f>
        <v>United Package</v>
      </c>
      <c r="H430" t="str">
        <f>VLOOKUP(C430,[1]EmployeeTerritories!$A$1:$B$50,2,FALSE)</f>
        <v>01581</v>
      </c>
      <c r="I430">
        <f>VLOOKUP(C430,[1]EmployeeTerritories!$A$1:$B$50,1,FALSE)</f>
        <v>2</v>
      </c>
      <c r="J430">
        <f>VLOOKUP(H430,[1]!Territories,3,FALSE)</f>
        <v>1</v>
      </c>
      <c r="K430" t="str">
        <f>VLOOKUP(J430,[1]!Region,2,FALSE)</f>
        <v>Eastern</v>
      </c>
      <c r="L430">
        <f>VLOOKUP(A430,[1]Order_Details!$A$1:$F$2156,2,FALSE)</f>
        <v>10</v>
      </c>
      <c r="M430" t="str">
        <f>VLOOKUP(L430,[1]!Products,2,FALSE)</f>
        <v>Ikura</v>
      </c>
      <c r="N430">
        <f>VLOOKUP(L430,[1]!Products,4,FALSE)</f>
        <v>8</v>
      </c>
      <c r="O430" s="6" t="str">
        <f>VLOOKUP(N430,[1]!Categories,2,FALSE)</f>
        <v>Seafood</v>
      </c>
      <c r="P430" s="6">
        <f>VLOOKUP(A430,[1]Order_Details!$A$1:$F$2156,3,FALSE)</f>
        <v>31</v>
      </c>
      <c r="Q430">
        <f>VLOOKUP(A430,[1]Order_Details!$A$1:$F$2156,4,FALSE)</f>
        <v>2</v>
      </c>
      <c r="R430">
        <f>VLOOKUP(A430,[1]Order_Details!$A$1:$F$2156,5,FALSE)</f>
        <v>0</v>
      </c>
      <c r="S430" s="6">
        <f>VLOOKUP(A430,[1]Order_Details!$A$1:$F$2156,6,FALSE)</f>
        <v>62</v>
      </c>
      <c r="T430" s="6">
        <f>VLOOKUP(A430,[1]!Orders,8,FALSE)</f>
        <v>2.0099999999999998</v>
      </c>
    </row>
    <row r="431" spans="1:20" x14ac:dyDescent="0.3">
      <c r="A431" s="2">
        <v>10677</v>
      </c>
      <c r="B431" s="2" t="s">
        <v>63</v>
      </c>
      <c r="C431" s="2">
        <v>1</v>
      </c>
      <c r="D431" s="3">
        <v>35695</v>
      </c>
      <c r="E431" t="str">
        <f>VLOOKUP(C431,[1]Employees!$A$1:$O$10,4,FALSE)</f>
        <v>Davolio Nancy</v>
      </c>
      <c r="F431">
        <f>VLOOKUP(A431,[1]!Orders,7,FALSE)</f>
        <v>3</v>
      </c>
      <c r="G431" t="str">
        <f>VLOOKUP(F431,[1]!Shippers,2,FALSE)</f>
        <v>Federal Shipping</v>
      </c>
      <c r="H431" t="str">
        <f>VLOOKUP(C431,[1]EmployeeTerritories!$A$1:$B$50,2,FALSE)</f>
        <v>06897</v>
      </c>
      <c r="I431">
        <f>VLOOKUP(C431,[1]EmployeeTerritories!$A$1:$B$50,1,FALSE)</f>
        <v>1</v>
      </c>
      <c r="J431">
        <f>VLOOKUP(H431,[1]!Territories,3,FALSE)</f>
        <v>1</v>
      </c>
      <c r="K431" t="str">
        <f>VLOOKUP(J431,[1]!Region,2,FALSE)</f>
        <v>Eastern</v>
      </c>
      <c r="L431">
        <f>VLOOKUP(A431,[1]Order_Details!$A$1:$F$2156,2,FALSE)</f>
        <v>26</v>
      </c>
      <c r="M431" t="str">
        <f>VLOOKUP(L431,[1]!Products,2,FALSE)</f>
        <v>Gumbär Gummibärchen</v>
      </c>
      <c r="N431">
        <f>VLOOKUP(L431,[1]!Products,4,FALSE)</f>
        <v>3</v>
      </c>
      <c r="O431" s="6" t="str">
        <f>VLOOKUP(N431,[1]!Categories,2,FALSE)</f>
        <v>Confections</v>
      </c>
      <c r="P431" s="6">
        <f>VLOOKUP(A431,[1]Order_Details!$A$1:$F$2156,3,FALSE)</f>
        <v>31.23</v>
      </c>
      <c r="Q431">
        <f>VLOOKUP(A431,[1]Order_Details!$A$1:$F$2156,4,FALSE)</f>
        <v>30</v>
      </c>
      <c r="R431">
        <f>VLOOKUP(A431,[1]Order_Details!$A$1:$F$2156,5,FALSE)</f>
        <v>0.15000000596046448</v>
      </c>
      <c r="S431" s="6">
        <f>VLOOKUP(A431,[1]Order_Details!$A$1:$F$2156,6,FALSE)</f>
        <v>796.36499441564081</v>
      </c>
      <c r="T431" s="6">
        <f>VLOOKUP(A431,[1]!Orders,8,FALSE)</f>
        <v>4.03</v>
      </c>
    </row>
    <row r="432" spans="1:20" x14ac:dyDescent="0.3">
      <c r="A432" s="2">
        <v>10678</v>
      </c>
      <c r="B432" s="2" t="s">
        <v>49</v>
      </c>
      <c r="C432" s="2">
        <v>7</v>
      </c>
      <c r="D432" s="3">
        <v>35696</v>
      </c>
      <c r="E432" t="str">
        <f>VLOOKUP(C432,[1]Employees!$A$1:$O$10,4,FALSE)</f>
        <v>King Robert</v>
      </c>
      <c r="F432">
        <f>VLOOKUP(A432,[1]!Orders,7,FALSE)</f>
        <v>3</v>
      </c>
      <c r="G432" t="str">
        <f>VLOOKUP(F432,[1]!Shippers,2,FALSE)</f>
        <v>Federal Shipping</v>
      </c>
      <c r="H432" t="str">
        <f>VLOOKUP(C432,[1]EmployeeTerritories!$A$1:$B$50,2,FALSE)</f>
        <v>60179</v>
      </c>
      <c r="I432">
        <f>VLOOKUP(C432,[1]EmployeeTerritories!$A$1:$B$50,1,FALSE)</f>
        <v>7</v>
      </c>
      <c r="J432">
        <f>VLOOKUP(H432,[1]!Territories,3,FALSE)</f>
        <v>2</v>
      </c>
      <c r="K432" t="str">
        <f>VLOOKUP(J432,[1]!Region,2,FALSE)</f>
        <v>Western</v>
      </c>
      <c r="L432">
        <f>VLOOKUP(A432,[1]Order_Details!$A$1:$F$2156,2,FALSE)</f>
        <v>12</v>
      </c>
      <c r="M432" t="str">
        <f>VLOOKUP(L432,[1]!Products,2,FALSE)</f>
        <v>Queso Manchego La Pastora</v>
      </c>
      <c r="N432">
        <f>VLOOKUP(L432,[1]!Products,4,FALSE)</f>
        <v>4</v>
      </c>
      <c r="O432" s="6" t="str">
        <f>VLOOKUP(N432,[1]!Categories,2,FALSE)</f>
        <v>Dairy Products</v>
      </c>
      <c r="P432" s="6">
        <f>VLOOKUP(A432,[1]Order_Details!$A$1:$F$2156,3,FALSE)</f>
        <v>38</v>
      </c>
      <c r="Q432">
        <f>VLOOKUP(A432,[1]Order_Details!$A$1:$F$2156,4,FALSE)</f>
        <v>100</v>
      </c>
      <c r="R432">
        <f>VLOOKUP(A432,[1]Order_Details!$A$1:$F$2156,5,FALSE)</f>
        <v>0</v>
      </c>
      <c r="S432" s="6">
        <f>VLOOKUP(A432,[1]Order_Details!$A$1:$F$2156,6,FALSE)</f>
        <v>3800</v>
      </c>
      <c r="T432" s="6">
        <f>VLOOKUP(A432,[1]!Orders,8,FALSE)</f>
        <v>388.98</v>
      </c>
    </row>
    <row r="433" spans="1:20" x14ac:dyDescent="0.3">
      <c r="A433" s="2">
        <v>10679</v>
      </c>
      <c r="B433" s="2" t="s">
        <v>19</v>
      </c>
      <c r="C433" s="2">
        <v>8</v>
      </c>
      <c r="D433" s="3">
        <v>35696</v>
      </c>
      <c r="E433" t="str">
        <f>VLOOKUP(C433,[1]Employees!$A$1:$O$10,4,FALSE)</f>
        <v>Callahan Laura</v>
      </c>
      <c r="F433">
        <f>VLOOKUP(A433,[1]!Orders,7,FALSE)</f>
        <v>3</v>
      </c>
      <c r="G433" t="str">
        <f>VLOOKUP(F433,[1]!Shippers,2,FALSE)</f>
        <v>Federal Shipping</v>
      </c>
      <c r="H433" t="str">
        <f>VLOOKUP(C433,[1]EmployeeTerritories!$A$1:$B$50,2,FALSE)</f>
        <v>19428</v>
      </c>
      <c r="I433">
        <f>VLOOKUP(C433,[1]EmployeeTerritories!$A$1:$B$50,1,FALSE)</f>
        <v>8</v>
      </c>
      <c r="J433">
        <f>VLOOKUP(H433,[1]!Territories,3,FALSE)</f>
        <v>3</v>
      </c>
      <c r="K433" t="str">
        <f>VLOOKUP(J433,[1]!Region,2,FALSE)</f>
        <v>Northern</v>
      </c>
      <c r="L433">
        <f>VLOOKUP(A433,[1]Order_Details!$A$1:$F$2156,2,FALSE)</f>
        <v>59</v>
      </c>
      <c r="M433" t="str">
        <f>VLOOKUP(L433,[1]!Products,2,FALSE)</f>
        <v>Raclette Courdavault</v>
      </c>
      <c r="N433">
        <f>VLOOKUP(L433,[1]!Products,4,FALSE)</f>
        <v>4</v>
      </c>
      <c r="O433" s="6" t="str">
        <f>VLOOKUP(N433,[1]!Categories,2,FALSE)</f>
        <v>Dairy Products</v>
      </c>
      <c r="P433" s="6">
        <f>VLOOKUP(A433,[1]Order_Details!$A$1:$F$2156,3,FALSE)</f>
        <v>55</v>
      </c>
      <c r="Q433">
        <f>VLOOKUP(A433,[1]Order_Details!$A$1:$F$2156,4,FALSE)</f>
        <v>12</v>
      </c>
      <c r="R433">
        <f>VLOOKUP(A433,[1]Order_Details!$A$1:$F$2156,5,FALSE)</f>
        <v>0</v>
      </c>
      <c r="S433" s="6">
        <f>VLOOKUP(A433,[1]Order_Details!$A$1:$F$2156,6,FALSE)</f>
        <v>660</v>
      </c>
      <c r="T433" s="6">
        <f>VLOOKUP(A433,[1]!Orders,8,FALSE)</f>
        <v>27.94</v>
      </c>
    </row>
    <row r="434" spans="1:20" x14ac:dyDescent="0.3">
      <c r="A434" s="2">
        <v>10680</v>
      </c>
      <c r="B434" s="2" t="s">
        <v>41</v>
      </c>
      <c r="C434" s="2">
        <v>1</v>
      </c>
      <c r="D434" s="3">
        <v>35697</v>
      </c>
      <c r="E434" t="str">
        <f>VLOOKUP(C434,[1]Employees!$A$1:$O$10,4,FALSE)</f>
        <v>Davolio Nancy</v>
      </c>
      <c r="F434">
        <f>VLOOKUP(A434,[1]!Orders,7,FALSE)</f>
        <v>1</v>
      </c>
      <c r="G434" t="str">
        <f>VLOOKUP(F434,[1]!Shippers,2,FALSE)</f>
        <v>Speedy Express</v>
      </c>
      <c r="H434" t="str">
        <f>VLOOKUP(C434,[1]EmployeeTerritories!$A$1:$B$50,2,FALSE)</f>
        <v>06897</v>
      </c>
      <c r="I434">
        <f>VLOOKUP(C434,[1]EmployeeTerritories!$A$1:$B$50,1,FALSE)</f>
        <v>1</v>
      </c>
      <c r="J434">
        <f>VLOOKUP(H434,[1]!Territories,3,FALSE)</f>
        <v>1</v>
      </c>
      <c r="K434" t="str">
        <f>VLOOKUP(J434,[1]!Region,2,FALSE)</f>
        <v>Eastern</v>
      </c>
      <c r="L434">
        <f>VLOOKUP(A434,[1]Order_Details!$A$1:$F$2156,2,FALSE)</f>
        <v>16</v>
      </c>
      <c r="M434" t="str">
        <f>VLOOKUP(L434,[1]!Products,2,FALSE)</f>
        <v>Pavlova</v>
      </c>
      <c r="N434">
        <f>VLOOKUP(L434,[1]!Products,4,FALSE)</f>
        <v>3</v>
      </c>
      <c r="O434" s="6" t="str">
        <f>VLOOKUP(N434,[1]!Categories,2,FALSE)</f>
        <v>Confections</v>
      </c>
      <c r="P434" s="6">
        <f>VLOOKUP(A434,[1]Order_Details!$A$1:$F$2156,3,FALSE)</f>
        <v>17.45</v>
      </c>
      <c r="Q434">
        <f>VLOOKUP(A434,[1]Order_Details!$A$1:$F$2156,4,FALSE)</f>
        <v>50</v>
      </c>
      <c r="R434">
        <f>VLOOKUP(A434,[1]Order_Details!$A$1:$F$2156,5,FALSE)</f>
        <v>0.25</v>
      </c>
      <c r="S434" s="6">
        <f>VLOOKUP(A434,[1]Order_Details!$A$1:$F$2156,6,FALSE)</f>
        <v>654.375</v>
      </c>
      <c r="T434" s="6">
        <f>VLOOKUP(A434,[1]!Orders,8,FALSE)</f>
        <v>26.61</v>
      </c>
    </row>
    <row r="435" spans="1:20" x14ac:dyDescent="0.3">
      <c r="A435" s="2">
        <v>10681</v>
      </c>
      <c r="B435" s="2" t="s">
        <v>83</v>
      </c>
      <c r="C435" s="2">
        <v>3</v>
      </c>
      <c r="D435" s="3">
        <v>35698</v>
      </c>
      <c r="E435" t="str">
        <f>VLOOKUP(C435,[1]Employees!$A$1:$O$10,4,FALSE)</f>
        <v>Leverling Janet</v>
      </c>
      <c r="F435">
        <f>VLOOKUP(A435,[1]!Orders,7,FALSE)</f>
        <v>3</v>
      </c>
      <c r="G435" t="str">
        <f>VLOOKUP(F435,[1]!Shippers,2,FALSE)</f>
        <v>Federal Shipping</v>
      </c>
      <c r="H435" t="str">
        <f>VLOOKUP(C435,[1]EmployeeTerritories!$A$1:$B$50,2,FALSE)</f>
        <v>30346</v>
      </c>
      <c r="I435">
        <f>VLOOKUP(C435,[1]EmployeeTerritories!$A$1:$B$50,1,FALSE)</f>
        <v>3</v>
      </c>
      <c r="J435">
        <f>VLOOKUP(H435,[1]!Territories,3,FALSE)</f>
        <v>4</v>
      </c>
      <c r="K435" t="str">
        <f>VLOOKUP(J435,[1]!Region,2,FALSE)</f>
        <v>Southern</v>
      </c>
      <c r="L435">
        <f>VLOOKUP(A435,[1]Order_Details!$A$1:$F$2156,2,FALSE)</f>
        <v>19</v>
      </c>
      <c r="M435" t="str">
        <f>VLOOKUP(L435,[1]!Products,2,FALSE)</f>
        <v>Teatime Chocolate Biscuits</v>
      </c>
      <c r="N435">
        <f>VLOOKUP(L435,[1]!Products,4,FALSE)</f>
        <v>3</v>
      </c>
      <c r="O435" s="6" t="str">
        <f>VLOOKUP(N435,[1]!Categories,2,FALSE)</f>
        <v>Confections</v>
      </c>
      <c r="P435" s="6">
        <f>VLOOKUP(A435,[1]Order_Details!$A$1:$F$2156,3,FALSE)</f>
        <v>9.1999999999999993</v>
      </c>
      <c r="Q435">
        <f>VLOOKUP(A435,[1]Order_Details!$A$1:$F$2156,4,FALSE)</f>
        <v>30</v>
      </c>
      <c r="R435">
        <f>VLOOKUP(A435,[1]Order_Details!$A$1:$F$2156,5,FALSE)</f>
        <v>0.10000000149011612</v>
      </c>
      <c r="S435" s="6">
        <f>VLOOKUP(A435,[1]Order_Details!$A$1:$F$2156,6,FALSE)</f>
        <v>248.39999958872795</v>
      </c>
      <c r="T435" s="6">
        <f>VLOOKUP(A435,[1]!Orders,8,FALSE)</f>
        <v>76.13</v>
      </c>
    </row>
    <row r="436" spans="1:20" x14ac:dyDescent="0.3">
      <c r="A436" s="2">
        <v>10682</v>
      </c>
      <c r="B436" s="2" t="s">
        <v>63</v>
      </c>
      <c r="C436" s="2">
        <v>3</v>
      </c>
      <c r="D436" s="3">
        <v>35698</v>
      </c>
      <c r="E436" t="str">
        <f>VLOOKUP(C436,[1]Employees!$A$1:$O$10,4,FALSE)</f>
        <v>Leverling Janet</v>
      </c>
      <c r="F436">
        <f>VLOOKUP(A436,[1]!Orders,7,FALSE)</f>
        <v>2</v>
      </c>
      <c r="G436" t="str">
        <f>VLOOKUP(F436,[1]!Shippers,2,FALSE)</f>
        <v>United Package</v>
      </c>
      <c r="H436" t="str">
        <f>VLOOKUP(C436,[1]EmployeeTerritories!$A$1:$B$50,2,FALSE)</f>
        <v>30346</v>
      </c>
      <c r="I436">
        <f>VLOOKUP(C436,[1]EmployeeTerritories!$A$1:$B$50,1,FALSE)</f>
        <v>3</v>
      </c>
      <c r="J436">
        <f>VLOOKUP(H436,[1]!Territories,3,FALSE)</f>
        <v>4</v>
      </c>
      <c r="K436" t="str">
        <f>VLOOKUP(J436,[1]!Region,2,FALSE)</f>
        <v>Southern</v>
      </c>
      <c r="L436">
        <f>VLOOKUP(A436,[1]Order_Details!$A$1:$F$2156,2,FALSE)</f>
        <v>33</v>
      </c>
      <c r="M436" t="str">
        <f>VLOOKUP(L436,[1]!Products,2,FALSE)</f>
        <v>Geitost</v>
      </c>
      <c r="N436">
        <f>VLOOKUP(L436,[1]!Products,4,FALSE)</f>
        <v>4</v>
      </c>
      <c r="O436" s="6" t="str">
        <f>VLOOKUP(N436,[1]!Categories,2,FALSE)</f>
        <v>Dairy Products</v>
      </c>
      <c r="P436" s="6">
        <f>VLOOKUP(A436,[1]Order_Details!$A$1:$F$2156,3,FALSE)</f>
        <v>2.5</v>
      </c>
      <c r="Q436">
        <f>VLOOKUP(A436,[1]Order_Details!$A$1:$F$2156,4,FALSE)</f>
        <v>30</v>
      </c>
      <c r="R436">
        <f>VLOOKUP(A436,[1]Order_Details!$A$1:$F$2156,5,FALSE)</f>
        <v>0</v>
      </c>
      <c r="S436" s="6">
        <f>VLOOKUP(A436,[1]Order_Details!$A$1:$F$2156,6,FALSE)</f>
        <v>75</v>
      </c>
      <c r="T436" s="6">
        <f>VLOOKUP(A436,[1]!Orders,8,FALSE)</f>
        <v>36.130000000000003</v>
      </c>
    </row>
    <row r="437" spans="1:20" x14ac:dyDescent="0.3">
      <c r="A437" s="2">
        <v>10683</v>
      </c>
      <c r="B437" s="2" t="s">
        <v>45</v>
      </c>
      <c r="C437" s="2">
        <v>2</v>
      </c>
      <c r="D437" s="3">
        <v>35699</v>
      </c>
      <c r="E437" t="str">
        <f>VLOOKUP(C437,[1]Employees!$A$1:$O$10,4,FALSE)</f>
        <v>Fuller Andrew</v>
      </c>
      <c r="F437">
        <f>VLOOKUP(A437,[1]!Orders,7,FALSE)</f>
        <v>1</v>
      </c>
      <c r="G437" t="str">
        <f>VLOOKUP(F437,[1]!Shippers,2,FALSE)</f>
        <v>Speedy Express</v>
      </c>
      <c r="H437" t="str">
        <f>VLOOKUP(C437,[1]EmployeeTerritories!$A$1:$B$50,2,FALSE)</f>
        <v>01581</v>
      </c>
      <c r="I437">
        <f>VLOOKUP(C437,[1]EmployeeTerritories!$A$1:$B$50,1,FALSE)</f>
        <v>2</v>
      </c>
      <c r="J437">
        <f>VLOOKUP(H437,[1]!Territories,3,FALSE)</f>
        <v>1</v>
      </c>
      <c r="K437" t="str">
        <f>VLOOKUP(J437,[1]!Region,2,FALSE)</f>
        <v>Eastern</v>
      </c>
      <c r="L437">
        <f>VLOOKUP(A437,[1]Order_Details!$A$1:$F$2156,2,FALSE)</f>
        <v>52</v>
      </c>
      <c r="M437" t="str">
        <f>VLOOKUP(L437,[1]!Products,2,FALSE)</f>
        <v>Filo Mix</v>
      </c>
      <c r="N437">
        <f>VLOOKUP(L437,[1]!Products,4,FALSE)</f>
        <v>5</v>
      </c>
      <c r="O437" s="6" t="str">
        <f>VLOOKUP(N437,[1]!Categories,2,FALSE)</f>
        <v>Grains/Cereals</v>
      </c>
      <c r="P437" s="6">
        <f>VLOOKUP(A437,[1]Order_Details!$A$1:$F$2156,3,FALSE)</f>
        <v>7</v>
      </c>
      <c r="Q437">
        <f>VLOOKUP(A437,[1]Order_Details!$A$1:$F$2156,4,FALSE)</f>
        <v>9</v>
      </c>
      <c r="R437">
        <f>VLOOKUP(A437,[1]Order_Details!$A$1:$F$2156,5,FALSE)</f>
        <v>0</v>
      </c>
      <c r="S437" s="6">
        <f>VLOOKUP(A437,[1]Order_Details!$A$1:$F$2156,6,FALSE)</f>
        <v>63</v>
      </c>
      <c r="T437" s="6">
        <f>VLOOKUP(A437,[1]!Orders,8,FALSE)</f>
        <v>4.4000000000000004</v>
      </c>
    </row>
    <row r="438" spans="1:20" x14ac:dyDescent="0.3">
      <c r="A438" s="2">
        <v>10684</v>
      </c>
      <c r="B438" s="2" t="s">
        <v>15</v>
      </c>
      <c r="C438" s="2">
        <v>3</v>
      </c>
      <c r="D438" s="3">
        <v>35699</v>
      </c>
      <c r="E438" t="str">
        <f>VLOOKUP(C438,[1]Employees!$A$1:$O$10,4,FALSE)</f>
        <v>Leverling Janet</v>
      </c>
      <c r="F438">
        <f>VLOOKUP(A438,[1]!Orders,7,FALSE)</f>
        <v>1</v>
      </c>
      <c r="G438" t="str">
        <f>VLOOKUP(F438,[1]!Shippers,2,FALSE)</f>
        <v>Speedy Express</v>
      </c>
      <c r="H438" t="str">
        <f>VLOOKUP(C438,[1]EmployeeTerritories!$A$1:$B$50,2,FALSE)</f>
        <v>30346</v>
      </c>
      <c r="I438">
        <f>VLOOKUP(C438,[1]EmployeeTerritories!$A$1:$B$50,1,FALSE)</f>
        <v>3</v>
      </c>
      <c r="J438">
        <f>VLOOKUP(H438,[1]!Territories,3,FALSE)</f>
        <v>4</v>
      </c>
      <c r="K438" t="str">
        <f>VLOOKUP(J438,[1]!Region,2,FALSE)</f>
        <v>Southern</v>
      </c>
      <c r="L438">
        <f>VLOOKUP(A438,[1]Order_Details!$A$1:$F$2156,2,FALSE)</f>
        <v>40</v>
      </c>
      <c r="M438" t="str">
        <f>VLOOKUP(L438,[1]!Products,2,FALSE)</f>
        <v>Boston Crab Meat</v>
      </c>
      <c r="N438">
        <f>VLOOKUP(L438,[1]!Products,4,FALSE)</f>
        <v>8</v>
      </c>
      <c r="O438" s="6" t="str">
        <f>VLOOKUP(N438,[1]!Categories,2,FALSE)</f>
        <v>Seafood</v>
      </c>
      <c r="P438" s="6">
        <f>VLOOKUP(A438,[1]Order_Details!$A$1:$F$2156,3,FALSE)</f>
        <v>18.399999999999999</v>
      </c>
      <c r="Q438">
        <f>VLOOKUP(A438,[1]Order_Details!$A$1:$F$2156,4,FALSE)</f>
        <v>20</v>
      </c>
      <c r="R438">
        <f>VLOOKUP(A438,[1]Order_Details!$A$1:$F$2156,5,FALSE)</f>
        <v>0</v>
      </c>
      <c r="S438" s="6">
        <f>VLOOKUP(A438,[1]Order_Details!$A$1:$F$2156,6,FALSE)</f>
        <v>368</v>
      </c>
      <c r="T438" s="6">
        <f>VLOOKUP(A438,[1]!Orders,8,FALSE)</f>
        <v>145.63</v>
      </c>
    </row>
    <row r="439" spans="1:20" x14ac:dyDescent="0.3">
      <c r="A439" s="2">
        <v>10685</v>
      </c>
      <c r="B439" s="2" t="s">
        <v>75</v>
      </c>
      <c r="C439" s="2">
        <v>4</v>
      </c>
      <c r="D439" s="3">
        <v>35702</v>
      </c>
      <c r="E439" t="str">
        <f>VLOOKUP(C439,[1]Employees!$A$1:$O$10,4,FALSE)</f>
        <v>Peacock Margaret</v>
      </c>
      <c r="F439">
        <f>VLOOKUP(A439,[1]!Orders,7,FALSE)</f>
        <v>2</v>
      </c>
      <c r="G439" t="str">
        <f>VLOOKUP(F439,[1]!Shippers,2,FALSE)</f>
        <v>United Package</v>
      </c>
      <c r="H439" t="str">
        <f>VLOOKUP(C439,[1]EmployeeTerritories!$A$1:$B$50,2,FALSE)</f>
        <v>20852</v>
      </c>
      <c r="I439">
        <f>VLOOKUP(C439,[1]EmployeeTerritories!$A$1:$B$50,1,FALSE)</f>
        <v>4</v>
      </c>
      <c r="J439">
        <f>VLOOKUP(H439,[1]!Territories,3,FALSE)</f>
        <v>1</v>
      </c>
      <c r="K439" t="str">
        <f>VLOOKUP(J439,[1]!Region,2,FALSE)</f>
        <v>Eastern</v>
      </c>
      <c r="L439">
        <f>VLOOKUP(A439,[1]Order_Details!$A$1:$F$2156,2,FALSE)</f>
        <v>10</v>
      </c>
      <c r="M439" t="str">
        <f>VLOOKUP(L439,[1]!Products,2,FALSE)</f>
        <v>Ikura</v>
      </c>
      <c r="N439">
        <f>VLOOKUP(L439,[1]!Products,4,FALSE)</f>
        <v>8</v>
      </c>
      <c r="O439" s="6" t="str">
        <f>VLOOKUP(N439,[1]!Categories,2,FALSE)</f>
        <v>Seafood</v>
      </c>
      <c r="P439" s="6">
        <f>VLOOKUP(A439,[1]Order_Details!$A$1:$F$2156,3,FALSE)</f>
        <v>31</v>
      </c>
      <c r="Q439">
        <f>VLOOKUP(A439,[1]Order_Details!$A$1:$F$2156,4,FALSE)</f>
        <v>20</v>
      </c>
      <c r="R439">
        <f>VLOOKUP(A439,[1]Order_Details!$A$1:$F$2156,5,FALSE)</f>
        <v>0</v>
      </c>
      <c r="S439" s="6">
        <f>VLOOKUP(A439,[1]Order_Details!$A$1:$F$2156,6,FALSE)</f>
        <v>620</v>
      </c>
      <c r="T439" s="6">
        <f>VLOOKUP(A439,[1]!Orders,8,FALSE)</f>
        <v>33.75</v>
      </c>
    </row>
    <row r="440" spans="1:20" x14ac:dyDescent="0.3">
      <c r="A440" s="2">
        <v>10686</v>
      </c>
      <c r="B440" s="2" t="s">
        <v>58</v>
      </c>
      <c r="C440" s="2">
        <v>2</v>
      </c>
      <c r="D440" s="3">
        <v>35703</v>
      </c>
      <c r="E440" t="str">
        <f>VLOOKUP(C440,[1]Employees!$A$1:$O$10,4,FALSE)</f>
        <v>Fuller Andrew</v>
      </c>
      <c r="F440">
        <f>VLOOKUP(A440,[1]!Orders,7,FALSE)</f>
        <v>1</v>
      </c>
      <c r="G440" t="str">
        <f>VLOOKUP(F440,[1]!Shippers,2,FALSE)</f>
        <v>Speedy Express</v>
      </c>
      <c r="H440" t="str">
        <f>VLOOKUP(C440,[1]EmployeeTerritories!$A$1:$B$50,2,FALSE)</f>
        <v>01581</v>
      </c>
      <c r="I440">
        <f>VLOOKUP(C440,[1]EmployeeTerritories!$A$1:$B$50,1,FALSE)</f>
        <v>2</v>
      </c>
      <c r="J440">
        <f>VLOOKUP(H440,[1]!Territories,3,FALSE)</f>
        <v>1</v>
      </c>
      <c r="K440" t="str">
        <f>VLOOKUP(J440,[1]!Region,2,FALSE)</f>
        <v>Eastern</v>
      </c>
      <c r="L440">
        <f>VLOOKUP(A440,[1]Order_Details!$A$1:$F$2156,2,FALSE)</f>
        <v>17</v>
      </c>
      <c r="M440" t="str">
        <f>VLOOKUP(L440,[1]!Products,2,FALSE)</f>
        <v>Alice Mutton</v>
      </c>
      <c r="N440">
        <f>VLOOKUP(L440,[1]!Products,4,FALSE)</f>
        <v>6</v>
      </c>
      <c r="O440" s="6" t="str">
        <f>VLOOKUP(N440,[1]!Categories,2,FALSE)</f>
        <v>Meat/Poultry</v>
      </c>
      <c r="P440" s="6">
        <f>VLOOKUP(A440,[1]Order_Details!$A$1:$F$2156,3,FALSE)</f>
        <v>39</v>
      </c>
      <c r="Q440">
        <f>VLOOKUP(A440,[1]Order_Details!$A$1:$F$2156,4,FALSE)</f>
        <v>30</v>
      </c>
      <c r="R440">
        <f>VLOOKUP(A440,[1]Order_Details!$A$1:$F$2156,5,FALSE)</f>
        <v>0.20000000298023224</v>
      </c>
      <c r="S440" s="6">
        <f>VLOOKUP(A440,[1]Order_Details!$A$1:$F$2156,6,FALSE)</f>
        <v>935.99999651312828</v>
      </c>
      <c r="T440" s="6">
        <f>VLOOKUP(A440,[1]!Orders,8,FALSE)</f>
        <v>96.5</v>
      </c>
    </row>
    <row r="441" spans="1:20" x14ac:dyDescent="0.3">
      <c r="A441" s="2">
        <v>10687</v>
      </c>
      <c r="B441" s="2" t="s">
        <v>38</v>
      </c>
      <c r="C441" s="2">
        <v>9</v>
      </c>
      <c r="D441" s="3">
        <v>35703</v>
      </c>
      <c r="E441" t="str">
        <f>VLOOKUP(C441,[1]Employees!$A$1:$O$10,4,FALSE)</f>
        <v>Dodsworth Anne</v>
      </c>
      <c r="F441">
        <f>VLOOKUP(A441,[1]!Orders,7,FALSE)</f>
        <v>2</v>
      </c>
      <c r="G441" t="str">
        <f>VLOOKUP(F441,[1]!Shippers,2,FALSE)</f>
        <v>United Package</v>
      </c>
      <c r="H441" t="str">
        <f>VLOOKUP(C441,[1]EmployeeTerritories!$A$1:$B$50,2,FALSE)</f>
        <v>03049</v>
      </c>
      <c r="I441">
        <f>VLOOKUP(C441,[1]EmployeeTerritories!$A$1:$B$50,1,FALSE)</f>
        <v>9</v>
      </c>
      <c r="J441">
        <f>VLOOKUP(H441,[1]!Territories,3,FALSE)</f>
        <v>3</v>
      </c>
      <c r="K441" t="str">
        <f>VLOOKUP(J441,[1]!Region,2,FALSE)</f>
        <v>Northern</v>
      </c>
      <c r="L441">
        <f>VLOOKUP(A441,[1]Order_Details!$A$1:$F$2156,2,FALSE)</f>
        <v>9</v>
      </c>
      <c r="M441" t="str">
        <f>VLOOKUP(L441,[1]!Products,2,FALSE)</f>
        <v>Mishi Kobe Niku</v>
      </c>
      <c r="N441">
        <f>VLOOKUP(L441,[1]!Products,4,FALSE)</f>
        <v>6</v>
      </c>
      <c r="O441" s="6" t="str">
        <f>VLOOKUP(N441,[1]!Categories,2,FALSE)</f>
        <v>Meat/Poultry</v>
      </c>
      <c r="P441" s="6">
        <f>VLOOKUP(A441,[1]Order_Details!$A$1:$F$2156,3,FALSE)</f>
        <v>97</v>
      </c>
      <c r="Q441">
        <f>VLOOKUP(A441,[1]Order_Details!$A$1:$F$2156,4,FALSE)</f>
        <v>50</v>
      </c>
      <c r="R441">
        <f>VLOOKUP(A441,[1]Order_Details!$A$1:$F$2156,5,FALSE)</f>
        <v>0.25</v>
      </c>
      <c r="S441" s="6">
        <f>VLOOKUP(A441,[1]Order_Details!$A$1:$F$2156,6,FALSE)</f>
        <v>3637.5</v>
      </c>
      <c r="T441" s="6">
        <f>VLOOKUP(A441,[1]!Orders,8,FALSE)</f>
        <v>296.43</v>
      </c>
    </row>
    <row r="442" spans="1:20" x14ac:dyDescent="0.3">
      <c r="A442" s="2">
        <v>10688</v>
      </c>
      <c r="B442" s="2" t="s">
        <v>65</v>
      </c>
      <c r="C442" s="2">
        <v>4</v>
      </c>
      <c r="D442" s="3">
        <v>35704</v>
      </c>
      <c r="E442" t="str">
        <f>VLOOKUP(C442,[1]Employees!$A$1:$O$10,4,FALSE)</f>
        <v>Peacock Margaret</v>
      </c>
      <c r="F442">
        <f>VLOOKUP(A442,[1]!Orders,7,FALSE)</f>
        <v>2</v>
      </c>
      <c r="G442" t="str">
        <f>VLOOKUP(F442,[1]!Shippers,2,FALSE)</f>
        <v>United Package</v>
      </c>
      <c r="H442" t="str">
        <f>VLOOKUP(C442,[1]EmployeeTerritories!$A$1:$B$50,2,FALSE)</f>
        <v>20852</v>
      </c>
      <c r="I442">
        <f>VLOOKUP(C442,[1]EmployeeTerritories!$A$1:$B$50,1,FALSE)</f>
        <v>4</v>
      </c>
      <c r="J442">
        <f>VLOOKUP(H442,[1]!Territories,3,FALSE)</f>
        <v>1</v>
      </c>
      <c r="K442" t="str">
        <f>VLOOKUP(J442,[1]!Region,2,FALSE)</f>
        <v>Eastern</v>
      </c>
      <c r="L442">
        <f>VLOOKUP(A442,[1]Order_Details!$A$1:$F$2156,2,FALSE)</f>
        <v>10</v>
      </c>
      <c r="M442" t="str">
        <f>VLOOKUP(L442,[1]!Products,2,FALSE)</f>
        <v>Ikura</v>
      </c>
      <c r="N442">
        <f>VLOOKUP(L442,[1]!Products,4,FALSE)</f>
        <v>8</v>
      </c>
      <c r="O442" s="6" t="str">
        <f>VLOOKUP(N442,[1]!Categories,2,FALSE)</f>
        <v>Seafood</v>
      </c>
      <c r="P442" s="6">
        <f>VLOOKUP(A442,[1]Order_Details!$A$1:$F$2156,3,FALSE)</f>
        <v>31</v>
      </c>
      <c r="Q442">
        <f>VLOOKUP(A442,[1]Order_Details!$A$1:$F$2156,4,FALSE)</f>
        <v>18</v>
      </c>
      <c r="R442">
        <f>VLOOKUP(A442,[1]Order_Details!$A$1:$F$2156,5,FALSE)</f>
        <v>0.10000000149011612</v>
      </c>
      <c r="S442" s="6">
        <f>VLOOKUP(A442,[1]Order_Details!$A$1:$F$2156,6,FALSE)</f>
        <v>502.19999916851521</v>
      </c>
      <c r="T442" s="6">
        <f>VLOOKUP(A442,[1]!Orders,8,FALSE)</f>
        <v>299.08999999999997</v>
      </c>
    </row>
    <row r="443" spans="1:20" x14ac:dyDescent="0.3">
      <c r="A443" s="2">
        <v>10689</v>
      </c>
      <c r="B443" s="2" t="s">
        <v>29</v>
      </c>
      <c r="C443" s="2">
        <v>1</v>
      </c>
      <c r="D443" s="3">
        <v>35704</v>
      </c>
      <c r="E443" t="str">
        <f>VLOOKUP(C443,[1]Employees!$A$1:$O$10,4,FALSE)</f>
        <v>Davolio Nancy</v>
      </c>
      <c r="F443">
        <f>VLOOKUP(A443,[1]!Orders,7,FALSE)</f>
        <v>2</v>
      </c>
      <c r="G443" t="str">
        <f>VLOOKUP(F443,[1]!Shippers,2,FALSE)</f>
        <v>United Package</v>
      </c>
      <c r="H443" t="str">
        <f>VLOOKUP(C443,[1]EmployeeTerritories!$A$1:$B$50,2,FALSE)</f>
        <v>06897</v>
      </c>
      <c r="I443">
        <f>VLOOKUP(C443,[1]EmployeeTerritories!$A$1:$B$50,1,FALSE)</f>
        <v>1</v>
      </c>
      <c r="J443">
        <f>VLOOKUP(H443,[1]!Territories,3,FALSE)</f>
        <v>1</v>
      </c>
      <c r="K443" t="str">
        <f>VLOOKUP(J443,[1]!Region,2,FALSE)</f>
        <v>Eastern</v>
      </c>
      <c r="L443">
        <f>VLOOKUP(A443,[1]Order_Details!$A$1:$F$2156,2,FALSE)</f>
        <v>1</v>
      </c>
      <c r="M443" t="str">
        <f>VLOOKUP(L443,[1]!Products,2,FALSE)</f>
        <v>Chai</v>
      </c>
      <c r="N443">
        <f>VLOOKUP(L443,[1]!Products,4,FALSE)</f>
        <v>1</v>
      </c>
      <c r="O443" s="6" t="str">
        <f>VLOOKUP(N443,[1]!Categories,2,FALSE)</f>
        <v>Beverages</v>
      </c>
      <c r="P443" s="6">
        <f>VLOOKUP(A443,[1]Order_Details!$A$1:$F$2156,3,FALSE)</f>
        <v>18</v>
      </c>
      <c r="Q443">
        <f>VLOOKUP(A443,[1]Order_Details!$A$1:$F$2156,4,FALSE)</f>
        <v>35</v>
      </c>
      <c r="R443">
        <f>VLOOKUP(A443,[1]Order_Details!$A$1:$F$2156,5,FALSE)</f>
        <v>0.25</v>
      </c>
      <c r="S443" s="6">
        <f>VLOOKUP(A443,[1]Order_Details!$A$1:$F$2156,6,FALSE)</f>
        <v>472.5</v>
      </c>
      <c r="T443" s="6">
        <f>VLOOKUP(A443,[1]!Orders,8,FALSE)</f>
        <v>13.42</v>
      </c>
    </row>
    <row r="444" spans="1:20" x14ac:dyDescent="0.3">
      <c r="A444" s="2">
        <v>10690</v>
      </c>
      <c r="B444" s="2" t="s">
        <v>6</v>
      </c>
      <c r="C444" s="2">
        <v>1</v>
      </c>
      <c r="D444" s="3">
        <v>35705</v>
      </c>
      <c r="E444" t="str">
        <f>VLOOKUP(C444,[1]Employees!$A$1:$O$10,4,FALSE)</f>
        <v>Davolio Nancy</v>
      </c>
      <c r="F444">
        <f>VLOOKUP(A444,[1]!Orders,7,FALSE)</f>
        <v>1</v>
      </c>
      <c r="G444" t="str">
        <f>VLOOKUP(F444,[1]!Shippers,2,FALSE)</f>
        <v>Speedy Express</v>
      </c>
      <c r="H444" t="str">
        <f>VLOOKUP(C444,[1]EmployeeTerritories!$A$1:$B$50,2,FALSE)</f>
        <v>06897</v>
      </c>
      <c r="I444">
        <f>VLOOKUP(C444,[1]EmployeeTerritories!$A$1:$B$50,1,FALSE)</f>
        <v>1</v>
      </c>
      <c r="J444">
        <f>VLOOKUP(H444,[1]!Territories,3,FALSE)</f>
        <v>1</v>
      </c>
      <c r="K444" t="str">
        <f>VLOOKUP(J444,[1]!Region,2,FALSE)</f>
        <v>Eastern</v>
      </c>
      <c r="L444">
        <f>VLOOKUP(A444,[1]Order_Details!$A$1:$F$2156,2,FALSE)</f>
        <v>56</v>
      </c>
      <c r="M444" t="str">
        <f>VLOOKUP(L444,[1]!Products,2,FALSE)</f>
        <v>Gnocchi di nonna Alice</v>
      </c>
      <c r="N444">
        <f>VLOOKUP(L444,[1]!Products,4,FALSE)</f>
        <v>5</v>
      </c>
      <c r="O444" s="6" t="str">
        <f>VLOOKUP(N444,[1]!Categories,2,FALSE)</f>
        <v>Grains/Cereals</v>
      </c>
      <c r="P444" s="6">
        <f>VLOOKUP(A444,[1]Order_Details!$A$1:$F$2156,3,FALSE)</f>
        <v>38</v>
      </c>
      <c r="Q444">
        <f>VLOOKUP(A444,[1]Order_Details!$A$1:$F$2156,4,FALSE)</f>
        <v>20</v>
      </c>
      <c r="R444">
        <f>VLOOKUP(A444,[1]Order_Details!$A$1:$F$2156,5,FALSE)</f>
        <v>0.25</v>
      </c>
      <c r="S444" s="6">
        <f>VLOOKUP(A444,[1]Order_Details!$A$1:$F$2156,6,FALSE)</f>
        <v>570</v>
      </c>
      <c r="T444" s="6">
        <f>VLOOKUP(A444,[1]!Orders,8,FALSE)</f>
        <v>15.8</v>
      </c>
    </row>
    <row r="445" spans="1:20" x14ac:dyDescent="0.3">
      <c r="A445" s="2">
        <v>10691</v>
      </c>
      <c r="B445" s="2" t="s">
        <v>25</v>
      </c>
      <c r="C445" s="2">
        <v>2</v>
      </c>
      <c r="D445" s="3">
        <v>35706</v>
      </c>
      <c r="E445" t="str">
        <f>VLOOKUP(C445,[1]Employees!$A$1:$O$10,4,FALSE)</f>
        <v>Fuller Andrew</v>
      </c>
      <c r="F445">
        <f>VLOOKUP(A445,[1]!Orders,7,FALSE)</f>
        <v>2</v>
      </c>
      <c r="G445" t="str">
        <f>VLOOKUP(F445,[1]!Shippers,2,FALSE)</f>
        <v>United Package</v>
      </c>
      <c r="H445" t="str">
        <f>VLOOKUP(C445,[1]EmployeeTerritories!$A$1:$B$50,2,FALSE)</f>
        <v>01581</v>
      </c>
      <c r="I445">
        <f>VLOOKUP(C445,[1]EmployeeTerritories!$A$1:$B$50,1,FALSE)</f>
        <v>2</v>
      </c>
      <c r="J445">
        <f>VLOOKUP(H445,[1]!Territories,3,FALSE)</f>
        <v>1</v>
      </c>
      <c r="K445" t="str">
        <f>VLOOKUP(J445,[1]!Region,2,FALSE)</f>
        <v>Eastern</v>
      </c>
      <c r="L445">
        <f>VLOOKUP(A445,[1]Order_Details!$A$1:$F$2156,2,FALSE)</f>
        <v>1</v>
      </c>
      <c r="M445" t="str">
        <f>VLOOKUP(L445,[1]!Products,2,FALSE)</f>
        <v>Chai</v>
      </c>
      <c r="N445">
        <f>VLOOKUP(L445,[1]!Products,4,FALSE)</f>
        <v>1</v>
      </c>
      <c r="O445" s="6" t="str">
        <f>VLOOKUP(N445,[1]!Categories,2,FALSE)</f>
        <v>Beverages</v>
      </c>
      <c r="P445" s="6">
        <f>VLOOKUP(A445,[1]Order_Details!$A$1:$F$2156,3,FALSE)</f>
        <v>18</v>
      </c>
      <c r="Q445">
        <f>VLOOKUP(A445,[1]Order_Details!$A$1:$F$2156,4,FALSE)</f>
        <v>30</v>
      </c>
      <c r="R445">
        <f>VLOOKUP(A445,[1]Order_Details!$A$1:$F$2156,5,FALSE)</f>
        <v>0</v>
      </c>
      <c r="S445" s="6">
        <f>VLOOKUP(A445,[1]Order_Details!$A$1:$F$2156,6,FALSE)</f>
        <v>540</v>
      </c>
      <c r="T445" s="6">
        <f>VLOOKUP(A445,[1]!Orders,8,FALSE)</f>
        <v>810.05</v>
      </c>
    </row>
    <row r="446" spans="1:20" x14ac:dyDescent="0.3">
      <c r="A446" s="2">
        <v>10692</v>
      </c>
      <c r="B446" s="2" t="s">
        <v>89</v>
      </c>
      <c r="C446" s="2">
        <v>4</v>
      </c>
      <c r="D446" s="3">
        <v>35706</v>
      </c>
      <c r="E446" t="str">
        <f>VLOOKUP(C446,[1]Employees!$A$1:$O$10,4,FALSE)</f>
        <v>Peacock Margaret</v>
      </c>
      <c r="F446">
        <f>VLOOKUP(A446,[1]!Orders,7,FALSE)</f>
        <v>2</v>
      </c>
      <c r="G446" t="str">
        <f>VLOOKUP(F446,[1]!Shippers,2,FALSE)</f>
        <v>United Package</v>
      </c>
      <c r="H446" t="str">
        <f>VLOOKUP(C446,[1]EmployeeTerritories!$A$1:$B$50,2,FALSE)</f>
        <v>20852</v>
      </c>
      <c r="I446">
        <f>VLOOKUP(C446,[1]EmployeeTerritories!$A$1:$B$50,1,FALSE)</f>
        <v>4</v>
      </c>
      <c r="J446">
        <f>VLOOKUP(H446,[1]!Territories,3,FALSE)</f>
        <v>1</v>
      </c>
      <c r="K446" t="str">
        <f>VLOOKUP(J446,[1]!Region,2,FALSE)</f>
        <v>Eastern</v>
      </c>
      <c r="L446">
        <f>VLOOKUP(A446,[1]Order_Details!$A$1:$F$2156,2,FALSE)</f>
        <v>63</v>
      </c>
      <c r="M446" t="str">
        <f>VLOOKUP(L446,[1]!Products,2,FALSE)</f>
        <v>Vegie-spread</v>
      </c>
      <c r="N446">
        <f>VLOOKUP(L446,[1]!Products,4,FALSE)</f>
        <v>2</v>
      </c>
      <c r="O446" s="6" t="str">
        <f>VLOOKUP(N446,[1]!Categories,2,FALSE)</f>
        <v>Condiments</v>
      </c>
      <c r="P446" s="6">
        <f>VLOOKUP(A446,[1]Order_Details!$A$1:$F$2156,3,FALSE)</f>
        <v>43.9</v>
      </c>
      <c r="Q446">
        <f>VLOOKUP(A446,[1]Order_Details!$A$1:$F$2156,4,FALSE)</f>
        <v>20</v>
      </c>
      <c r="R446">
        <f>VLOOKUP(A446,[1]Order_Details!$A$1:$F$2156,5,FALSE)</f>
        <v>0</v>
      </c>
      <c r="S446" s="6">
        <f>VLOOKUP(A446,[1]Order_Details!$A$1:$F$2156,6,FALSE)</f>
        <v>878</v>
      </c>
      <c r="T446" s="6">
        <f>VLOOKUP(A446,[1]!Orders,8,FALSE)</f>
        <v>61.02</v>
      </c>
    </row>
    <row r="447" spans="1:20" x14ac:dyDescent="0.3">
      <c r="A447" s="2">
        <v>10693</v>
      </c>
      <c r="B447" s="2" t="s">
        <v>23</v>
      </c>
      <c r="C447" s="2">
        <v>3</v>
      </c>
      <c r="D447" s="3">
        <v>35709</v>
      </c>
      <c r="E447" t="str">
        <f>VLOOKUP(C447,[1]Employees!$A$1:$O$10,4,FALSE)</f>
        <v>Leverling Janet</v>
      </c>
      <c r="F447">
        <f>VLOOKUP(A447,[1]!Orders,7,FALSE)</f>
        <v>3</v>
      </c>
      <c r="G447" t="str">
        <f>VLOOKUP(F447,[1]!Shippers,2,FALSE)</f>
        <v>Federal Shipping</v>
      </c>
      <c r="H447" t="str">
        <f>VLOOKUP(C447,[1]EmployeeTerritories!$A$1:$B$50,2,FALSE)</f>
        <v>30346</v>
      </c>
      <c r="I447">
        <f>VLOOKUP(C447,[1]EmployeeTerritories!$A$1:$B$50,1,FALSE)</f>
        <v>3</v>
      </c>
      <c r="J447">
        <f>VLOOKUP(H447,[1]!Territories,3,FALSE)</f>
        <v>4</v>
      </c>
      <c r="K447" t="str">
        <f>VLOOKUP(J447,[1]!Region,2,FALSE)</f>
        <v>Southern</v>
      </c>
      <c r="L447">
        <f>VLOOKUP(A447,[1]Order_Details!$A$1:$F$2156,2,FALSE)</f>
        <v>9</v>
      </c>
      <c r="M447" t="str">
        <f>VLOOKUP(L447,[1]!Products,2,FALSE)</f>
        <v>Mishi Kobe Niku</v>
      </c>
      <c r="N447">
        <f>VLOOKUP(L447,[1]!Products,4,FALSE)</f>
        <v>6</v>
      </c>
      <c r="O447" s="6" t="str">
        <f>VLOOKUP(N447,[1]!Categories,2,FALSE)</f>
        <v>Meat/Poultry</v>
      </c>
      <c r="P447" s="6">
        <f>VLOOKUP(A447,[1]Order_Details!$A$1:$F$2156,3,FALSE)</f>
        <v>97</v>
      </c>
      <c r="Q447">
        <f>VLOOKUP(A447,[1]Order_Details!$A$1:$F$2156,4,FALSE)</f>
        <v>6</v>
      </c>
      <c r="R447">
        <f>VLOOKUP(A447,[1]Order_Details!$A$1:$F$2156,5,FALSE)</f>
        <v>0</v>
      </c>
      <c r="S447" s="6">
        <f>VLOOKUP(A447,[1]Order_Details!$A$1:$F$2156,6,FALSE)</f>
        <v>582</v>
      </c>
      <c r="T447" s="6">
        <f>VLOOKUP(A447,[1]!Orders,8,FALSE)</f>
        <v>139.34</v>
      </c>
    </row>
    <row r="448" spans="1:20" x14ac:dyDescent="0.3">
      <c r="A448" s="2">
        <v>10694</v>
      </c>
      <c r="B448" s="2" t="s">
        <v>25</v>
      </c>
      <c r="C448" s="2">
        <v>8</v>
      </c>
      <c r="D448" s="3">
        <v>35709</v>
      </c>
      <c r="E448" t="str">
        <f>VLOOKUP(C448,[1]Employees!$A$1:$O$10,4,FALSE)</f>
        <v>Callahan Laura</v>
      </c>
      <c r="F448">
        <f>VLOOKUP(A448,[1]!Orders,7,FALSE)</f>
        <v>3</v>
      </c>
      <c r="G448" t="str">
        <f>VLOOKUP(F448,[1]!Shippers,2,FALSE)</f>
        <v>Federal Shipping</v>
      </c>
      <c r="H448" t="str">
        <f>VLOOKUP(C448,[1]EmployeeTerritories!$A$1:$B$50,2,FALSE)</f>
        <v>19428</v>
      </c>
      <c r="I448">
        <f>VLOOKUP(C448,[1]EmployeeTerritories!$A$1:$B$50,1,FALSE)</f>
        <v>8</v>
      </c>
      <c r="J448">
        <f>VLOOKUP(H448,[1]!Territories,3,FALSE)</f>
        <v>3</v>
      </c>
      <c r="K448" t="str">
        <f>VLOOKUP(J448,[1]!Region,2,FALSE)</f>
        <v>Northern</v>
      </c>
      <c r="L448">
        <f>VLOOKUP(A448,[1]Order_Details!$A$1:$F$2156,2,FALSE)</f>
        <v>7</v>
      </c>
      <c r="M448" t="str">
        <f>VLOOKUP(L448,[1]!Products,2,FALSE)</f>
        <v>Uncle Bob's Organic Dried Pears</v>
      </c>
      <c r="N448">
        <f>VLOOKUP(L448,[1]!Products,4,FALSE)</f>
        <v>7</v>
      </c>
      <c r="O448" s="6" t="str">
        <f>VLOOKUP(N448,[1]!Categories,2,FALSE)</f>
        <v>Produce</v>
      </c>
      <c r="P448" s="6">
        <f>VLOOKUP(A448,[1]Order_Details!$A$1:$F$2156,3,FALSE)</f>
        <v>30</v>
      </c>
      <c r="Q448">
        <f>VLOOKUP(A448,[1]Order_Details!$A$1:$F$2156,4,FALSE)</f>
        <v>90</v>
      </c>
      <c r="R448">
        <f>VLOOKUP(A448,[1]Order_Details!$A$1:$F$2156,5,FALSE)</f>
        <v>0</v>
      </c>
      <c r="S448" s="6">
        <f>VLOOKUP(A448,[1]Order_Details!$A$1:$F$2156,6,FALSE)</f>
        <v>2700</v>
      </c>
      <c r="T448" s="6">
        <f>VLOOKUP(A448,[1]!Orders,8,FALSE)</f>
        <v>398.36</v>
      </c>
    </row>
    <row r="449" spans="1:20" x14ac:dyDescent="0.3">
      <c r="A449" s="2">
        <v>10695</v>
      </c>
      <c r="B449" s="2" t="s">
        <v>87</v>
      </c>
      <c r="C449" s="2">
        <v>7</v>
      </c>
      <c r="D449" s="3">
        <v>35710</v>
      </c>
      <c r="E449" t="str">
        <f>VLOOKUP(C449,[1]Employees!$A$1:$O$10,4,FALSE)</f>
        <v>King Robert</v>
      </c>
      <c r="F449">
        <f>VLOOKUP(A449,[1]!Orders,7,FALSE)</f>
        <v>1</v>
      </c>
      <c r="G449" t="str">
        <f>VLOOKUP(F449,[1]!Shippers,2,FALSE)</f>
        <v>Speedy Express</v>
      </c>
      <c r="H449" t="str">
        <f>VLOOKUP(C449,[1]EmployeeTerritories!$A$1:$B$50,2,FALSE)</f>
        <v>60179</v>
      </c>
      <c r="I449">
        <f>VLOOKUP(C449,[1]EmployeeTerritories!$A$1:$B$50,1,FALSE)</f>
        <v>7</v>
      </c>
      <c r="J449">
        <f>VLOOKUP(H449,[1]!Territories,3,FALSE)</f>
        <v>2</v>
      </c>
      <c r="K449" t="str">
        <f>VLOOKUP(J449,[1]!Region,2,FALSE)</f>
        <v>Western</v>
      </c>
      <c r="L449">
        <f>VLOOKUP(A449,[1]Order_Details!$A$1:$F$2156,2,FALSE)</f>
        <v>8</v>
      </c>
      <c r="M449" t="str">
        <f>VLOOKUP(L449,[1]!Products,2,FALSE)</f>
        <v>Northwoods Cranberry Sauce</v>
      </c>
      <c r="N449">
        <f>VLOOKUP(L449,[1]!Products,4,FALSE)</f>
        <v>2</v>
      </c>
      <c r="O449" s="6" t="str">
        <f>VLOOKUP(N449,[1]!Categories,2,FALSE)</f>
        <v>Condiments</v>
      </c>
      <c r="P449" s="6">
        <f>VLOOKUP(A449,[1]Order_Details!$A$1:$F$2156,3,FALSE)</f>
        <v>40</v>
      </c>
      <c r="Q449">
        <f>VLOOKUP(A449,[1]Order_Details!$A$1:$F$2156,4,FALSE)</f>
        <v>10</v>
      </c>
      <c r="R449">
        <f>VLOOKUP(A449,[1]Order_Details!$A$1:$F$2156,5,FALSE)</f>
        <v>0</v>
      </c>
      <c r="S449" s="6">
        <f>VLOOKUP(A449,[1]Order_Details!$A$1:$F$2156,6,FALSE)</f>
        <v>400</v>
      </c>
      <c r="T449" s="6">
        <f>VLOOKUP(A449,[1]!Orders,8,FALSE)</f>
        <v>16.72</v>
      </c>
    </row>
    <row r="450" spans="1:20" x14ac:dyDescent="0.3">
      <c r="A450" s="2">
        <v>10696</v>
      </c>
      <c r="B450" s="2" t="s">
        <v>23</v>
      </c>
      <c r="C450" s="2">
        <v>8</v>
      </c>
      <c r="D450" s="3">
        <v>35711</v>
      </c>
      <c r="E450" t="str">
        <f>VLOOKUP(C450,[1]Employees!$A$1:$O$10,4,FALSE)</f>
        <v>Callahan Laura</v>
      </c>
      <c r="F450">
        <f>VLOOKUP(A450,[1]!Orders,7,FALSE)</f>
        <v>3</v>
      </c>
      <c r="G450" t="str">
        <f>VLOOKUP(F450,[1]!Shippers,2,FALSE)</f>
        <v>Federal Shipping</v>
      </c>
      <c r="H450" t="str">
        <f>VLOOKUP(C450,[1]EmployeeTerritories!$A$1:$B$50,2,FALSE)</f>
        <v>19428</v>
      </c>
      <c r="I450">
        <f>VLOOKUP(C450,[1]EmployeeTerritories!$A$1:$B$50,1,FALSE)</f>
        <v>8</v>
      </c>
      <c r="J450">
        <f>VLOOKUP(H450,[1]!Territories,3,FALSE)</f>
        <v>3</v>
      </c>
      <c r="K450" t="str">
        <f>VLOOKUP(J450,[1]!Region,2,FALSE)</f>
        <v>Northern</v>
      </c>
      <c r="L450">
        <f>VLOOKUP(A450,[1]Order_Details!$A$1:$F$2156,2,FALSE)</f>
        <v>17</v>
      </c>
      <c r="M450" t="str">
        <f>VLOOKUP(L450,[1]!Products,2,FALSE)</f>
        <v>Alice Mutton</v>
      </c>
      <c r="N450">
        <f>VLOOKUP(L450,[1]!Products,4,FALSE)</f>
        <v>6</v>
      </c>
      <c r="O450" s="6" t="str">
        <f>VLOOKUP(N450,[1]!Categories,2,FALSE)</f>
        <v>Meat/Poultry</v>
      </c>
      <c r="P450" s="6">
        <f>VLOOKUP(A450,[1]Order_Details!$A$1:$F$2156,3,FALSE)</f>
        <v>39</v>
      </c>
      <c r="Q450">
        <f>VLOOKUP(A450,[1]Order_Details!$A$1:$F$2156,4,FALSE)</f>
        <v>20</v>
      </c>
      <c r="R450">
        <f>VLOOKUP(A450,[1]Order_Details!$A$1:$F$2156,5,FALSE)</f>
        <v>0</v>
      </c>
      <c r="S450" s="6">
        <f>VLOOKUP(A450,[1]Order_Details!$A$1:$F$2156,6,FALSE)</f>
        <v>780</v>
      </c>
      <c r="T450" s="6">
        <f>VLOOKUP(A450,[1]!Orders,8,FALSE)</f>
        <v>102.55</v>
      </c>
    </row>
    <row r="451" spans="1:20" x14ac:dyDescent="0.3">
      <c r="A451" s="2">
        <v>10697</v>
      </c>
      <c r="B451" s="2" t="s">
        <v>71</v>
      </c>
      <c r="C451" s="2">
        <v>3</v>
      </c>
      <c r="D451" s="3">
        <v>35711</v>
      </c>
      <c r="E451" t="str">
        <f>VLOOKUP(C451,[1]Employees!$A$1:$O$10,4,FALSE)</f>
        <v>Leverling Janet</v>
      </c>
      <c r="F451">
        <f>VLOOKUP(A451,[1]!Orders,7,FALSE)</f>
        <v>1</v>
      </c>
      <c r="G451" t="str">
        <f>VLOOKUP(F451,[1]!Shippers,2,FALSE)</f>
        <v>Speedy Express</v>
      </c>
      <c r="H451" t="str">
        <f>VLOOKUP(C451,[1]EmployeeTerritories!$A$1:$B$50,2,FALSE)</f>
        <v>30346</v>
      </c>
      <c r="I451">
        <f>VLOOKUP(C451,[1]EmployeeTerritories!$A$1:$B$50,1,FALSE)</f>
        <v>3</v>
      </c>
      <c r="J451">
        <f>VLOOKUP(H451,[1]!Territories,3,FALSE)</f>
        <v>4</v>
      </c>
      <c r="K451" t="str">
        <f>VLOOKUP(J451,[1]!Region,2,FALSE)</f>
        <v>Southern</v>
      </c>
      <c r="L451">
        <f>VLOOKUP(A451,[1]Order_Details!$A$1:$F$2156,2,FALSE)</f>
        <v>19</v>
      </c>
      <c r="M451" t="str">
        <f>VLOOKUP(L451,[1]!Products,2,FALSE)</f>
        <v>Teatime Chocolate Biscuits</v>
      </c>
      <c r="N451">
        <f>VLOOKUP(L451,[1]!Products,4,FALSE)</f>
        <v>3</v>
      </c>
      <c r="O451" s="6" t="str">
        <f>VLOOKUP(N451,[1]!Categories,2,FALSE)</f>
        <v>Confections</v>
      </c>
      <c r="P451" s="6">
        <f>VLOOKUP(A451,[1]Order_Details!$A$1:$F$2156,3,FALSE)</f>
        <v>9.1999999999999993</v>
      </c>
      <c r="Q451">
        <f>VLOOKUP(A451,[1]Order_Details!$A$1:$F$2156,4,FALSE)</f>
        <v>7</v>
      </c>
      <c r="R451">
        <f>VLOOKUP(A451,[1]Order_Details!$A$1:$F$2156,5,FALSE)</f>
        <v>0.25</v>
      </c>
      <c r="S451" s="6">
        <f>VLOOKUP(A451,[1]Order_Details!$A$1:$F$2156,6,FALSE)</f>
        <v>48.3</v>
      </c>
      <c r="T451" s="6">
        <f>VLOOKUP(A451,[1]!Orders,8,FALSE)</f>
        <v>45.52</v>
      </c>
    </row>
    <row r="452" spans="1:20" x14ac:dyDescent="0.3">
      <c r="A452" s="2">
        <v>10698</v>
      </c>
      <c r="B452" s="2" t="s">
        <v>13</v>
      </c>
      <c r="C452" s="2">
        <v>4</v>
      </c>
      <c r="D452" s="3">
        <v>35712</v>
      </c>
      <c r="E452" t="str">
        <f>VLOOKUP(C452,[1]Employees!$A$1:$O$10,4,FALSE)</f>
        <v>Peacock Margaret</v>
      </c>
      <c r="F452">
        <f>VLOOKUP(A452,[1]!Orders,7,FALSE)</f>
        <v>1</v>
      </c>
      <c r="G452" t="str">
        <f>VLOOKUP(F452,[1]!Shippers,2,FALSE)</f>
        <v>Speedy Express</v>
      </c>
      <c r="H452" t="str">
        <f>VLOOKUP(C452,[1]EmployeeTerritories!$A$1:$B$50,2,FALSE)</f>
        <v>20852</v>
      </c>
      <c r="I452">
        <f>VLOOKUP(C452,[1]EmployeeTerritories!$A$1:$B$50,1,FALSE)</f>
        <v>4</v>
      </c>
      <c r="J452">
        <f>VLOOKUP(H452,[1]!Territories,3,FALSE)</f>
        <v>1</v>
      </c>
      <c r="K452" t="str">
        <f>VLOOKUP(J452,[1]!Region,2,FALSE)</f>
        <v>Eastern</v>
      </c>
      <c r="L452">
        <f>VLOOKUP(A452,[1]Order_Details!$A$1:$F$2156,2,FALSE)</f>
        <v>11</v>
      </c>
      <c r="M452" t="str">
        <f>VLOOKUP(L452,[1]!Products,2,FALSE)</f>
        <v>Queso Cabrales</v>
      </c>
      <c r="N452">
        <f>VLOOKUP(L452,[1]!Products,4,FALSE)</f>
        <v>4</v>
      </c>
      <c r="O452" s="6" t="str">
        <f>VLOOKUP(N452,[1]!Categories,2,FALSE)</f>
        <v>Dairy Products</v>
      </c>
      <c r="P452" s="6">
        <f>VLOOKUP(A452,[1]Order_Details!$A$1:$F$2156,3,FALSE)</f>
        <v>21</v>
      </c>
      <c r="Q452">
        <f>VLOOKUP(A452,[1]Order_Details!$A$1:$F$2156,4,FALSE)</f>
        <v>15</v>
      </c>
      <c r="R452">
        <f>VLOOKUP(A452,[1]Order_Details!$A$1:$F$2156,5,FALSE)</f>
        <v>0</v>
      </c>
      <c r="S452" s="6">
        <f>VLOOKUP(A452,[1]Order_Details!$A$1:$F$2156,6,FALSE)</f>
        <v>315</v>
      </c>
      <c r="T452" s="6">
        <f>VLOOKUP(A452,[1]!Orders,8,FALSE)</f>
        <v>272.47000000000003</v>
      </c>
    </row>
    <row r="453" spans="1:20" x14ac:dyDescent="0.3">
      <c r="A453" s="2">
        <v>10699</v>
      </c>
      <c r="B453" s="2" t="s">
        <v>28</v>
      </c>
      <c r="C453" s="2">
        <v>3</v>
      </c>
      <c r="D453" s="3">
        <v>35712</v>
      </c>
      <c r="E453" t="str">
        <f>VLOOKUP(C453,[1]Employees!$A$1:$O$10,4,FALSE)</f>
        <v>Leverling Janet</v>
      </c>
      <c r="F453">
        <f>VLOOKUP(A453,[1]!Orders,7,FALSE)</f>
        <v>3</v>
      </c>
      <c r="G453" t="str">
        <f>VLOOKUP(F453,[1]!Shippers,2,FALSE)</f>
        <v>Federal Shipping</v>
      </c>
      <c r="H453" t="str">
        <f>VLOOKUP(C453,[1]EmployeeTerritories!$A$1:$B$50,2,FALSE)</f>
        <v>30346</v>
      </c>
      <c r="I453">
        <f>VLOOKUP(C453,[1]EmployeeTerritories!$A$1:$B$50,1,FALSE)</f>
        <v>3</v>
      </c>
      <c r="J453">
        <f>VLOOKUP(H453,[1]!Territories,3,FALSE)</f>
        <v>4</v>
      </c>
      <c r="K453" t="str">
        <f>VLOOKUP(J453,[1]!Region,2,FALSE)</f>
        <v>Southern</v>
      </c>
      <c r="L453">
        <f>VLOOKUP(A453,[1]Order_Details!$A$1:$F$2156,2,FALSE)</f>
        <v>47</v>
      </c>
      <c r="M453" t="str">
        <f>VLOOKUP(L453,[1]!Products,2,FALSE)</f>
        <v>Zaanse koeken</v>
      </c>
      <c r="N453">
        <f>VLOOKUP(L453,[1]!Products,4,FALSE)</f>
        <v>3</v>
      </c>
      <c r="O453" s="6" t="str">
        <f>VLOOKUP(N453,[1]!Categories,2,FALSE)</f>
        <v>Confections</v>
      </c>
      <c r="P453" s="6">
        <f>VLOOKUP(A453,[1]Order_Details!$A$1:$F$2156,3,FALSE)</f>
        <v>9.5</v>
      </c>
      <c r="Q453">
        <f>VLOOKUP(A453,[1]Order_Details!$A$1:$F$2156,4,FALSE)</f>
        <v>12</v>
      </c>
      <c r="R453">
        <f>VLOOKUP(A453,[1]Order_Details!$A$1:$F$2156,5,FALSE)</f>
        <v>0</v>
      </c>
      <c r="S453" s="6">
        <f>VLOOKUP(A453,[1]Order_Details!$A$1:$F$2156,6,FALSE)</f>
        <v>114</v>
      </c>
      <c r="T453" s="6">
        <f>VLOOKUP(A453,[1]!Orders,8,FALSE)</f>
        <v>0.57999999999999996</v>
      </c>
    </row>
    <row r="454" spans="1:20" x14ac:dyDescent="0.3">
      <c r="A454" s="2">
        <v>10700</v>
      </c>
      <c r="B454" s="2" t="s">
        <v>49</v>
      </c>
      <c r="C454" s="2">
        <v>3</v>
      </c>
      <c r="D454" s="3">
        <v>35713</v>
      </c>
      <c r="E454" t="str">
        <f>VLOOKUP(C454,[1]Employees!$A$1:$O$10,4,FALSE)</f>
        <v>Leverling Janet</v>
      </c>
      <c r="F454">
        <f>VLOOKUP(A454,[1]!Orders,7,FALSE)</f>
        <v>1</v>
      </c>
      <c r="G454" t="str">
        <f>VLOOKUP(F454,[1]!Shippers,2,FALSE)</f>
        <v>Speedy Express</v>
      </c>
      <c r="H454" t="str">
        <f>VLOOKUP(C454,[1]EmployeeTerritories!$A$1:$B$50,2,FALSE)</f>
        <v>30346</v>
      </c>
      <c r="I454">
        <f>VLOOKUP(C454,[1]EmployeeTerritories!$A$1:$B$50,1,FALSE)</f>
        <v>3</v>
      </c>
      <c r="J454">
        <f>VLOOKUP(H454,[1]!Territories,3,FALSE)</f>
        <v>4</v>
      </c>
      <c r="K454" t="str">
        <f>VLOOKUP(J454,[1]!Region,2,FALSE)</f>
        <v>Southern</v>
      </c>
      <c r="L454">
        <f>VLOOKUP(A454,[1]Order_Details!$A$1:$F$2156,2,FALSE)</f>
        <v>1</v>
      </c>
      <c r="M454" t="str">
        <f>VLOOKUP(L454,[1]!Products,2,FALSE)</f>
        <v>Chai</v>
      </c>
      <c r="N454">
        <f>VLOOKUP(L454,[1]!Products,4,FALSE)</f>
        <v>1</v>
      </c>
      <c r="O454" s="6" t="str">
        <f>VLOOKUP(N454,[1]!Categories,2,FALSE)</f>
        <v>Beverages</v>
      </c>
      <c r="P454" s="6">
        <f>VLOOKUP(A454,[1]Order_Details!$A$1:$F$2156,3,FALSE)</f>
        <v>18</v>
      </c>
      <c r="Q454">
        <f>VLOOKUP(A454,[1]Order_Details!$A$1:$F$2156,4,FALSE)</f>
        <v>5</v>
      </c>
      <c r="R454">
        <f>VLOOKUP(A454,[1]Order_Details!$A$1:$F$2156,5,FALSE)</f>
        <v>0.20000000298023224</v>
      </c>
      <c r="S454" s="6">
        <f>VLOOKUP(A454,[1]Order_Details!$A$1:$F$2156,6,FALSE)</f>
        <v>71.999999731779099</v>
      </c>
      <c r="T454" s="6">
        <f>VLOOKUP(A454,[1]!Orders,8,FALSE)</f>
        <v>65.099999999999994</v>
      </c>
    </row>
    <row r="455" spans="1:20" x14ac:dyDescent="0.3">
      <c r="A455" s="2">
        <v>10701</v>
      </c>
      <c r="B455" s="2" t="s">
        <v>38</v>
      </c>
      <c r="C455" s="2">
        <v>6</v>
      </c>
      <c r="D455" s="3">
        <v>35716</v>
      </c>
      <c r="E455" t="str">
        <f>VLOOKUP(C455,[1]Employees!$A$1:$O$10,4,FALSE)</f>
        <v>Suyama Michael</v>
      </c>
      <c r="F455">
        <f>VLOOKUP(A455,[1]!Orders,7,FALSE)</f>
        <v>3</v>
      </c>
      <c r="G455" t="str">
        <f>VLOOKUP(F455,[1]!Shippers,2,FALSE)</f>
        <v>Federal Shipping</v>
      </c>
      <c r="H455" t="str">
        <f>VLOOKUP(C455,[1]EmployeeTerritories!$A$1:$B$50,2,FALSE)</f>
        <v>85014</v>
      </c>
      <c r="I455">
        <f>VLOOKUP(C455,[1]EmployeeTerritories!$A$1:$B$50,1,FALSE)</f>
        <v>6</v>
      </c>
      <c r="J455">
        <f>VLOOKUP(H455,[1]!Territories,3,FALSE)</f>
        <v>2</v>
      </c>
      <c r="K455" t="str">
        <f>VLOOKUP(J455,[1]!Region,2,FALSE)</f>
        <v>Western</v>
      </c>
      <c r="L455">
        <f>VLOOKUP(A455,[1]Order_Details!$A$1:$F$2156,2,FALSE)</f>
        <v>59</v>
      </c>
      <c r="M455" t="str">
        <f>VLOOKUP(L455,[1]!Products,2,FALSE)</f>
        <v>Raclette Courdavault</v>
      </c>
      <c r="N455">
        <f>VLOOKUP(L455,[1]!Products,4,FALSE)</f>
        <v>4</v>
      </c>
      <c r="O455" s="6" t="str">
        <f>VLOOKUP(N455,[1]!Categories,2,FALSE)</f>
        <v>Dairy Products</v>
      </c>
      <c r="P455" s="6">
        <f>VLOOKUP(A455,[1]Order_Details!$A$1:$F$2156,3,FALSE)</f>
        <v>55</v>
      </c>
      <c r="Q455">
        <f>VLOOKUP(A455,[1]Order_Details!$A$1:$F$2156,4,FALSE)</f>
        <v>42</v>
      </c>
      <c r="R455">
        <f>VLOOKUP(A455,[1]Order_Details!$A$1:$F$2156,5,FALSE)</f>
        <v>0.15000000596046448</v>
      </c>
      <c r="S455" s="6">
        <f>VLOOKUP(A455,[1]Order_Details!$A$1:$F$2156,6,FALSE)</f>
        <v>1963.4999862313271</v>
      </c>
      <c r="T455" s="6">
        <f>VLOOKUP(A455,[1]!Orders,8,FALSE)</f>
        <v>220.31</v>
      </c>
    </row>
    <row r="456" spans="1:20" x14ac:dyDescent="0.3">
      <c r="A456" s="2">
        <v>10702</v>
      </c>
      <c r="B456" s="2" t="s">
        <v>89</v>
      </c>
      <c r="C456" s="2">
        <v>4</v>
      </c>
      <c r="D456" s="3">
        <v>35716</v>
      </c>
      <c r="E456" t="str">
        <f>VLOOKUP(C456,[1]Employees!$A$1:$O$10,4,FALSE)</f>
        <v>Peacock Margaret</v>
      </c>
      <c r="F456">
        <f>VLOOKUP(A456,[1]!Orders,7,FALSE)</f>
        <v>1</v>
      </c>
      <c r="G456" t="str">
        <f>VLOOKUP(F456,[1]!Shippers,2,FALSE)</f>
        <v>Speedy Express</v>
      </c>
      <c r="H456" t="str">
        <f>VLOOKUP(C456,[1]EmployeeTerritories!$A$1:$B$50,2,FALSE)</f>
        <v>20852</v>
      </c>
      <c r="I456">
        <f>VLOOKUP(C456,[1]EmployeeTerritories!$A$1:$B$50,1,FALSE)</f>
        <v>4</v>
      </c>
      <c r="J456">
        <f>VLOOKUP(H456,[1]!Territories,3,FALSE)</f>
        <v>1</v>
      </c>
      <c r="K456" t="str">
        <f>VLOOKUP(J456,[1]!Region,2,FALSE)</f>
        <v>Eastern</v>
      </c>
      <c r="L456">
        <f>VLOOKUP(A456,[1]Order_Details!$A$1:$F$2156,2,FALSE)</f>
        <v>3</v>
      </c>
      <c r="M456" t="str">
        <f>VLOOKUP(L456,[1]!Products,2,FALSE)</f>
        <v>Aniseed Syrup</v>
      </c>
      <c r="N456">
        <f>VLOOKUP(L456,[1]!Products,4,FALSE)</f>
        <v>2</v>
      </c>
      <c r="O456" s="6" t="str">
        <f>VLOOKUP(N456,[1]!Categories,2,FALSE)</f>
        <v>Condiments</v>
      </c>
      <c r="P456" s="6">
        <f>VLOOKUP(A456,[1]Order_Details!$A$1:$F$2156,3,FALSE)</f>
        <v>10</v>
      </c>
      <c r="Q456">
        <f>VLOOKUP(A456,[1]Order_Details!$A$1:$F$2156,4,FALSE)</f>
        <v>6</v>
      </c>
      <c r="R456">
        <f>VLOOKUP(A456,[1]Order_Details!$A$1:$F$2156,5,FALSE)</f>
        <v>0</v>
      </c>
      <c r="S456" s="6">
        <f>VLOOKUP(A456,[1]Order_Details!$A$1:$F$2156,6,FALSE)</f>
        <v>60</v>
      </c>
      <c r="T456" s="6">
        <f>VLOOKUP(A456,[1]!Orders,8,FALSE)</f>
        <v>23.94</v>
      </c>
    </row>
    <row r="457" spans="1:20" x14ac:dyDescent="0.3">
      <c r="A457" s="2">
        <v>10703</v>
      </c>
      <c r="B457" s="2" t="s">
        <v>18</v>
      </c>
      <c r="C457" s="2">
        <v>6</v>
      </c>
      <c r="D457" s="3">
        <v>35717</v>
      </c>
      <c r="E457" t="str">
        <f>VLOOKUP(C457,[1]Employees!$A$1:$O$10,4,FALSE)</f>
        <v>Suyama Michael</v>
      </c>
      <c r="F457">
        <f>VLOOKUP(A457,[1]!Orders,7,FALSE)</f>
        <v>2</v>
      </c>
      <c r="G457" t="str">
        <f>VLOOKUP(F457,[1]!Shippers,2,FALSE)</f>
        <v>United Package</v>
      </c>
      <c r="H457" t="str">
        <f>VLOOKUP(C457,[1]EmployeeTerritories!$A$1:$B$50,2,FALSE)</f>
        <v>85014</v>
      </c>
      <c r="I457">
        <f>VLOOKUP(C457,[1]EmployeeTerritories!$A$1:$B$50,1,FALSE)</f>
        <v>6</v>
      </c>
      <c r="J457">
        <f>VLOOKUP(H457,[1]!Territories,3,FALSE)</f>
        <v>2</v>
      </c>
      <c r="K457" t="str">
        <f>VLOOKUP(J457,[1]!Region,2,FALSE)</f>
        <v>Western</v>
      </c>
      <c r="L457">
        <f>VLOOKUP(A457,[1]Order_Details!$A$1:$F$2156,2,FALSE)</f>
        <v>2</v>
      </c>
      <c r="M457" t="str">
        <f>VLOOKUP(L457,[1]!Products,2,FALSE)</f>
        <v>Chang</v>
      </c>
      <c r="N457">
        <f>VLOOKUP(L457,[1]!Products,4,FALSE)</f>
        <v>1</v>
      </c>
      <c r="O457" s="6" t="str">
        <f>VLOOKUP(N457,[1]!Categories,2,FALSE)</f>
        <v>Beverages</v>
      </c>
      <c r="P457" s="6">
        <f>VLOOKUP(A457,[1]Order_Details!$A$1:$F$2156,3,FALSE)</f>
        <v>19</v>
      </c>
      <c r="Q457">
        <f>VLOOKUP(A457,[1]Order_Details!$A$1:$F$2156,4,FALSE)</f>
        <v>5</v>
      </c>
      <c r="R457">
        <f>VLOOKUP(A457,[1]Order_Details!$A$1:$F$2156,5,FALSE)</f>
        <v>0</v>
      </c>
      <c r="S457" s="6">
        <f>VLOOKUP(A457,[1]Order_Details!$A$1:$F$2156,6,FALSE)</f>
        <v>95</v>
      </c>
      <c r="T457" s="6">
        <f>VLOOKUP(A457,[1]!Orders,8,FALSE)</f>
        <v>152.30000000000001</v>
      </c>
    </row>
    <row r="458" spans="1:20" x14ac:dyDescent="0.3">
      <c r="A458" s="2">
        <v>10704</v>
      </c>
      <c r="B458" s="2" t="s">
        <v>66</v>
      </c>
      <c r="C458" s="2">
        <v>6</v>
      </c>
      <c r="D458" s="3">
        <v>35717</v>
      </c>
      <c r="E458" t="str">
        <f>VLOOKUP(C458,[1]Employees!$A$1:$O$10,4,FALSE)</f>
        <v>Suyama Michael</v>
      </c>
      <c r="F458">
        <f>VLOOKUP(A458,[1]!Orders,7,FALSE)</f>
        <v>1</v>
      </c>
      <c r="G458" t="str">
        <f>VLOOKUP(F458,[1]!Shippers,2,FALSE)</f>
        <v>Speedy Express</v>
      </c>
      <c r="H458" t="str">
        <f>VLOOKUP(C458,[1]EmployeeTerritories!$A$1:$B$50,2,FALSE)</f>
        <v>85014</v>
      </c>
      <c r="I458">
        <f>VLOOKUP(C458,[1]EmployeeTerritories!$A$1:$B$50,1,FALSE)</f>
        <v>6</v>
      </c>
      <c r="J458">
        <f>VLOOKUP(H458,[1]!Territories,3,FALSE)</f>
        <v>2</v>
      </c>
      <c r="K458" t="str">
        <f>VLOOKUP(J458,[1]!Region,2,FALSE)</f>
        <v>Western</v>
      </c>
      <c r="L458">
        <f>VLOOKUP(A458,[1]Order_Details!$A$1:$F$2156,2,FALSE)</f>
        <v>4</v>
      </c>
      <c r="M458" t="str">
        <f>VLOOKUP(L458,[1]!Products,2,FALSE)</f>
        <v>Chef Anton's Cajun Seasoning</v>
      </c>
      <c r="N458">
        <f>VLOOKUP(L458,[1]!Products,4,FALSE)</f>
        <v>2</v>
      </c>
      <c r="O458" s="6" t="str">
        <f>VLOOKUP(N458,[1]!Categories,2,FALSE)</f>
        <v>Condiments</v>
      </c>
      <c r="P458" s="6">
        <f>VLOOKUP(A458,[1]Order_Details!$A$1:$F$2156,3,FALSE)</f>
        <v>22</v>
      </c>
      <c r="Q458">
        <f>VLOOKUP(A458,[1]Order_Details!$A$1:$F$2156,4,FALSE)</f>
        <v>6</v>
      </c>
      <c r="R458">
        <f>VLOOKUP(A458,[1]Order_Details!$A$1:$F$2156,5,FALSE)</f>
        <v>0</v>
      </c>
      <c r="S458" s="6">
        <f>VLOOKUP(A458,[1]Order_Details!$A$1:$F$2156,6,FALSE)</f>
        <v>132</v>
      </c>
      <c r="T458" s="6">
        <f>VLOOKUP(A458,[1]!Orders,8,FALSE)</f>
        <v>4.78</v>
      </c>
    </row>
    <row r="459" spans="1:20" x14ac:dyDescent="0.3">
      <c r="A459" s="2">
        <v>10705</v>
      </c>
      <c r="B459" s="2" t="s">
        <v>12</v>
      </c>
      <c r="C459" s="2">
        <v>9</v>
      </c>
      <c r="D459" s="3">
        <v>35718</v>
      </c>
      <c r="E459" t="str">
        <f>VLOOKUP(C459,[1]Employees!$A$1:$O$10,4,FALSE)</f>
        <v>Dodsworth Anne</v>
      </c>
      <c r="F459">
        <f>VLOOKUP(A459,[1]!Orders,7,FALSE)</f>
        <v>2</v>
      </c>
      <c r="G459" t="str">
        <f>VLOOKUP(F459,[1]!Shippers,2,FALSE)</f>
        <v>United Package</v>
      </c>
      <c r="H459" t="str">
        <f>VLOOKUP(C459,[1]EmployeeTerritories!$A$1:$B$50,2,FALSE)</f>
        <v>03049</v>
      </c>
      <c r="I459">
        <f>VLOOKUP(C459,[1]EmployeeTerritories!$A$1:$B$50,1,FALSE)</f>
        <v>9</v>
      </c>
      <c r="J459">
        <f>VLOOKUP(H459,[1]!Territories,3,FALSE)</f>
        <v>3</v>
      </c>
      <c r="K459" t="str">
        <f>VLOOKUP(J459,[1]!Region,2,FALSE)</f>
        <v>Northern</v>
      </c>
      <c r="L459">
        <f>VLOOKUP(A459,[1]Order_Details!$A$1:$F$2156,2,FALSE)</f>
        <v>31</v>
      </c>
      <c r="M459" t="str">
        <f>VLOOKUP(L459,[1]!Products,2,FALSE)</f>
        <v>Gorgonzola Telino</v>
      </c>
      <c r="N459">
        <f>VLOOKUP(L459,[1]!Products,4,FALSE)</f>
        <v>4</v>
      </c>
      <c r="O459" s="6" t="str">
        <f>VLOOKUP(N459,[1]!Categories,2,FALSE)</f>
        <v>Dairy Products</v>
      </c>
      <c r="P459" s="6">
        <f>VLOOKUP(A459,[1]Order_Details!$A$1:$F$2156,3,FALSE)</f>
        <v>12.5</v>
      </c>
      <c r="Q459">
        <f>VLOOKUP(A459,[1]Order_Details!$A$1:$F$2156,4,FALSE)</f>
        <v>20</v>
      </c>
      <c r="R459">
        <f>VLOOKUP(A459,[1]Order_Details!$A$1:$F$2156,5,FALSE)</f>
        <v>0</v>
      </c>
      <c r="S459" s="6">
        <f>VLOOKUP(A459,[1]Order_Details!$A$1:$F$2156,6,FALSE)</f>
        <v>250</v>
      </c>
      <c r="T459" s="6">
        <f>VLOOKUP(A459,[1]!Orders,8,FALSE)</f>
        <v>3.52</v>
      </c>
    </row>
    <row r="460" spans="1:20" x14ac:dyDescent="0.3">
      <c r="A460" s="2">
        <v>10706</v>
      </c>
      <c r="B460" s="2" t="s">
        <v>41</v>
      </c>
      <c r="C460" s="2">
        <v>8</v>
      </c>
      <c r="D460" s="3">
        <v>35719</v>
      </c>
      <c r="E460" t="str">
        <f>VLOOKUP(C460,[1]Employees!$A$1:$O$10,4,FALSE)</f>
        <v>Callahan Laura</v>
      </c>
      <c r="F460">
        <f>VLOOKUP(A460,[1]!Orders,7,FALSE)</f>
        <v>3</v>
      </c>
      <c r="G460" t="str">
        <f>VLOOKUP(F460,[1]!Shippers,2,FALSE)</f>
        <v>Federal Shipping</v>
      </c>
      <c r="H460" t="str">
        <f>VLOOKUP(C460,[1]EmployeeTerritories!$A$1:$B$50,2,FALSE)</f>
        <v>19428</v>
      </c>
      <c r="I460">
        <f>VLOOKUP(C460,[1]EmployeeTerritories!$A$1:$B$50,1,FALSE)</f>
        <v>8</v>
      </c>
      <c r="J460">
        <f>VLOOKUP(H460,[1]!Territories,3,FALSE)</f>
        <v>3</v>
      </c>
      <c r="K460" t="str">
        <f>VLOOKUP(J460,[1]!Region,2,FALSE)</f>
        <v>Northern</v>
      </c>
      <c r="L460">
        <f>VLOOKUP(A460,[1]Order_Details!$A$1:$F$2156,2,FALSE)</f>
        <v>16</v>
      </c>
      <c r="M460" t="str">
        <f>VLOOKUP(L460,[1]!Products,2,FALSE)</f>
        <v>Pavlova</v>
      </c>
      <c r="N460">
        <f>VLOOKUP(L460,[1]!Products,4,FALSE)</f>
        <v>3</v>
      </c>
      <c r="O460" s="6" t="str">
        <f>VLOOKUP(N460,[1]!Categories,2,FALSE)</f>
        <v>Confections</v>
      </c>
      <c r="P460" s="6">
        <f>VLOOKUP(A460,[1]Order_Details!$A$1:$F$2156,3,FALSE)</f>
        <v>17.45</v>
      </c>
      <c r="Q460">
        <f>VLOOKUP(A460,[1]Order_Details!$A$1:$F$2156,4,FALSE)</f>
        <v>20</v>
      </c>
      <c r="R460">
        <f>VLOOKUP(A460,[1]Order_Details!$A$1:$F$2156,5,FALSE)</f>
        <v>0</v>
      </c>
      <c r="S460" s="6">
        <f>VLOOKUP(A460,[1]Order_Details!$A$1:$F$2156,6,FALSE)</f>
        <v>349</v>
      </c>
      <c r="T460" s="6">
        <f>VLOOKUP(A460,[1]!Orders,8,FALSE)</f>
        <v>135.63</v>
      </c>
    </row>
    <row r="461" spans="1:20" x14ac:dyDescent="0.3">
      <c r="A461" s="2">
        <v>10707</v>
      </c>
      <c r="B461" s="2" t="s">
        <v>59</v>
      </c>
      <c r="C461" s="2">
        <v>4</v>
      </c>
      <c r="D461" s="3">
        <v>35719</v>
      </c>
      <c r="E461" t="str">
        <f>VLOOKUP(C461,[1]Employees!$A$1:$O$10,4,FALSE)</f>
        <v>Peacock Margaret</v>
      </c>
      <c r="F461">
        <f>VLOOKUP(A461,[1]!Orders,7,FALSE)</f>
        <v>3</v>
      </c>
      <c r="G461" t="str">
        <f>VLOOKUP(F461,[1]!Shippers,2,FALSE)</f>
        <v>Federal Shipping</v>
      </c>
      <c r="H461" t="str">
        <f>VLOOKUP(C461,[1]EmployeeTerritories!$A$1:$B$50,2,FALSE)</f>
        <v>20852</v>
      </c>
      <c r="I461">
        <f>VLOOKUP(C461,[1]EmployeeTerritories!$A$1:$B$50,1,FALSE)</f>
        <v>4</v>
      </c>
      <c r="J461">
        <f>VLOOKUP(H461,[1]!Territories,3,FALSE)</f>
        <v>1</v>
      </c>
      <c r="K461" t="str">
        <f>VLOOKUP(J461,[1]!Region,2,FALSE)</f>
        <v>Eastern</v>
      </c>
      <c r="L461">
        <f>VLOOKUP(A461,[1]Order_Details!$A$1:$F$2156,2,FALSE)</f>
        <v>55</v>
      </c>
      <c r="M461" t="str">
        <f>VLOOKUP(L461,[1]!Products,2,FALSE)</f>
        <v>Pâté chinois</v>
      </c>
      <c r="N461">
        <f>VLOOKUP(L461,[1]!Products,4,FALSE)</f>
        <v>6</v>
      </c>
      <c r="O461" s="6" t="str">
        <f>VLOOKUP(N461,[1]!Categories,2,FALSE)</f>
        <v>Meat/Poultry</v>
      </c>
      <c r="P461" s="6">
        <f>VLOOKUP(A461,[1]Order_Details!$A$1:$F$2156,3,FALSE)</f>
        <v>24</v>
      </c>
      <c r="Q461">
        <f>VLOOKUP(A461,[1]Order_Details!$A$1:$F$2156,4,FALSE)</f>
        <v>21</v>
      </c>
      <c r="R461">
        <f>VLOOKUP(A461,[1]Order_Details!$A$1:$F$2156,5,FALSE)</f>
        <v>0</v>
      </c>
      <c r="S461" s="6">
        <f>VLOOKUP(A461,[1]Order_Details!$A$1:$F$2156,6,FALSE)</f>
        <v>504</v>
      </c>
      <c r="T461" s="6">
        <f>VLOOKUP(A461,[1]!Orders,8,FALSE)</f>
        <v>21.74</v>
      </c>
    </row>
    <row r="462" spans="1:20" x14ac:dyDescent="0.3">
      <c r="A462" s="2">
        <v>10708</v>
      </c>
      <c r="B462" s="2" t="s">
        <v>44</v>
      </c>
      <c r="C462" s="2">
        <v>6</v>
      </c>
      <c r="D462" s="3">
        <v>35720</v>
      </c>
      <c r="E462" t="str">
        <f>VLOOKUP(C462,[1]Employees!$A$1:$O$10,4,FALSE)</f>
        <v>Suyama Michael</v>
      </c>
      <c r="F462">
        <f>VLOOKUP(A462,[1]!Orders,7,FALSE)</f>
        <v>2</v>
      </c>
      <c r="G462" t="str">
        <f>VLOOKUP(F462,[1]!Shippers,2,FALSE)</f>
        <v>United Package</v>
      </c>
      <c r="H462" t="str">
        <f>VLOOKUP(C462,[1]EmployeeTerritories!$A$1:$B$50,2,FALSE)</f>
        <v>85014</v>
      </c>
      <c r="I462">
        <f>VLOOKUP(C462,[1]EmployeeTerritories!$A$1:$B$50,1,FALSE)</f>
        <v>6</v>
      </c>
      <c r="J462">
        <f>VLOOKUP(H462,[1]!Territories,3,FALSE)</f>
        <v>2</v>
      </c>
      <c r="K462" t="str">
        <f>VLOOKUP(J462,[1]!Region,2,FALSE)</f>
        <v>Western</v>
      </c>
      <c r="L462">
        <f>VLOOKUP(A462,[1]Order_Details!$A$1:$F$2156,2,FALSE)</f>
        <v>5</v>
      </c>
      <c r="M462" t="str">
        <f>VLOOKUP(L462,[1]!Products,2,FALSE)</f>
        <v>Chef Anton's Gumbo Mix</v>
      </c>
      <c r="N462">
        <f>VLOOKUP(L462,[1]!Products,4,FALSE)</f>
        <v>2</v>
      </c>
      <c r="O462" s="6" t="str">
        <f>VLOOKUP(N462,[1]!Categories,2,FALSE)</f>
        <v>Condiments</v>
      </c>
      <c r="P462" s="6">
        <f>VLOOKUP(A462,[1]Order_Details!$A$1:$F$2156,3,FALSE)</f>
        <v>21.35</v>
      </c>
      <c r="Q462">
        <f>VLOOKUP(A462,[1]Order_Details!$A$1:$F$2156,4,FALSE)</f>
        <v>4</v>
      </c>
      <c r="R462">
        <f>VLOOKUP(A462,[1]Order_Details!$A$1:$F$2156,5,FALSE)</f>
        <v>0</v>
      </c>
      <c r="S462" s="6">
        <f>VLOOKUP(A462,[1]Order_Details!$A$1:$F$2156,6,FALSE)</f>
        <v>85.4</v>
      </c>
      <c r="T462" s="6">
        <f>VLOOKUP(A462,[1]!Orders,8,FALSE)</f>
        <v>2.96</v>
      </c>
    </row>
    <row r="463" spans="1:20" x14ac:dyDescent="0.3">
      <c r="A463" s="2">
        <v>10709</v>
      </c>
      <c r="B463" s="2" t="s">
        <v>75</v>
      </c>
      <c r="C463" s="2">
        <v>1</v>
      </c>
      <c r="D463" s="3">
        <v>35720</v>
      </c>
      <c r="E463" t="str">
        <f>VLOOKUP(C463,[1]Employees!$A$1:$O$10,4,FALSE)</f>
        <v>Davolio Nancy</v>
      </c>
      <c r="F463">
        <f>VLOOKUP(A463,[1]!Orders,7,FALSE)</f>
        <v>3</v>
      </c>
      <c r="G463" t="str">
        <f>VLOOKUP(F463,[1]!Shippers,2,FALSE)</f>
        <v>Federal Shipping</v>
      </c>
      <c r="H463" t="str">
        <f>VLOOKUP(C463,[1]EmployeeTerritories!$A$1:$B$50,2,FALSE)</f>
        <v>06897</v>
      </c>
      <c r="I463">
        <f>VLOOKUP(C463,[1]EmployeeTerritories!$A$1:$B$50,1,FALSE)</f>
        <v>1</v>
      </c>
      <c r="J463">
        <f>VLOOKUP(H463,[1]!Territories,3,FALSE)</f>
        <v>1</v>
      </c>
      <c r="K463" t="str">
        <f>VLOOKUP(J463,[1]!Region,2,FALSE)</f>
        <v>Eastern</v>
      </c>
      <c r="L463">
        <f>VLOOKUP(A463,[1]Order_Details!$A$1:$F$2156,2,FALSE)</f>
        <v>8</v>
      </c>
      <c r="M463" t="str">
        <f>VLOOKUP(L463,[1]!Products,2,FALSE)</f>
        <v>Northwoods Cranberry Sauce</v>
      </c>
      <c r="N463">
        <f>VLOOKUP(L463,[1]!Products,4,FALSE)</f>
        <v>2</v>
      </c>
      <c r="O463" s="6" t="str">
        <f>VLOOKUP(N463,[1]!Categories,2,FALSE)</f>
        <v>Condiments</v>
      </c>
      <c r="P463" s="6">
        <f>VLOOKUP(A463,[1]Order_Details!$A$1:$F$2156,3,FALSE)</f>
        <v>40</v>
      </c>
      <c r="Q463">
        <f>VLOOKUP(A463,[1]Order_Details!$A$1:$F$2156,4,FALSE)</f>
        <v>40</v>
      </c>
      <c r="R463">
        <f>VLOOKUP(A463,[1]Order_Details!$A$1:$F$2156,5,FALSE)</f>
        <v>0</v>
      </c>
      <c r="S463" s="6">
        <f>VLOOKUP(A463,[1]Order_Details!$A$1:$F$2156,6,FALSE)</f>
        <v>1600</v>
      </c>
      <c r="T463" s="6">
        <f>VLOOKUP(A463,[1]!Orders,8,FALSE)</f>
        <v>210.8</v>
      </c>
    </row>
    <row r="464" spans="1:20" x14ac:dyDescent="0.3">
      <c r="A464" s="2">
        <v>10710</v>
      </c>
      <c r="B464" s="2" t="s">
        <v>74</v>
      </c>
      <c r="C464" s="2">
        <v>1</v>
      </c>
      <c r="D464" s="3">
        <v>35723</v>
      </c>
      <c r="E464" t="str">
        <f>VLOOKUP(C464,[1]Employees!$A$1:$O$10,4,FALSE)</f>
        <v>Davolio Nancy</v>
      </c>
      <c r="F464">
        <f>VLOOKUP(A464,[1]!Orders,7,FALSE)</f>
        <v>1</v>
      </c>
      <c r="G464" t="str">
        <f>VLOOKUP(F464,[1]!Shippers,2,FALSE)</f>
        <v>Speedy Express</v>
      </c>
      <c r="H464" t="str">
        <f>VLOOKUP(C464,[1]EmployeeTerritories!$A$1:$B$50,2,FALSE)</f>
        <v>06897</v>
      </c>
      <c r="I464">
        <f>VLOOKUP(C464,[1]EmployeeTerritories!$A$1:$B$50,1,FALSE)</f>
        <v>1</v>
      </c>
      <c r="J464">
        <f>VLOOKUP(H464,[1]!Territories,3,FALSE)</f>
        <v>1</v>
      </c>
      <c r="K464" t="str">
        <f>VLOOKUP(J464,[1]!Region,2,FALSE)</f>
        <v>Eastern</v>
      </c>
      <c r="L464">
        <f>VLOOKUP(A464,[1]Order_Details!$A$1:$F$2156,2,FALSE)</f>
        <v>19</v>
      </c>
      <c r="M464" t="str">
        <f>VLOOKUP(L464,[1]!Products,2,FALSE)</f>
        <v>Teatime Chocolate Biscuits</v>
      </c>
      <c r="N464">
        <f>VLOOKUP(L464,[1]!Products,4,FALSE)</f>
        <v>3</v>
      </c>
      <c r="O464" s="6" t="str">
        <f>VLOOKUP(N464,[1]!Categories,2,FALSE)</f>
        <v>Confections</v>
      </c>
      <c r="P464" s="6">
        <f>VLOOKUP(A464,[1]Order_Details!$A$1:$F$2156,3,FALSE)</f>
        <v>9.1999999999999993</v>
      </c>
      <c r="Q464">
        <f>VLOOKUP(A464,[1]Order_Details!$A$1:$F$2156,4,FALSE)</f>
        <v>5</v>
      </c>
      <c r="R464">
        <f>VLOOKUP(A464,[1]Order_Details!$A$1:$F$2156,5,FALSE)</f>
        <v>0</v>
      </c>
      <c r="S464" s="6">
        <f>VLOOKUP(A464,[1]Order_Details!$A$1:$F$2156,6,FALSE)</f>
        <v>46</v>
      </c>
      <c r="T464" s="6">
        <f>VLOOKUP(A464,[1]!Orders,8,FALSE)</f>
        <v>4.9800000000000004</v>
      </c>
    </row>
    <row r="465" spans="1:20" x14ac:dyDescent="0.3">
      <c r="A465" s="2">
        <v>10711</v>
      </c>
      <c r="B465" s="2" t="s">
        <v>49</v>
      </c>
      <c r="C465" s="2">
        <v>5</v>
      </c>
      <c r="D465" s="3">
        <v>35724</v>
      </c>
      <c r="E465" t="str">
        <f>VLOOKUP(C465,[1]Employees!$A$1:$O$10,4,FALSE)</f>
        <v>Buchanan Steven</v>
      </c>
      <c r="F465">
        <f>VLOOKUP(A465,[1]!Orders,7,FALSE)</f>
        <v>2</v>
      </c>
      <c r="G465" t="str">
        <f>VLOOKUP(F465,[1]!Shippers,2,FALSE)</f>
        <v>United Package</v>
      </c>
      <c r="H465" t="str">
        <f>VLOOKUP(C465,[1]EmployeeTerritories!$A$1:$B$50,2,FALSE)</f>
        <v>02903</v>
      </c>
      <c r="I465">
        <f>VLOOKUP(C465,[1]EmployeeTerritories!$A$1:$B$50,1,FALSE)</f>
        <v>5</v>
      </c>
      <c r="J465">
        <f>VLOOKUP(H465,[1]!Territories,3,FALSE)</f>
        <v>1</v>
      </c>
      <c r="K465" t="str">
        <f>VLOOKUP(J465,[1]!Region,2,FALSE)</f>
        <v>Eastern</v>
      </c>
      <c r="L465">
        <f>VLOOKUP(A465,[1]Order_Details!$A$1:$F$2156,2,FALSE)</f>
        <v>19</v>
      </c>
      <c r="M465" t="str">
        <f>VLOOKUP(L465,[1]!Products,2,FALSE)</f>
        <v>Teatime Chocolate Biscuits</v>
      </c>
      <c r="N465">
        <f>VLOOKUP(L465,[1]!Products,4,FALSE)</f>
        <v>3</v>
      </c>
      <c r="O465" s="6" t="str">
        <f>VLOOKUP(N465,[1]!Categories,2,FALSE)</f>
        <v>Confections</v>
      </c>
      <c r="P465" s="6">
        <f>VLOOKUP(A465,[1]Order_Details!$A$1:$F$2156,3,FALSE)</f>
        <v>9.1999999999999993</v>
      </c>
      <c r="Q465">
        <f>VLOOKUP(A465,[1]Order_Details!$A$1:$F$2156,4,FALSE)</f>
        <v>12</v>
      </c>
      <c r="R465">
        <f>VLOOKUP(A465,[1]Order_Details!$A$1:$F$2156,5,FALSE)</f>
        <v>0</v>
      </c>
      <c r="S465" s="6">
        <f>VLOOKUP(A465,[1]Order_Details!$A$1:$F$2156,6,FALSE)</f>
        <v>110.39999999999999</v>
      </c>
      <c r="T465" s="6">
        <f>VLOOKUP(A465,[1]!Orders,8,FALSE)</f>
        <v>52.41</v>
      </c>
    </row>
    <row r="466" spans="1:20" x14ac:dyDescent="0.3">
      <c r="A466" s="2">
        <v>10712</v>
      </c>
      <c r="B466" s="2" t="s">
        <v>38</v>
      </c>
      <c r="C466" s="2">
        <v>3</v>
      </c>
      <c r="D466" s="3">
        <v>35724</v>
      </c>
      <c r="E466" t="str">
        <f>VLOOKUP(C466,[1]Employees!$A$1:$O$10,4,FALSE)</f>
        <v>Leverling Janet</v>
      </c>
      <c r="F466">
        <f>VLOOKUP(A466,[1]!Orders,7,FALSE)</f>
        <v>1</v>
      </c>
      <c r="G466" t="str">
        <f>VLOOKUP(F466,[1]!Shippers,2,FALSE)</f>
        <v>Speedy Express</v>
      </c>
      <c r="H466" t="str">
        <f>VLOOKUP(C466,[1]EmployeeTerritories!$A$1:$B$50,2,FALSE)</f>
        <v>30346</v>
      </c>
      <c r="I466">
        <f>VLOOKUP(C466,[1]EmployeeTerritories!$A$1:$B$50,1,FALSE)</f>
        <v>3</v>
      </c>
      <c r="J466">
        <f>VLOOKUP(H466,[1]!Territories,3,FALSE)</f>
        <v>4</v>
      </c>
      <c r="K466" t="str">
        <f>VLOOKUP(J466,[1]!Region,2,FALSE)</f>
        <v>Southern</v>
      </c>
      <c r="L466">
        <f>VLOOKUP(A466,[1]Order_Details!$A$1:$F$2156,2,FALSE)</f>
        <v>53</v>
      </c>
      <c r="M466" t="str">
        <f>VLOOKUP(L466,[1]!Products,2,FALSE)</f>
        <v>Perth Pasties</v>
      </c>
      <c r="N466">
        <f>VLOOKUP(L466,[1]!Products,4,FALSE)</f>
        <v>6</v>
      </c>
      <c r="O466" s="6" t="str">
        <f>VLOOKUP(N466,[1]!Categories,2,FALSE)</f>
        <v>Meat/Poultry</v>
      </c>
      <c r="P466" s="6">
        <f>VLOOKUP(A466,[1]Order_Details!$A$1:$F$2156,3,FALSE)</f>
        <v>32.799999999999997</v>
      </c>
      <c r="Q466">
        <f>VLOOKUP(A466,[1]Order_Details!$A$1:$F$2156,4,FALSE)</f>
        <v>3</v>
      </c>
      <c r="R466">
        <f>VLOOKUP(A466,[1]Order_Details!$A$1:$F$2156,5,FALSE)</f>
        <v>5.000000074505806E-2</v>
      </c>
      <c r="S466" s="6">
        <f>VLOOKUP(A466,[1]Order_Details!$A$1:$F$2156,6,FALSE)</f>
        <v>93.479999926686276</v>
      </c>
      <c r="T466" s="6">
        <f>VLOOKUP(A466,[1]!Orders,8,FALSE)</f>
        <v>89.93</v>
      </c>
    </row>
    <row r="467" spans="1:20" x14ac:dyDescent="0.3">
      <c r="A467" s="2">
        <v>10713</v>
      </c>
      <c r="B467" s="2" t="s">
        <v>49</v>
      </c>
      <c r="C467" s="2">
        <v>1</v>
      </c>
      <c r="D467" s="3">
        <v>35725</v>
      </c>
      <c r="E467" t="str">
        <f>VLOOKUP(C467,[1]Employees!$A$1:$O$10,4,FALSE)</f>
        <v>Davolio Nancy</v>
      </c>
      <c r="F467">
        <f>VLOOKUP(A467,[1]!Orders,7,FALSE)</f>
        <v>1</v>
      </c>
      <c r="G467" t="str">
        <f>VLOOKUP(F467,[1]!Shippers,2,FALSE)</f>
        <v>Speedy Express</v>
      </c>
      <c r="H467" t="str">
        <f>VLOOKUP(C467,[1]EmployeeTerritories!$A$1:$B$50,2,FALSE)</f>
        <v>06897</v>
      </c>
      <c r="I467">
        <f>VLOOKUP(C467,[1]EmployeeTerritories!$A$1:$B$50,1,FALSE)</f>
        <v>1</v>
      </c>
      <c r="J467">
        <f>VLOOKUP(H467,[1]!Territories,3,FALSE)</f>
        <v>1</v>
      </c>
      <c r="K467" t="str">
        <f>VLOOKUP(J467,[1]!Region,2,FALSE)</f>
        <v>Eastern</v>
      </c>
      <c r="L467">
        <f>VLOOKUP(A467,[1]Order_Details!$A$1:$F$2156,2,FALSE)</f>
        <v>10</v>
      </c>
      <c r="M467" t="str">
        <f>VLOOKUP(L467,[1]!Products,2,FALSE)</f>
        <v>Ikura</v>
      </c>
      <c r="N467">
        <f>VLOOKUP(L467,[1]!Products,4,FALSE)</f>
        <v>8</v>
      </c>
      <c r="O467" s="6" t="str">
        <f>VLOOKUP(N467,[1]!Categories,2,FALSE)</f>
        <v>Seafood</v>
      </c>
      <c r="P467" s="6">
        <f>VLOOKUP(A467,[1]Order_Details!$A$1:$F$2156,3,FALSE)</f>
        <v>31</v>
      </c>
      <c r="Q467">
        <f>VLOOKUP(A467,[1]Order_Details!$A$1:$F$2156,4,FALSE)</f>
        <v>18</v>
      </c>
      <c r="R467">
        <f>VLOOKUP(A467,[1]Order_Details!$A$1:$F$2156,5,FALSE)</f>
        <v>0</v>
      </c>
      <c r="S467" s="6">
        <f>VLOOKUP(A467,[1]Order_Details!$A$1:$F$2156,6,FALSE)</f>
        <v>558</v>
      </c>
      <c r="T467" s="6">
        <f>VLOOKUP(A467,[1]!Orders,8,FALSE)</f>
        <v>167.05</v>
      </c>
    </row>
    <row r="468" spans="1:20" x14ac:dyDescent="0.3">
      <c r="A468" s="2">
        <v>10714</v>
      </c>
      <c r="B468" s="2" t="s">
        <v>49</v>
      </c>
      <c r="C468" s="2">
        <v>5</v>
      </c>
      <c r="D468" s="3">
        <v>35725</v>
      </c>
      <c r="E468" t="str">
        <f>VLOOKUP(C468,[1]Employees!$A$1:$O$10,4,FALSE)</f>
        <v>Buchanan Steven</v>
      </c>
      <c r="F468">
        <f>VLOOKUP(A468,[1]!Orders,7,FALSE)</f>
        <v>3</v>
      </c>
      <c r="G468" t="str">
        <f>VLOOKUP(F468,[1]!Shippers,2,FALSE)</f>
        <v>Federal Shipping</v>
      </c>
      <c r="H468" t="str">
        <f>VLOOKUP(C468,[1]EmployeeTerritories!$A$1:$B$50,2,FALSE)</f>
        <v>02903</v>
      </c>
      <c r="I468">
        <f>VLOOKUP(C468,[1]EmployeeTerritories!$A$1:$B$50,1,FALSE)</f>
        <v>5</v>
      </c>
      <c r="J468">
        <f>VLOOKUP(H468,[1]!Territories,3,FALSE)</f>
        <v>1</v>
      </c>
      <c r="K468" t="str">
        <f>VLOOKUP(J468,[1]!Region,2,FALSE)</f>
        <v>Eastern</v>
      </c>
      <c r="L468">
        <f>VLOOKUP(A468,[1]Order_Details!$A$1:$F$2156,2,FALSE)</f>
        <v>2</v>
      </c>
      <c r="M468" t="str">
        <f>VLOOKUP(L468,[1]!Products,2,FALSE)</f>
        <v>Chang</v>
      </c>
      <c r="N468">
        <f>VLOOKUP(L468,[1]!Products,4,FALSE)</f>
        <v>1</v>
      </c>
      <c r="O468" s="6" t="str">
        <f>VLOOKUP(N468,[1]!Categories,2,FALSE)</f>
        <v>Beverages</v>
      </c>
      <c r="P468" s="6">
        <f>VLOOKUP(A468,[1]Order_Details!$A$1:$F$2156,3,FALSE)</f>
        <v>19</v>
      </c>
      <c r="Q468">
        <f>VLOOKUP(A468,[1]Order_Details!$A$1:$F$2156,4,FALSE)</f>
        <v>30</v>
      </c>
      <c r="R468">
        <f>VLOOKUP(A468,[1]Order_Details!$A$1:$F$2156,5,FALSE)</f>
        <v>0.25</v>
      </c>
      <c r="S468" s="6">
        <f>VLOOKUP(A468,[1]Order_Details!$A$1:$F$2156,6,FALSE)</f>
        <v>427.5</v>
      </c>
      <c r="T468" s="6">
        <f>VLOOKUP(A468,[1]!Orders,8,FALSE)</f>
        <v>24.49</v>
      </c>
    </row>
    <row r="469" spans="1:20" x14ac:dyDescent="0.3">
      <c r="A469" s="2">
        <v>10715</v>
      </c>
      <c r="B469" s="2" t="s">
        <v>52</v>
      </c>
      <c r="C469" s="2">
        <v>3</v>
      </c>
      <c r="D469" s="3">
        <v>35726</v>
      </c>
      <c r="E469" t="str">
        <f>VLOOKUP(C469,[1]Employees!$A$1:$O$10,4,FALSE)</f>
        <v>Leverling Janet</v>
      </c>
      <c r="F469">
        <f>VLOOKUP(A469,[1]!Orders,7,FALSE)</f>
        <v>1</v>
      </c>
      <c r="G469" t="str">
        <f>VLOOKUP(F469,[1]!Shippers,2,FALSE)</f>
        <v>Speedy Express</v>
      </c>
      <c r="H469" t="str">
        <f>VLOOKUP(C469,[1]EmployeeTerritories!$A$1:$B$50,2,FALSE)</f>
        <v>30346</v>
      </c>
      <c r="I469">
        <f>VLOOKUP(C469,[1]EmployeeTerritories!$A$1:$B$50,1,FALSE)</f>
        <v>3</v>
      </c>
      <c r="J469">
        <f>VLOOKUP(H469,[1]!Territories,3,FALSE)</f>
        <v>4</v>
      </c>
      <c r="K469" t="str">
        <f>VLOOKUP(J469,[1]!Region,2,FALSE)</f>
        <v>Southern</v>
      </c>
      <c r="L469">
        <f>VLOOKUP(A469,[1]Order_Details!$A$1:$F$2156,2,FALSE)</f>
        <v>10</v>
      </c>
      <c r="M469" t="str">
        <f>VLOOKUP(L469,[1]!Products,2,FALSE)</f>
        <v>Ikura</v>
      </c>
      <c r="N469">
        <f>VLOOKUP(L469,[1]!Products,4,FALSE)</f>
        <v>8</v>
      </c>
      <c r="O469" s="6" t="str">
        <f>VLOOKUP(N469,[1]!Categories,2,FALSE)</f>
        <v>Seafood</v>
      </c>
      <c r="P469" s="6">
        <f>VLOOKUP(A469,[1]Order_Details!$A$1:$F$2156,3,FALSE)</f>
        <v>31</v>
      </c>
      <c r="Q469">
        <f>VLOOKUP(A469,[1]Order_Details!$A$1:$F$2156,4,FALSE)</f>
        <v>21</v>
      </c>
      <c r="R469">
        <f>VLOOKUP(A469,[1]Order_Details!$A$1:$F$2156,5,FALSE)</f>
        <v>0</v>
      </c>
      <c r="S469" s="6">
        <f>VLOOKUP(A469,[1]Order_Details!$A$1:$F$2156,6,FALSE)</f>
        <v>651</v>
      </c>
      <c r="T469" s="6">
        <f>VLOOKUP(A469,[1]!Orders,8,FALSE)</f>
        <v>63.2</v>
      </c>
    </row>
    <row r="470" spans="1:20" x14ac:dyDescent="0.3">
      <c r="A470" s="2">
        <v>10716</v>
      </c>
      <c r="B470" s="2" t="s">
        <v>77</v>
      </c>
      <c r="C470" s="2">
        <v>4</v>
      </c>
      <c r="D470" s="3">
        <v>35727</v>
      </c>
      <c r="E470" t="str">
        <f>VLOOKUP(C470,[1]Employees!$A$1:$O$10,4,FALSE)</f>
        <v>Peacock Margaret</v>
      </c>
      <c r="F470">
        <f>VLOOKUP(A470,[1]!Orders,7,FALSE)</f>
        <v>2</v>
      </c>
      <c r="G470" t="str">
        <f>VLOOKUP(F470,[1]!Shippers,2,FALSE)</f>
        <v>United Package</v>
      </c>
      <c r="H470" t="str">
        <f>VLOOKUP(C470,[1]EmployeeTerritories!$A$1:$B$50,2,FALSE)</f>
        <v>20852</v>
      </c>
      <c r="I470">
        <f>VLOOKUP(C470,[1]EmployeeTerritories!$A$1:$B$50,1,FALSE)</f>
        <v>4</v>
      </c>
      <c r="J470">
        <f>VLOOKUP(H470,[1]!Territories,3,FALSE)</f>
        <v>1</v>
      </c>
      <c r="K470" t="str">
        <f>VLOOKUP(J470,[1]!Region,2,FALSE)</f>
        <v>Eastern</v>
      </c>
      <c r="L470">
        <f>VLOOKUP(A470,[1]Order_Details!$A$1:$F$2156,2,FALSE)</f>
        <v>21</v>
      </c>
      <c r="M470" t="str">
        <f>VLOOKUP(L470,[1]!Products,2,FALSE)</f>
        <v>Sir Rodney's Scones</v>
      </c>
      <c r="N470">
        <f>VLOOKUP(L470,[1]!Products,4,FALSE)</f>
        <v>3</v>
      </c>
      <c r="O470" s="6" t="str">
        <f>VLOOKUP(N470,[1]!Categories,2,FALSE)</f>
        <v>Confections</v>
      </c>
      <c r="P470" s="6">
        <f>VLOOKUP(A470,[1]Order_Details!$A$1:$F$2156,3,FALSE)</f>
        <v>10</v>
      </c>
      <c r="Q470">
        <f>VLOOKUP(A470,[1]Order_Details!$A$1:$F$2156,4,FALSE)</f>
        <v>5</v>
      </c>
      <c r="R470">
        <f>VLOOKUP(A470,[1]Order_Details!$A$1:$F$2156,5,FALSE)</f>
        <v>0</v>
      </c>
      <c r="S470" s="6">
        <f>VLOOKUP(A470,[1]Order_Details!$A$1:$F$2156,6,FALSE)</f>
        <v>50</v>
      </c>
      <c r="T470" s="6">
        <f>VLOOKUP(A470,[1]!Orders,8,FALSE)</f>
        <v>22.57</v>
      </c>
    </row>
    <row r="471" spans="1:20" x14ac:dyDescent="0.3">
      <c r="A471" s="2">
        <v>10717</v>
      </c>
      <c r="B471" s="2" t="s">
        <v>21</v>
      </c>
      <c r="C471" s="2">
        <v>1</v>
      </c>
      <c r="D471" s="3">
        <v>35727</v>
      </c>
      <c r="E471" t="str">
        <f>VLOOKUP(C471,[1]Employees!$A$1:$O$10,4,FALSE)</f>
        <v>Davolio Nancy</v>
      </c>
      <c r="F471">
        <f>VLOOKUP(A471,[1]!Orders,7,FALSE)</f>
        <v>2</v>
      </c>
      <c r="G471" t="str">
        <f>VLOOKUP(F471,[1]!Shippers,2,FALSE)</f>
        <v>United Package</v>
      </c>
      <c r="H471" t="str">
        <f>VLOOKUP(C471,[1]EmployeeTerritories!$A$1:$B$50,2,FALSE)</f>
        <v>06897</v>
      </c>
      <c r="I471">
        <f>VLOOKUP(C471,[1]EmployeeTerritories!$A$1:$B$50,1,FALSE)</f>
        <v>1</v>
      </c>
      <c r="J471">
        <f>VLOOKUP(H471,[1]!Territories,3,FALSE)</f>
        <v>1</v>
      </c>
      <c r="K471" t="str">
        <f>VLOOKUP(J471,[1]!Region,2,FALSE)</f>
        <v>Eastern</v>
      </c>
      <c r="L471">
        <f>VLOOKUP(A471,[1]Order_Details!$A$1:$F$2156,2,FALSE)</f>
        <v>21</v>
      </c>
      <c r="M471" t="str">
        <f>VLOOKUP(L471,[1]!Products,2,FALSE)</f>
        <v>Sir Rodney's Scones</v>
      </c>
      <c r="N471">
        <f>VLOOKUP(L471,[1]!Products,4,FALSE)</f>
        <v>3</v>
      </c>
      <c r="O471" s="6" t="str">
        <f>VLOOKUP(N471,[1]!Categories,2,FALSE)</f>
        <v>Confections</v>
      </c>
      <c r="P471" s="6">
        <f>VLOOKUP(A471,[1]Order_Details!$A$1:$F$2156,3,FALSE)</f>
        <v>10</v>
      </c>
      <c r="Q471">
        <f>VLOOKUP(A471,[1]Order_Details!$A$1:$F$2156,4,FALSE)</f>
        <v>32</v>
      </c>
      <c r="R471">
        <f>VLOOKUP(A471,[1]Order_Details!$A$1:$F$2156,5,FALSE)</f>
        <v>5.000000074505806E-2</v>
      </c>
      <c r="S471" s="6">
        <f>VLOOKUP(A471,[1]Order_Details!$A$1:$F$2156,6,FALSE)</f>
        <v>303.99999976158142</v>
      </c>
      <c r="T471" s="6">
        <f>VLOOKUP(A471,[1]!Orders,8,FALSE)</f>
        <v>59.25</v>
      </c>
    </row>
    <row r="472" spans="1:20" x14ac:dyDescent="0.3">
      <c r="A472" s="2">
        <v>10718</v>
      </c>
      <c r="B472" s="2" t="s">
        <v>48</v>
      </c>
      <c r="C472" s="2">
        <v>1</v>
      </c>
      <c r="D472" s="3">
        <v>35730</v>
      </c>
      <c r="E472" t="str">
        <f>VLOOKUP(C472,[1]Employees!$A$1:$O$10,4,FALSE)</f>
        <v>Davolio Nancy</v>
      </c>
      <c r="F472">
        <f>VLOOKUP(A472,[1]!Orders,7,FALSE)</f>
        <v>3</v>
      </c>
      <c r="G472" t="str">
        <f>VLOOKUP(F472,[1]!Shippers,2,FALSE)</f>
        <v>Federal Shipping</v>
      </c>
      <c r="H472" t="str">
        <f>VLOOKUP(C472,[1]EmployeeTerritories!$A$1:$B$50,2,FALSE)</f>
        <v>06897</v>
      </c>
      <c r="I472">
        <f>VLOOKUP(C472,[1]EmployeeTerritories!$A$1:$B$50,1,FALSE)</f>
        <v>1</v>
      </c>
      <c r="J472">
        <f>VLOOKUP(H472,[1]!Territories,3,FALSE)</f>
        <v>1</v>
      </c>
      <c r="K472" t="str">
        <f>VLOOKUP(J472,[1]!Region,2,FALSE)</f>
        <v>Eastern</v>
      </c>
      <c r="L472">
        <f>VLOOKUP(A472,[1]Order_Details!$A$1:$F$2156,2,FALSE)</f>
        <v>12</v>
      </c>
      <c r="M472" t="str">
        <f>VLOOKUP(L472,[1]!Products,2,FALSE)</f>
        <v>Queso Manchego La Pastora</v>
      </c>
      <c r="N472">
        <f>VLOOKUP(L472,[1]!Products,4,FALSE)</f>
        <v>4</v>
      </c>
      <c r="O472" s="6" t="str">
        <f>VLOOKUP(N472,[1]!Categories,2,FALSE)</f>
        <v>Dairy Products</v>
      </c>
      <c r="P472" s="6">
        <f>VLOOKUP(A472,[1]Order_Details!$A$1:$F$2156,3,FALSE)</f>
        <v>38</v>
      </c>
      <c r="Q472">
        <f>VLOOKUP(A472,[1]Order_Details!$A$1:$F$2156,4,FALSE)</f>
        <v>36</v>
      </c>
      <c r="R472">
        <f>VLOOKUP(A472,[1]Order_Details!$A$1:$F$2156,5,FALSE)</f>
        <v>0</v>
      </c>
      <c r="S472" s="6">
        <f>VLOOKUP(A472,[1]Order_Details!$A$1:$F$2156,6,FALSE)</f>
        <v>1368</v>
      </c>
      <c r="T472" s="6">
        <f>VLOOKUP(A472,[1]!Orders,8,FALSE)</f>
        <v>170.88</v>
      </c>
    </row>
    <row r="473" spans="1:20" x14ac:dyDescent="0.3">
      <c r="A473" s="2">
        <v>10719</v>
      </c>
      <c r="B473" s="2" t="s">
        <v>86</v>
      </c>
      <c r="C473" s="2">
        <v>8</v>
      </c>
      <c r="D473" s="3">
        <v>35730</v>
      </c>
      <c r="E473" t="str">
        <f>VLOOKUP(C473,[1]Employees!$A$1:$O$10,4,FALSE)</f>
        <v>Callahan Laura</v>
      </c>
      <c r="F473">
        <f>VLOOKUP(A473,[1]!Orders,7,FALSE)</f>
        <v>2</v>
      </c>
      <c r="G473" t="str">
        <f>VLOOKUP(F473,[1]!Shippers,2,FALSE)</f>
        <v>United Package</v>
      </c>
      <c r="H473" t="str">
        <f>VLOOKUP(C473,[1]EmployeeTerritories!$A$1:$B$50,2,FALSE)</f>
        <v>19428</v>
      </c>
      <c r="I473">
        <f>VLOOKUP(C473,[1]EmployeeTerritories!$A$1:$B$50,1,FALSE)</f>
        <v>8</v>
      </c>
      <c r="J473">
        <f>VLOOKUP(H473,[1]!Territories,3,FALSE)</f>
        <v>3</v>
      </c>
      <c r="K473" t="str">
        <f>VLOOKUP(J473,[1]!Region,2,FALSE)</f>
        <v>Northern</v>
      </c>
      <c r="L473">
        <f>VLOOKUP(A473,[1]Order_Details!$A$1:$F$2156,2,FALSE)</f>
        <v>18</v>
      </c>
      <c r="M473" t="str">
        <f>VLOOKUP(L473,[1]!Products,2,FALSE)</f>
        <v>Carnarvon Tigers</v>
      </c>
      <c r="N473">
        <f>VLOOKUP(L473,[1]!Products,4,FALSE)</f>
        <v>8</v>
      </c>
      <c r="O473" s="6" t="str">
        <f>VLOOKUP(N473,[1]!Categories,2,FALSE)</f>
        <v>Seafood</v>
      </c>
      <c r="P473" s="6">
        <f>VLOOKUP(A473,[1]Order_Details!$A$1:$F$2156,3,FALSE)</f>
        <v>62.5</v>
      </c>
      <c r="Q473">
        <f>VLOOKUP(A473,[1]Order_Details!$A$1:$F$2156,4,FALSE)</f>
        <v>12</v>
      </c>
      <c r="R473">
        <f>VLOOKUP(A473,[1]Order_Details!$A$1:$F$2156,5,FALSE)</f>
        <v>0.25</v>
      </c>
      <c r="S473" s="6">
        <f>VLOOKUP(A473,[1]Order_Details!$A$1:$F$2156,6,FALSE)</f>
        <v>562.5</v>
      </c>
      <c r="T473" s="6">
        <f>VLOOKUP(A473,[1]!Orders,8,FALSE)</f>
        <v>51.44</v>
      </c>
    </row>
    <row r="474" spans="1:20" x14ac:dyDescent="0.3">
      <c r="A474" s="2">
        <v>10720</v>
      </c>
      <c r="B474" s="2" t="s">
        <v>16</v>
      </c>
      <c r="C474" s="2">
        <v>8</v>
      </c>
      <c r="D474" s="3">
        <v>35731</v>
      </c>
      <c r="E474" t="str">
        <f>VLOOKUP(C474,[1]Employees!$A$1:$O$10,4,FALSE)</f>
        <v>Callahan Laura</v>
      </c>
      <c r="F474">
        <f>VLOOKUP(A474,[1]!Orders,7,FALSE)</f>
        <v>2</v>
      </c>
      <c r="G474" t="str">
        <f>VLOOKUP(F474,[1]!Shippers,2,FALSE)</f>
        <v>United Package</v>
      </c>
      <c r="H474" t="str">
        <f>VLOOKUP(C474,[1]EmployeeTerritories!$A$1:$B$50,2,FALSE)</f>
        <v>19428</v>
      </c>
      <c r="I474">
        <f>VLOOKUP(C474,[1]EmployeeTerritories!$A$1:$B$50,1,FALSE)</f>
        <v>8</v>
      </c>
      <c r="J474">
        <f>VLOOKUP(H474,[1]!Territories,3,FALSE)</f>
        <v>3</v>
      </c>
      <c r="K474" t="str">
        <f>VLOOKUP(J474,[1]!Region,2,FALSE)</f>
        <v>Northern</v>
      </c>
      <c r="L474">
        <f>VLOOKUP(A474,[1]Order_Details!$A$1:$F$2156,2,FALSE)</f>
        <v>35</v>
      </c>
      <c r="M474" t="str">
        <f>VLOOKUP(L474,[1]!Products,2,FALSE)</f>
        <v>Steeleye Stout</v>
      </c>
      <c r="N474">
        <f>VLOOKUP(L474,[1]!Products,4,FALSE)</f>
        <v>1</v>
      </c>
      <c r="O474" s="6" t="str">
        <f>VLOOKUP(N474,[1]!Categories,2,FALSE)</f>
        <v>Beverages</v>
      </c>
      <c r="P474" s="6">
        <f>VLOOKUP(A474,[1]Order_Details!$A$1:$F$2156,3,FALSE)</f>
        <v>18</v>
      </c>
      <c r="Q474">
        <f>VLOOKUP(A474,[1]Order_Details!$A$1:$F$2156,4,FALSE)</f>
        <v>21</v>
      </c>
      <c r="R474">
        <f>VLOOKUP(A474,[1]Order_Details!$A$1:$F$2156,5,FALSE)</f>
        <v>0</v>
      </c>
      <c r="S474" s="6">
        <f>VLOOKUP(A474,[1]Order_Details!$A$1:$F$2156,6,FALSE)</f>
        <v>378</v>
      </c>
      <c r="T474" s="6">
        <f>VLOOKUP(A474,[1]!Orders,8,FALSE)</f>
        <v>9.5299999999999994</v>
      </c>
    </row>
    <row r="475" spans="1:20" x14ac:dyDescent="0.3">
      <c r="A475" s="2">
        <v>10721</v>
      </c>
      <c r="B475" s="2" t="s">
        <v>25</v>
      </c>
      <c r="C475" s="2">
        <v>5</v>
      </c>
      <c r="D475" s="3">
        <v>35732</v>
      </c>
      <c r="E475" t="str">
        <f>VLOOKUP(C475,[1]Employees!$A$1:$O$10,4,FALSE)</f>
        <v>Buchanan Steven</v>
      </c>
      <c r="F475">
        <f>VLOOKUP(A475,[1]!Orders,7,FALSE)</f>
        <v>3</v>
      </c>
      <c r="G475" t="str">
        <f>VLOOKUP(F475,[1]!Shippers,2,FALSE)</f>
        <v>Federal Shipping</v>
      </c>
      <c r="H475" t="str">
        <f>VLOOKUP(C475,[1]EmployeeTerritories!$A$1:$B$50,2,FALSE)</f>
        <v>02903</v>
      </c>
      <c r="I475">
        <f>VLOOKUP(C475,[1]EmployeeTerritories!$A$1:$B$50,1,FALSE)</f>
        <v>5</v>
      </c>
      <c r="J475">
        <f>VLOOKUP(H475,[1]!Territories,3,FALSE)</f>
        <v>1</v>
      </c>
      <c r="K475" t="str">
        <f>VLOOKUP(J475,[1]!Region,2,FALSE)</f>
        <v>Eastern</v>
      </c>
      <c r="L475">
        <f>VLOOKUP(A475,[1]Order_Details!$A$1:$F$2156,2,FALSE)</f>
        <v>44</v>
      </c>
      <c r="M475" t="str">
        <f>VLOOKUP(L475,[1]!Products,2,FALSE)</f>
        <v>Gula Malacca</v>
      </c>
      <c r="N475">
        <f>VLOOKUP(L475,[1]!Products,4,FALSE)</f>
        <v>2</v>
      </c>
      <c r="O475" s="6" t="str">
        <f>VLOOKUP(N475,[1]!Categories,2,FALSE)</f>
        <v>Condiments</v>
      </c>
      <c r="P475" s="6">
        <f>VLOOKUP(A475,[1]Order_Details!$A$1:$F$2156,3,FALSE)</f>
        <v>19.45</v>
      </c>
      <c r="Q475">
        <f>VLOOKUP(A475,[1]Order_Details!$A$1:$F$2156,4,FALSE)</f>
        <v>50</v>
      </c>
      <c r="R475">
        <f>VLOOKUP(A475,[1]Order_Details!$A$1:$F$2156,5,FALSE)</f>
        <v>5.000000074505806E-2</v>
      </c>
      <c r="S475" s="6">
        <f>VLOOKUP(A475,[1]Order_Details!$A$1:$F$2156,6,FALSE)</f>
        <v>923.87499927543104</v>
      </c>
      <c r="T475" s="6">
        <f>VLOOKUP(A475,[1]!Orders,8,FALSE)</f>
        <v>48.92</v>
      </c>
    </row>
    <row r="476" spans="1:20" x14ac:dyDescent="0.3">
      <c r="A476" s="2">
        <v>10722</v>
      </c>
      <c r="B476" s="2" t="s">
        <v>49</v>
      </c>
      <c r="C476" s="2">
        <v>8</v>
      </c>
      <c r="D476" s="3">
        <v>35732</v>
      </c>
      <c r="E476" t="str">
        <f>VLOOKUP(C476,[1]Employees!$A$1:$O$10,4,FALSE)</f>
        <v>Callahan Laura</v>
      </c>
      <c r="F476">
        <f>VLOOKUP(A476,[1]!Orders,7,FALSE)</f>
        <v>1</v>
      </c>
      <c r="G476" t="str">
        <f>VLOOKUP(F476,[1]!Shippers,2,FALSE)</f>
        <v>Speedy Express</v>
      </c>
      <c r="H476" t="str">
        <f>VLOOKUP(C476,[1]EmployeeTerritories!$A$1:$B$50,2,FALSE)</f>
        <v>19428</v>
      </c>
      <c r="I476">
        <f>VLOOKUP(C476,[1]EmployeeTerritories!$A$1:$B$50,1,FALSE)</f>
        <v>8</v>
      </c>
      <c r="J476">
        <f>VLOOKUP(H476,[1]!Territories,3,FALSE)</f>
        <v>3</v>
      </c>
      <c r="K476" t="str">
        <f>VLOOKUP(J476,[1]!Region,2,FALSE)</f>
        <v>Northern</v>
      </c>
      <c r="L476">
        <f>VLOOKUP(A476,[1]Order_Details!$A$1:$F$2156,2,FALSE)</f>
        <v>2</v>
      </c>
      <c r="M476" t="str">
        <f>VLOOKUP(L476,[1]!Products,2,FALSE)</f>
        <v>Chang</v>
      </c>
      <c r="N476">
        <f>VLOOKUP(L476,[1]!Products,4,FALSE)</f>
        <v>1</v>
      </c>
      <c r="O476" s="6" t="str">
        <f>VLOOKUP(N476,[1]!Categories,2,FALSE)</f>
        <v>Beverages</v>
      </c>
      <c r="P476" s="6">
        <f>VLOOKUP(A476,[1]Order_Details!$A$1:$F$2156,3,FALSE)</f>
        <v>19</v>
      </c>
      <c r="Q476">
        <f>VLOOKUP(A476,[1]Order_Details!$A$1:$F$2156,4,FALSE)</f>
        <v>3</v>
      </c>
      <c r="R476">
        <f>VLOOKUP(A476,[1]Order_Details!$A$1:$F$2156,5,FALSE)</f>
        <v>0</v>
      </c>
      <c r="S476" s="6">
        <f>VLOOKUP(A476,[1]Order_Details!$A$1:$F$2156,6,FALSE)</f>
        <v>57</v>
      </c>
      <c r="T476" s="6">
        <f>VLOOKUP(A476,[1]!Orders,8,FALSE)</f>
        <v>74.58</v>
      </c>
    </row>
    <row r="477" spans="1:20" x14ac:dyDescent="0.3">
      <c r="A477" s="2">
        <v>10723</v>
      </c>
      <c r="B477" s="2" t="s">
        <v>23</v>
      </c>
      <c r="C477" s="2">
        <v>3</v>
      </c>
      <c r="D477" s="3">
        <v>35733</v>
      </c>
      <c r="E477" t="str">
        <f>VLOOKUP(C477,[1]Employees!$A$1:$O$10,4,FALSE)</f>
        <v>Leverling Janet</v>
      </c>
      <c r="F477">
        <f>VLOOKUP(A477,[1]!Orders,7,FALSE)</f>
        <v>1</v>
      </c>
      <c r="G477" t="str">
        <f>VLOOKUP(F477,[1]!Shippers,2,FALSE)</f>
        <v>Speedy Express</v>
      </c>
      <c r="H477" t="str">
        <f>VLOOKUP(C477,[1]EmployeeTerritories!$A$1:$B$50,2,FALSE)</f>
        <v>30346</v>
      </c>
      <c r="I477">
        <f>VLOOKUP(C477,[1]EmployeeTerritories!$A$1:$B$50,1,FALSE)</f>
        <v>3</v>
      </c>
      <c r="J477">
        <f>VLOOKUP(H477,[1]!Territories,3,FALSE)</f>
        <v>4</v>
      </c>
      <c r="K477" t="str">
        <f>VLOOKUP(J477,[1]!Region,2,FALSE)</f>
        <v>Southern</v>
      </c>
      <c r="L477">
        <f>VLOOKUP(A477,[1]Order_Details!$A$1:$F$2156,2,FALSE)</f>
        <v>26</v>
      </c>
      <c r="M477" t="str">
        <f>VLOOKUP(L477,[1]!Products,2,FALSE)</f>
        <v>Gumbär Gummibärchen</v>
      </c>
      <c r="N477">
        <f>VLOOKUP(L477,[1]!Products,4,FALSE)</f>
        <v>3</v>
      </c>
      <c r="O477" s="6" t="str">
        <f>VLOOKUP(N477,[1]!Categories,2,FALSE)</f>
        <v>Confections</v>
      </c>
      <c r="P477" s="6">
        <f>VLOOKUP(A477,[1]Order_Details!$A$1:$F$2156,3,FALSE)</f>
        <v>31.23</v>
      </c>
      <c r="Q477">
        <f>VLOOKUP(A477,[1]Order_Details!$A$1:$F$2156,4,FALSE)</f>
        <v>15</v>
      </c>
      <c r="R477">
        <f>VLOOKUP(A477,[1]Order_Details!$A$1:$F$2156,5,FALSE)</f>
        <v>0</v>
      </c>
      <c r="S477" s="6">
        <f>VLOOKUP(A477,[1]Order_Details!$A$1:$F$2156,6,FALSE)</f>
        <v>468.45</v>
      </c>
      <c r="T477" s="6">
        <f>VLOOKUP(A477,[1]!Orders,8,FALSE)</f>
        <v>21.72</v>
      </c>
    </row>
    <row r="478" spans="1:20" x14ac:dyDescent="0.3">
      <c r="A478" s="2">
        <v>10724</v>
      </c>
      <c r="B478" s="2" t="s">
        <v>53</v>
      </c>
      <c r="C478" s="2">
        <v>8</v>
      </c>
      <c r="D478" s="3">
        <v>35733</v>
      </c>
      <c r="E478" t="str">
        <f>VLOOKUP(C478,[1]Employees!$A$1:$O$10,4,FALSE)</f>
        <v>Callahan Laura</v>
      </c>
      <c r="F478">
        <f>VLOOKUP(A478,[1]!Orders,7,FALSE)</f>
        <v>2</v>
      </c>
      <c r="G478" t="str">
        <f>VLOOKUP(F478,[1]!Shippers,2,FALSE)</f>
        <v>United Package</v>
      </c>
      <c r="H478" t="str">
        <f>VLOOKUP(C478,[1]EmployeeTerritories!$A$1:$B$50,2,FALSE)</f>
        <v>19428</v>
      </c>
      <c r="I478">
        <f>VLOOKUP(C478,[1]EmployeeTerritories!$A$1:$B$50,1,FALSE)</f>
        <v>8</v>
      </c>
      <c r="J478">
        <f>VLOOKUP(H478,[1]!Territories,3,FALSE)</f>
        <v>3</v>
      </c>
      <c r="K478" t="str">
        <f>VLOOKUP(J478,[1]!Region,2,FALSE)</f>
        <v>Northern</v>
      </c>
      <c r="L478">
        <f>VLOOKUP(A478,[1]Order_Details!$A$1:$F$2156,2,FALSE)</f>
        <v>10</v>
      </c>
      <c r="M478" t="str">
        <f>VLOOKUP(L478,[1]!Products,2,FALSE)</f>
        <v>Ikura</v>
      </c>
      <c r="N478">
        <f>VLOOKUP(L478,[1]!Products,4,FALSE)</f>
        <v>8</v>
      </c>
      <c r="O478" s="6" t="str">
        <f>VLOOKUP(N478,[1]!Categories,2,FALSE)</f>
        <v>Seafood</v>
      </c>
      <c r="P478" s="6">
        <f>VLOOKUP(A478,[1]Order_Details!$A$1:$F$2156,3,FALSE)</f>
        <v>31</v>
      </c>
      <c r="Q478">
        <f>VLOOKUP(A478,[1]Order_Details!$A$1:$F$2156,4,FALSE)</f>
        <v>16</v>
      </c>
      <c r="R478">
        <f>VLOOKUP(A478,[1]Order_Details!$A$1:$F$2156,5,FALSE)</f>
        <v>0</v>
      </c>
      <c r="S478" s="6">
        <f>VLOOKUP(A478,[1]Order_Details!$A$1:$F$2156,6,FALSE)</f>
        <v>496</v>
      </c>
      <c r="T478" s="6">
        <f>VLOOKUP(A478,[1]!Orders,8,FALSE)</f>
        <v>57.75</v>
      </c>
    </row>
    <row r="479" spans="1:20" x14ac:dyDescent="0.3">
      <c r="A479" s="2">
        <v>10725</v>
      </c>
      <c r="B479" s="2" t="s">
        <v>56</v>
      </c>
      <c r="C479" s="2">
        <v>4</v>
      </c>
      <c r="D479" s="3">
        <v>35734</v>
      </c>
      <c r="E479" t="str">
        <f>VLOOKUP(C479,[1]Employees!$A$1:$O$10,4,FALSE)</f>
        <v>Peacock Margaret</v>
      </c>
      <c r="F479">
        <f>VLOOKUP(A479,[1]!Orders,7,FALSE)</f>
        <v>3</v>
      </c>
      <c r="G479" t="str">
        <f>VLOOKUP(F479,[1]!Shippers,2,FALSE)</f>
        <v>Federal Shipping</v>
      </c>
      <c r="H479" t="str">
        <f>VLOOKUP(C479,[1]EmployeeTerritories!$A$1:$B$50,2,FALSE)</f>
        <v>20852</v>
      </c>
      <c r="I479">
        <f>VLOOKUP(C479,[1]EmployeeTerritories!$A$1:$B$50,1,FALSE)</f>
        <v>4</v>
      </c>
      <c r="J479">
        <f>VLOOKUP(H479,[1]!Territories,3,FALSE)</f>
        <v>1</v>
      </c>
      <c r="K479" t="str">
        <f>VLOOKUP(J479,[1]!Region,2,FALSE)</f>
        <v>Eastern</v>
      </c>
      <c r="L479">
        <f>VLOOKUP(A479,[1]Order_Details!$A$1:$F$2156,2,FALSE)</f>
        <v>41</v>
      </c>
      <c r="M479" t="str">
        <f>VLOOKUP(L479,[1]!Products,2,FALSE)</f>
        <v>Jack's New England Clam Chowder</v>
      </c>
      <c r="N479">
        <f>VLOOKUP(L479,[1]!Products,4,FALSE)</f>
        <v>8</v>
      </c>
      <c r="O479" s="6" t="str">
        <f>VLOOKUP(N479,[1]!Categories,2,FALSE)</f>
        <v>Seafood</v>
      </c>
      <c r="P479" s="6">
        <f>VLOOKUP(A479,[1]Order_Details!$A$1:$F$2156,3,FALSE)</f>
        <v>9.65</v>
      </c>
      <c r="Q479">
        <f>VLOOKUP(A479,[1]Order_Details!$A$1:$F$2156,4,FALSE)</f>
        <v>12</v>
      </c>
      <c r="R479">
        <f>VLOOKUP(A479,[1]Order_Details!$A$1:$F$2156,5,FALSE)</f>
        <v>0</v>
      </c>
      <c r="S479" s="6">
        <f>VLOOKUP(A479,[1]Order_Details!$A$1:$F$2156,6,FALSE)</f>
        <v>115.80000000000001</v>
      </c>
      <c r="T479" s="6">
        <f>VLOOKUP(A479,[1]!Orders,8,FALSE)</f>
        <v>10.83</v>
      </c>
    </row>
    <row r="480" spans="1:20" x14ac:dyDescent="0.3">
      <c r="A480" s="2">
        <v>10726</v>
      </c>
      <c r="B480" s="2" t="s">
        <v>62</v>
      </c>
      <c r="C480" s="2">
        <v>4</v>
      </c>
      <c r="D480" s="3">
        <v>35737</v>
      </c>
      <c r="E480" t="str">
        <f>VLOOKUP(C480,[1]Employees!$A$1:$O$10,4,FALSE)</f>
        <v>Peacock Margaret</v>
      </c>
      <c r="F480">
        <f>VLOOKUP(A480,[1]!Orders,7,FALSE)</f>
        <v>1</v>
      </c>
      <c r="G480" t="str">
        <f>VLOOKUP(F480,[1]!Shippers,2,FALSE)</f>
        <v>Speedy Express</v>
      </c>
      <c r="H480" t="str">
        <f>VLOOKUP(C480,[1]EmployeeTerritories!$A$1:$B$50,2,FALSE)</f>
        <v>20852</v>
      </c>
      <c r="I480">
        <f>VLOOKUP(C480,[1]EmployeeTerritories!$A$1:$B$50,1,FALSE)</f>
        <v>4</v>
      </c>
      <c r="J480">
        <f>VLOOKUP(H480,[1]!Territories,3,FALSE)</f>
        <v>1</v>
      </c>
      <c r="K480" t="str">
        <f>VLOOKUP(J480,[1]!Region,2,FALSE)</f>
        <v>Eastern</v>
      </c>
      <c r="L480">
        <f>VLOOKUP(A480,[1]Order_Details!$A$1:$F$2156,2,FALSE)</f>
        <v>4</v>
      </c>
      <c r="M480" t="str">
        <f>VLOOKUP(L480,[1]!Products,2,FALSE)</f>
        <v>Chef Anton's Cajun Seasoning</v>
      </c>
      <c r="N480">
        <f>VLOOKUP(L480,[1]!Products,4,FALSE)</f>
        <v>2</v>
      </c>
      <c r="O480" s="6" t="str">
        <f>VLOOKUP(N480,[1]!Categories,2,FALSE)</f>
        <v>Condiments</v>
      </c>
      <c r="P480" s="6">
        <f>VLOOKUP(A480,[1]Order_Details!$A$1:$F$2156,3,FALSE)</f>
        <v>22</v>
      </c>
      <c r="Q480">
        <f>VLOOKUP(A480,[1]Order_Details!$A$1:$F$2156,4,FALSE)</f>
        <v>25</v>
      </c>
      <c r="R480">
        <f>VLOOKUP(A480,[1]Order_Details!$A$1:$F$2156,5,FALSE)</f>
        <v>0</v>
      </c>
      <c r="S480" s="6">
        <f>VLOOKUP(A480,[1]Order_Details!$A$1:$F$2156,6,FALSE)</f>
        <v>550</v>
      </c>
      <c r="T480" s="6">
        <f>VLOOKUP(A480,[1]!Orders,8,FALSE)</f>
        <v>16.559999999999999</v>
      </c>
    </row>
    <row r="481" spans="1:20" x14ac:dyDescent="0.3">
      <c r="A481" s="2">
        <v>10727</v>
      </c>
      <c r="B481" s="2" t="s">
        <v>34</v>
      </c>
      <c r="C481" s="2">
        <v>2</v>
      </c>
      <c r="D481" s="3">
        <v>35737</v>
      </c>
      <c r="E481" t="str">
        <f>VLOOKUP(C481,[1]Employees!$A$1:$O$10,4,FALSE)</f>
        <v>Fuller Andrew</v>
      </c>
      <c r="F481">
        <f>VLOOKUP(A481,[1]!Orders,7,FALSE)</f>
        <v>1</v>
      </c>
      <c r="G481" t="str">
        <f>VLOOKUP(F481,[1]!Shippers,2,FALSE)</f>
        <v>Speedy Express</v>
      </c>
      <c r="H481" t="str">
        <f>VLOOKUP(C481,[1]EmployeeTerritories!$A$1:$B$50,2,FALSE)</f>
        <v>01581</v>
      </c>
      <c r="I481">
        <f>VLOOKUP(C481,[1]EmployeeTerritories!$A$1:$B$50,1,FALSE)</f>
        <v>2</v>
      </c>
      <c r="J481">
        <f>VLOOKUP(H481,[1]!Territories,3,FALSE)</f>
        <v>1</v>
      </c>
      <c r="K481" t="str">
        <f>VLOOKUP(J481,[1]!Region,2,FALSE)</f>
        <v>Eastern</v>
      </c>
      <c r="L481">
        <f>VLOOKUP(A481,[1]Order_Details!$A$1:$F$2156,2,FALSE)</f>
        <v>17</v>
      </c>
      <c r="M481" t="str">
        <f>VLOOKUP(L481,[1]!Products,2,FALSE)</f>
        <v>Alice Mutton</v>
      </c>
      <c r="N481">
        <f>VLOOKUP(L481,[1]!Products,4,FALSE)</f>
        <v>6</v>
      </c>
      <c r="O481" s="6" t="str">
        <f>VLOOKUP(N481,[1]!Categories,2,FALSE)</f>
        <v>Meat/Poultry</v>
      </c>
      <c r="P481" s="6">
        <f>VLOOKUP(A481,[1]Order_Details!$A$1:$F$2156,3,FALSE)</f>
        <v>39</v>
      </c>
      <c r="Q481">
        <f>VLOOKUP(A481,[1]Order_Details!$A$1:$F$2156,4,FALSE)</f>
        <v>20</v>
      </c>
      <c r="R481">
        <f>VLOOKUP(A481,[1]Order_Details!$A$1:$F$2156,5,FALSE)</f>
        <v>5.000000074505806E-2</v>
      </c>
      <c r="S481" s="6">
        <f>VLOOKUP(A481,[1]Order_Details!$A$1:$F$2156,6,FALSE)</f>
        <v>740.99999941885471</v>
      </c>
      <c r="T481" s="6">
        <f>VLOOKUP(A481,[1]!Orders,8,FALSE)</f>
        <v>89.9</v>
      </c>
    </row>
    <row r="482" spans="1:20" x14ac:dyDescent="0.3">
      <c r="A482" s="2">
        <v>10728</v>
      </c>
      <c r="B482" s="2" t="s">
        <v>66</v>
      </c>
      <c r="C482" s="2">
        <v>4</v>
      </c>
      <c r="D482" s="3">
        <v>35738</v>
      </c>
      <c r="E482" t="str">
        <f>VLOOKUP(C482,[1]Employees!$A$1:$O$10,4,FALSE)</f>
        <v>Peacock Margaret</v>
      </c>
      <c r="F482">
        <f>VLOOKUP(A482,[1]!Orders,7,FALSE)</f>
        <v>2</v>
      </c>
      <c r="G482" t="str">
        <f>VLOOKUP(F482,[1]!Shippers,2,FALSE)</f>
        <v>United Package</v>
      </c>
      <c r="H482" t="str">
        <f>VLOOKUP(C482,[1]EmployeeTerritories!$A$1:$B$50,2,FALSE)</f>
        <v>20852</v>
      </c>
      <c r="I482">
        <f>VLOOKUP(C482,[1]EmployeeTerritories!$A$1:$B$50,1,FALSE)</f>
        <v>4</v>
      </c>
      <c r="J482">
        <f>VLOOKUP(H482,[1]!Territories,3,FALSE)</f>
        <v>1</v>
      </c>
      <c r="K482" t="str">
        <f>VLOOKUP(J482,[1]!Region,2,FALSE)</f>
        <v>Eastern</v>
      </c>
      <c r="L482">
        <f>VLOOKUP(A482,[1]Order_Details!$A$1:$F$2156,2,FALSE)</f>
        <v>30</v>
      </c>
      <c r="M482" t="str">
        <f>VLOOKUP(L482,[1]!Products,2,FALSE)</f>
        <v>Nord-Ost Matjeshering</v>
      </c>
      <c r="N482">
        <f>VLOOKUP(L482,[1]!Products,4,FALSE)</f>
        <v>8</v>
      </c>
      <c r="O482" s="6" t="str">
        <f>VLOOKUP(N482,[1]!Categories,2,FALSE)</f>
        <v>Seafood</v>
      </c>
      <c r="P482" s="6">
        <f>VLOOKUP(A482,[1]Order_Details!$A$1:$F$2156,3,FALSE)</f>
        <v>25.89</v>
      </c>
      <c r="Q482">
        <f>VLOOKUP(A482,[1]Order_Details!$A$1:$F$2156,4,FALSE)</f>
        <v>15</v>
      </c>
      <c r="R482">
        <f>VLOOKUP(A482,[1]Order_Details!$A$1:$F$2156,5,FALSE)</f>
        <v>0</v>
      </c>
      <c r="S482" s="6">
        <f>VLOOKUP(A482,[1]Order_Details!$A$1:$F$2156,6,FALSE)</f>
        <v>388.35</v>
      </c>
      <c r="T482" s="6">
        <f>VLOOKUP(A482,[1]!Orders,8,FALSE)</f>
        <v>58.33</v>
      </c>
    </row>
    <row r="483" spans="1:20" x14ac:dyDescent="0.3">
      <c r="A483" s="2">
        <v>10729</v>
      </c>
      <c r="B483" s="2" t="s">
        <v>71</v>
      </c>
      <c r="C483" s="2">
        <v>8</v>
      </c>
      <c r="D483" s="3">
        <v>35738</v>
      </c>
      <c r="E483" t="str">
        <f>VLOOKUP(C483,[1]Employees!$A$1:$O$10,4,FALSE)</f>
        <v>Callahan Laura</v>
      </c>
      <c r="F483">
        <f>VLOOKUP(A483,[1]!Orders,7,FALSE)</f>
        <v>3</v>
      </c>
      <c r="G483" t="str">
        <f>VLOOKUP(F483,[1]!Shippers,2,FALSE)</f>
        <v>Federal Shipping</v>
      </c>
      <c r="H483" t="str">
        <f>VLOOKUP(C483,[1]EmployeeTerritories!$A$1:$B$50,2,FALSE)</f>
        <v>19428</v>
      </c>
      <c r="I483">
        <f>VLOOKUP(C483,[1]EmployeeTerritories!$A$1:$B$50,1,FALSE)</f>
        <v>8</v>
      </c>
      <c r="J483">
        <f>VLOOKUP(H483,[1]!Territories,3,FALSE)</f>
        <v>3</v>
      </c>
      <c r="K483" t="str">
        <f>VLOOKUP(J483,[1]!Region,2,FALSE)</f>
        <v>Northern</v>
      </c>
      <c r="L483">
        <f>VLOOKUP(A483,[1]Order_Details!$A$1:$F$2156,2,FALSE)</f>
        <v>1</v>
      </c>
      <c r="M483" t="str">
        <f>VLOOKUP(L483,[1]!Products,2,FALSE)</f>
        <v>Chai</v>
      </c>
      <c r="N483">
        <f>VLOOKUP(L483,[1]!Products,4,FALSE)</f>
        <v>1</v>
      </c>
      <c r="O483" s="6" t="str">
        <f>VLOOKUP(N483,[1]!Categories,2,FALSE)</f>
        <v>Beverages</v>
      </c>
      <c r="P483" s="6">
        <f>VLOOKUP(A483,[1]Order_Details!$A$1:$F$2156,3,FALSE)</f>
        <v>18</v>
      </c>
      <c r="Q483">
        <f>VLOOKUP(A483,[1]Order_Details!$A$1:$F$2156,4,FALSE)</f>
        <v>50</v>
      </c>
      <c r="R483">
        <f>VLOOKUP(A483,[1]Order_Details!$A$1:$F$2156,5,FALSE)</f>
        <v>0</v>
      </c>
      <c r="S483" s="6">
        <f>VLOOKUP(A483,[1]Order_Details!$A$1:$F$2156,6,FALSE)</f>
        <v>900</v>
      </c>
      <c r="T483" s="6">
        <f>VLOOKUP(A483,[1]!Orders,8,FALSE)</f>
        <v>141.06</v>
      </c>
    </row>
    <row r="484" spans="1:20" x14ac:dyDescent="0.3">
      <c r="A484" s="2">
        <v>10730</v>
      </c>
      <c r="B484" s="2" t="s">
        <v>52</v>
      </c>
      <c r="C484" s="2">
        <v>5</v>
      </c>
      <c r="D484" s="3">
        <v>35739</v>
      </c>
      <c r="E484" t="str">
        <f>VLOOKUP(C484,[1]Employees!$A$1:$O$10,4,FALSE)</f>
        <v>Buchanan Steven</v>
      </c>
      <c r="F484">
        <f>VLOOKUP(A484,[1]!Orders,7,FALSE)</f>
        <v>1</v>
      </c>
      <c r="G484" t="str">
        <f>VLOOKUP(F484,[1]!Shippers,2,FALSE)</f>
        <v>Speedy Express</v>
      </c>
      <c r="H484" t="str">
        <f>VLOOKUP(C484,[1]EmployeeTerritories!$A$1:$B$50,2,FALSE)</f>
        <v>02903</v>
      </c>
      <c r="I484">
        <f>VLOOKUP(C484,[1]EmployeeTerritories!$A$1:$B$50,1,FALSE)</f>
        <v>5</v>
      </c>
      <c r="J484">
        <f>VLOOKUP(H484,[1]!Territories,3,FALSE)</f>
        <v>1</v>
      </c>
      <c r="K484" t="str">
        <f>VLOOKUP(J484,[1]!Region,2,FALSE)</f>
        <v>Eastern</v>
      </c>
      <c r="L484">
        <f>VLOOKUP(A484,[1]Order_Details!$A$1:$F$2156,2,FALSE)</f>
        <v>16</v>
      </c>
      <c r="M484" t="str">
        <f>VLOOKUP(L484,[1]!Products,2,FALSE)</f>
        <v>Pavlova</v>
      </c>
      <c r="N484">
        <f>VLOOKUP(L484,[1]!Products,4,FALSE)</f>
        <v>3</v>
      </c>
      <c r="O484" s="6" t="str">
        <f>VLOOKUP(N484,[1]!Categories,2,FALSE)</f>
        <v>Confections</v>
      </c>
      <c r="P484" s="6">
        <f>VLOOKUP(A484,[1]Order_Details!$A$1:$F$2156,3,FALSE)</f>
        <v>17.45</v>
      </c>
      <c r="Q484">
        <f>VLOOKUP(A484,[1]Order_Details!$A$1:$F$2156,4,FALSE)</f>
        <v>15</v>
      </c>
      <c r="R484">
        <f>VLOOKUP(A484,[1]Order_Details!$A$1:$F$2156,5,FALSE)</f>
        <v>5.000000074505806E-2</v>
      </c>
      <c r="S484" s="6">
        <f>VLOOKUP(A484,[1]Order_Details!$A$1:$F$2156,6,FALSE)</f>
        <v>248.66249980498105</v>
      </c>
      <c r="T484" s="6">
        <f>VLOOKUP(A484,[1]!Orders,8,FALSE)</f>
        <v>20.12</v>
      </c>
    </row>
    <row r="485" spans="1:20" x14ac:dyDescent="0.3">
      <c r="A485" s="2">
        <v>10731</v>
      </c>
      <c r="B485" s="2" t="s">
        <v>9</v>
      </c>
      <c r="C485" s="2">
        <v>7</v>
      </c>
      <c r="D485" s="3">
        <v>35740</v>
      </c>
      <c r="E485" t="str">
        <f>VLOOKUP(C485,[1]Employees!$A$1:$O$10,4,FALSE)</f>
        <v>King Robert</v>
      </c>
      <c r="F485">
        <f>VLOOKUP(A485,[1]!Orders,7,FALSE)</f>
        <v>1</v>
      </c>
      <c r="G485" t="str">
        <f>VLOOKUP(F485,[1]!Shippers,2,FALSE)</f>
        <v>Speedy Express</v>
      </c>
      <c r="H485" t="str">
        <f>VLOOKUP(C485,[1]EmployeeTerritories!$A$1:$B$50,2,FALSE)</f>
        <v>60179</v>
      </c>
      <c r="I485">
        <f>VLOOKUP(C485,[1]EmployeeTerritories!$A$1:$B$50,1,FALSE)</f>
        <v>7</v>
      </c>
      <c r="J485">
        <f>VLOOKUP(H485,[1]!Territories,3,FALSE)</f>
        <v>2</v>
      </c>
      <c r="K485" t="str">
        <f>VLOOKUP(J485,[1]!Region,2,FALSE)</f>
        <v>Western</v>
      </c>
      <c r="L485">
        <f>VLOOKUP(A485,[1]Order_Details!$A$1:$F$2156,2,FALSE)</f>
        <v>21</v>
      </c>
      <c r="M485" t="str">
        <f>VLOOKUP(L485,[1]!Products,2,FALSE)</f>
        <v>Sir Rodney's Scones</v>
      </c>
      <c r="N485">
        <f>VLOOKUP(L485,[1]!Products,4,FALSE)</f>
        <v>3</v>
      </c>
      <c r="O485" s="6" t="str">
        <f>VLOOKUP(N485,[1]!Categories,2,FALSE)</f>
        <v>Confections</v>
      </c>
      <c r="P485" s="6">
        <f>VLOOKUP(A485,[1]Order_Details!$A$1:$F$2156,3,FALSE)</f>
        <v>10</v>
      </c>
      <c r="Q485">
        <f>VLOOKUP(A485,[1]Order_Details!$A$1:$F$2156,4,FALSE)</f>
        <v>40</v>
      </c>
      <c r="R485">
        <f>VLOOKUP(A485,[1]Order_Details!$A$1:$F$2156,5,FALSE)</f>
        <v>5.000000074505806E-2</v>
      </c>
      <c r="S485" s="6">
        <f>VLOOKUP(A485,[1]Order_Details!$A$1:$F$2156,6,FALSE)</f>
        <v>379.99999970197678</v>
      </c>
      <c r="T485" s="6">
        <f>VLOOKUP(A485,[1]!Orders,8,FALSE)</f>
        <v>96.65</v>
      </c>
    </row>
    <row r="486" spans="1:20" x14ac:dyDescent="0.3">
      <c r="A486" s="2">
        <v>10732</v>
      </c>
      <c r="B486" s="2" t="s">
        <v>52</v>
      </c>
      <c r="C486" s="2">
        <v>3</v>
      </c>
      <c r="D486" s="3">
        <v>35740</v>
      </c>
      <c r="E486" t="str">
        <f>VLOOKUP(C486,[1]Employees!$A$1:$O$10,4,FALSE)</f>
        <v>Leverling Janet</v>
      </c>
      <c r="F486">
        <f>VLOOKUP(A486,[1]!Orders,7,FALSE)</f>
        <v>1</v>
      </c>
      <c r="G486" t="str">
        <f>VLOOKUP(F486,[1]!Shippers,2,FALSE)</f>
        <v>Speedy Express</v>
      </c>
      <c r="H486" t="str">
        <f>VLOOKUP(C486,[1]EmployeeTerritories!$A$1:$B$50,2,FALSE)</f>
        <v>30346</v>
      </c>
      <c r="I486">
        <f>VLOOKUP(C486,[1]EmployeeTerritories!$A$1:$B$50,1,FALSE)</f>
        <v>3</v>
      </c>
      <c r="J486">
        <f>VLOOKUP(H486,[1]!Territories,3,FALSE)</f>
        <v>4</v>
      </c>
      <c r="K486" t="str">
        <f>VLOOKUP(J486,[1]!Region,2,FALSE)</f>
        <v>Southern</v>
      </c>
      <c r="L486">
        <f>VLOOKUP(A486,[1]Order_Details!$A$1:$F$2156,2,FALSE)</f>
        <v>76</v>
      </c>
      <c r="M486" t="str">
        <f>VLOOKUP(L486,[1]!Products,2,FALSE)</f>
        <v>Lakkalikööri</v>
      </c>
      <c r="N486">
        <f>VLOOKUP(L486,[1]!Products,4,FALSE)</f>
        <v>1</v>
      </c>
      <c r="O486" s="6" t="str">
        <f>VLOOKUP(N486,[1]!Categories,2,FALSE)</f>
        <v>Beverages</v>
      </c>
      <c r="P486" s="6">
        <f>VLOOKUP(A486,[1]Order_Details!$A$1:$F$2156,3,FALSE)</f>
        <v>18</v>
      </c>
      <c r="Q486">
        <f>VLOOKUP(A486,[1]Order_Details!$A$1:$F$2156,4,FALSE)</f>
        <v>20</v>
      </c>
      <c r="R486">
        <f>VLOOKUP(A486,[1]Order_Details!$A$1:$F$2156,5,FALSE)</f>
        <v>0</v>
      </c>
      <c r="S486" s="6">
        <f>VLOOKUP(A486,[1]Order_Details!$A$1:$F$2156,6,FALSE)</f>
        <v>360</v>
      </c>
      <c r="T486" s="6">
        <f>VLOOKUP(A486,[1]!Orders,8,FALSE)</f>
        <v>16.97</v>
      </c>
    </row>
    <row r="487" spans="1:20" x14ac:dyDescent="0.3">
      <c r="A487" s="2">
        <v>10733</v>
      </c>
      <c r="B487" s="2" t="s">
        <v>29</v>
      </c>
      <c r="C487" s="2">
        <v>1</v>
      </c>
      <c r="D487" s="3">
        <v>35741</v>
      </c>
      <c r="E487" t="str">
        <f>VLOOKUP(C487,[1]Employees!$A$1:$O$10,4,FALSE)</f>
        <v>Davolio Nancy</v>
      </c>
      <c r="F487">
        <f>VLOOKUP(A487,[1]!Orders,7,FALSE)</f>
        <v>3</v>
      </c>
      <c r="G487" t="str">
        <f>VLOOKUP(F487,[1]!Shippers,2,FALSE)</f>
        <v>Federal Shipping</v>
      </c>
      <c r="H487" t="str">
        <f>VLOOKUP(C487,[1]EmployeeTerritories!$A$1:$B$50,2,FALSE)</f>
        <v>06897</v>
      </c>
      <c r="I487">
        <f>VLOOKUP(C487,[1]EmployeeTerritories!$A$1:$B$50,1,FALSE)</f>
        <v>1</v>
      </c>
      <c r="J487">
        <f>VLOOKUP(H487,[1]!Territories,3,FALSE)</f>
        <v>1</v>
      </c>
      <c r="K487" t="str">
        <f>VLOOKUP(J487,[1]!Region,2,FALSE)</f>
        <v>Eastern</v>
      </c>
      <c r="L487">
        <f>VLOOKUP(A487,[1]Order_Details!$A$1:$F$2156,2,FALSE)</f>
        <v>14</v>
      </c>
      <c r="M487" t="str">
        <f>VLOOKUP(L487,[1]!Products,2,FALSE)</f>
        <v>Tofu</v>
      </c>
      <c r="N487">
        <f>VLOOKUP(L487,[1]!Products,4,FALSE)</f>
        <v>7</v>
      </c>
      <c r="O487" s="6" t="str">
        <f>VLOOKUP(N487,[1]!Categories,2,FALSE)</f>
        <v>Produce</v>
      </c>
      <c r="P487" s="6">
        <f>VLOOKUP(A487,[1]Order_Details!$A$1:$F$2156,3,FALSE)</f>
        <v>23.25</v>
      </c>
      <c r="Q487">
        <f>VLOOKUP(A487,[1]Order_Details!$A$1:$F$2156,4,FALSE)</f>
        <v>16</v>
      </c>
      <c r="R487">
        <f>VLOOKUP(A487,[1]Order_Details!$A$1:$F$2156,5,FALSE)</f>
        <v>0</v>
      </c>
      <c r="S487" s="6">
        <f>VLOOKUP(A487,[1]Order_Details!$A$1:$F$2156,6,FALSE)</f>
        <v>372</v>
      </c>
      <c r="T487" s="6">
        <f>VLOOKUP(A487,[1]!Orders,8,FALSE)</f>
        <v>110.11</v>
      </c>
    </row>
    <row r="488" spans="1:20" x14ac:dyDescent="0.3">
      <c r="A488" s="2">
        <v>10734</v>
      </c>
      <c r="B488" s="2" t="s">
        <v>75</v>
      </c>
      <c r="C488" s="2">
        <v>2</v>
      </c>
      <c r="D488" s="3">
        <v>35741</v>
      </c>
      <c r="E488" t="str">
        <f>VLOOKUP(C488,[1]Employees!$A$1:$O$10,4,FALSE)</f>
        <v>Fuller Andrew</v>
      </c>
      <c r="F488">
        <f>VLOOKUP(A488,[1]!Orders,7,FALSE)</f>
        <v>3</v>
      </c>
      <c r="G488" t="str">
        <f>VLOOKUP(F488,[1]!Shippers,2,FALSE)</f>
        <v>Federal Shipping</v>
      </c>
      <c r="H488" t="str">
        <f>VLOOKUP(C488,[1]EmployeeTerritories!$A$1:$B$50,2,FALSE)</f>
        <v>01581</v>
      </c>
      <c r="I488">
        <f>VLOOKUP(C488,[1]EmployeeTerritories!$A$1:$B$50,1,FALSE)</f>
        <v>2</v>
      </c>
      <c r="J488">
        <f>VLOOKUP(H488,[1]!Territories,3,FALSE)</f>
        <v>1</v>
      </c>
      <c r="K488" t="str">
        <f>VLOOKUP(J488,[1]!Region,2,FALSE)</f>
        <v>Eastern</v>
      </c>
      <c r="L488">
        <f>VLOOKUP(A488,[1]Order_Details!$A$1:$F$2156,2,FALSE)</f>
        <v>6</v>
      </c>
      <c r="M488" t="str">
        <f>VLOOKUP(L488,[1]!Products,2,FALSE)</f>
        <v>Grandma's Boysenberry Spread</v>
      </c>
      <c r="N488">
        <f>VLOOKUP(L488,[1]!Products,4,FALSE)</f>
        <v>2</v>
      </c>
      <c r="O488" s="6" t="str">
        <f>VLOOKUP(N488,[1]!Categories,2,FALSE)</f>
        <v>Condiments</v>
      </c>
      <c r="P488" s="6">
        <f>VLOOKUP(A488,[1]Order_Details!$A$1:$F$2156,3,FALSE)</f>
        <v>25</v>
      </c>
      <c r="Q488">
        <f>VLOOKUP(A488,[1]Order_Details!$A$1:$F$2156,4,FALSE)</f>
        <v>30</v>
      </c>
      <c r="R488">
        <f>VLOOKUP(A488,[1]Order_Details!$A$1:$F$2156,5,FALSE)</f>
        <v>0</v>
      </c>
      <c r="S488" s="6">
        <f>VLOOKUP(A488,[1]Order_Details!$A$1:$F$2156,6,FALSE)</f>
        <v>750</v>
      </c>
      <c r="T488" s="6">
        <f>VLOOKUP(A488,[1]!Orders,8,FALSE)</f>
        <v>1.63</v>
      </c>
    </row>
    <row r="489" spans="1:20" x14ac:dyDescent="0.3">
      <c r="A489" s="2">
        <v>10735</v>
      </c>
      <c r="B489" s="2" t="s">
        <v>86</v>
      </c>
      <c r="C489" s="2">
        <v>6</v>
      </c>
      <c r="D489" s="3">
        <v>35744</v>
      </c>
      <c r="E489" t="str">
        <f>VLOOKUP(C489,[1]Employees!$A$1:$O$10,4,FALSE)</f>
        <v>Suyama Michael</v>
      </c>
      <c r="F489">
        <f>VLOOKUP(A489,[1]!Orders,7,FALSE)</f>
        <v>2</v>
      </c>
      <c r="G489" t="str">
        <f>VLOOKUP(F489,[1]!Shippers,2,FALSE)</f>
        <v>United Package</v>
      </c>
      <c r="H489" t="str">
        <f>VLOOKUP(C489,[1]EmployeeTerritories!$A$1:$B$50,2,FALSE)</f>
        <v>85014</v>
      </c>
      <c r="I489">
        <f>VLOOKUP(C489,[1]EmployeeTerritories!$A$1:$B$50,1,FALSE)</f>
        <v>6</v>
      </c>
      <c r="J489">
        <f>VLOOKUP(H489,[1]!Territories,3,FALSE)</f>
        <v>2</v>
      </c>
      <c r="K489" t="str">
        <f>VLOOKUP(J489,[1]!Region,2,FALSE)</f>
        <v>Western</v>
      </c>
      <c r="L489">
        <f>VLOOKUP(A489,[1]Order_Details!$A$1:$F$2156,2,FALSE)</f>
        <v>61</v>
      </c>
      <c r="M489" t="str">
        <f>VLOOKUP(L489,[1]!Products,2,FALSE)</f>
        <v>Sirop d'érable</v>
      </c>
      <c r="N489">
        <f>VLOOKUP(L489,[1]!Products,4,FALSE)</f>
        <v>2</v>
      </c>
      <c r="O489" s="6" t="str">
        <f>VLOOKUP(N489,[1]!Categories,2,FALSE)</f>
        <v>Condiments</v>
      </c>
      <c r="P489" s="6">
        <f>VLOOKUP(A489,[1]Order_Details!$A$1:$F$2156,3,FALSE)</f>
        <v>28.5</v>
      </c>
      <c r="Q489">
        <f>VLOOKUP(A489,[1]Order_Details!$A$1:$F$2156,4,FALSE)</f>
        <v>20</v>
      </c>
      <c r="R489">
        <f>VLOOKUP(A489,[1]Order_Details!$A$1:$F$2156,5,FALSE)</f>
        <v>0.10000000149011612</v>
      </c>
      <c r="S489" s="6">
        <f>VLOOKUP(A489,[1]Order_Details!$A$1:$F$2156,6,FALSE)</f>
        <v>512.99999915063381</v>
      </c>
      <c r="T489" s="6">
        <f>VLOOKUP(A489,[1]!Orders,8,FALSE)</f>
        <v>45.97</v>
      </c>
    </row>
    <row r="490" spans="1:20" x14ac:dyDescent="0.3">
      <c r="A490" s="2">
        <v>10736</v>
      </c>
      <c r="B490" s="2" t="s">
        <v>38</v>
      </c>
      <c r="C490" s="2">
        <v>9</v>
      </c>
      <c r="D490" s="3">
        <v>35745</v>
      </c>
      <c r="E490" t="str">
        <f>VLOOKUP(C490,[1]Employees!$A$1:$O$10,4,FALSE)</f>
        <v>Dodsworth Anne</v>
      </c>
      <c r="F490">
        <f>VLOOKUP(A490,[1]!Orders,7,FALSE)</f>
        <v>2</v>
      </c>
      <c r="G490" t="str">
        <f>VLOOKUP(F490,[1]!Shippers,2,FALSE)</f>
        <v>United Package</v>
      </c>
      <c r="H490" t="str">
        <f>VLOOKUP(C490,[1]EmployeeTerritories!$A$1:$B$50,2,FALSE)</f>
        <v>03049</v>
      </c>
      <c r="I490">
        <f>VLOOKUP(C490,[1]EmployeeTerritories!$A$1:$B$50,1,FALSE)</f>
        <v>9</v>
      </c>
      <c r="J490">
        <f>VLOOKUP(H490,[1]!Territories,3,FALSE)</f>
        <v>3</v>
      </c>
      <c r="K490" t="str">
        <f>VLOOKUP(J490,[1]!Region,2,FALSE)</f>
        <v>Northern</v>
      </c>
      <c r="L490">
        <f>VLOOKUP(A490,[1]Order_Details!$A$1:$F$2156,2,FALSE)</f>
        <v>65</v>
      </c>
      <c r="M490" t="str">
        <f>VLOOKUP(L490,[1]!Products,2,FALSE)</f>
        <v>Louisiana Fiery Hot Pepper Sauce</v>
      </c>
      <c r="N490">
        <f>VLOOKUP(L490,[1]!Products,4,FALSE)</f>
        <v>2</v>
      </c>
      <c r="O490" s="6" t="str">
        <f>VLOOKUP(N490,[1]!Categories,2,FALSE)</f>
        <v>Condiments</v>
      </c>
      <c r="P490" s="6">
        <f>VLOOKUP(A490,[1]Order_Details!$A$1:$F$2156,3,FALSE)</f>
        <v>21.05</v>
      </c>
      <c r="Q490">
        <f>VLOOKUP(A490,[1]Order_Details!$A$1:$F$2156,4,FALSE)</f>
        <v>40</v>
      </c>
      <c r="R490">
        <f>VLOOKUP(A490,[1]Order_Details!$A$1:$F$2156,5,FALSE)</f>
        <v>0</v>
      </c>
      <c r="S490" s="6">
        <f>VLOOKUP(A490,[1]Order_Details!$A$1:$F$2156,6,FALSE)</f>
        <v>842</v>
      </c>
      <c r="T490" s="6">
        <f>VLOOKUP(A490,[1]!Orders,8,FALSE)</f>
        <v>44.1</v>
      </c>
    </row>
    <row r="491" spans="1:20" x14ac:dyDescent="0.3">
      <c r="A491" s="2">
        <v>10737</v>
      </c>
      <c r="B491" s="2" t="s">
        <v>4</v>
      </c>
      <c r="C491" s="2">
        <v>2</v>
      </c>
      <c r="D491" s="3">
        <v>35745</v>
      </c>
      <c r="E491" t="str">
        <f>VLOOKUP(C491,[1]Employees!$A$1:$O$10,4,FALSE)</f>
        <v>Fuller Andrew</v>
      </c>
      <c r="F491">
        <f>VLOOKUP(A491,[1]!Orders,7,FALSE)</f>
        <v>2</v>
      </c>
      <c r="G491" t="str">
        <f>VLOOKUP(F491,[1]!Shippers,2,FALSE)</f>
        <v>United Package</v>
      </c>
      <c r="H491" t="str">
        <f>VLOOKUP(C491,[1]EmployeeTerritories!$A$1:$B$50,2,FALSE)</f>
        <v>01581</v>
      </c>
      <c r="I491">
        <f>VLOOKUP(C491,[1]EmployeeTerritories!$A$1:$B$50,1,FALSE)</f>
        <v>2</v>
      </c>
      <c r="J491">
        <f>VLOOKUP(H491,[1]!Territories,3,FALSE)</f>
        <v>1</v>
      </c>
      <c r="K491" t="str">
        <f>VLOOKUP(J491,[1]!Region,2,FALSE)</f>
        <v>Eastern</v>
      </c>
      <c r="L491">
        <f>VLOOKUP(A491,[1]Order_Details!$A$1:$F$2156,2,FALSE)</f>
        <v>13</v>
      </c>
      <c r="M491" t="str">
        <f>VLOOKUP(L491,[1]!Products,2,FALSE)</f>
        <v>Konbu</v>
      </c>
      <c r="N491">
        <f>VLOOKUP(L491,[1]!Products,4,FALSE)</f>
        <v>8</v>
      </c>
      <c r="O491" s="6" t="str">
        <f>VLOOKUP(N491,[1]!Categories,2,FALSE)</f>
        <v>Seafood</v>
      </c>
      <c r="P491" s="6">
        <f>VLOOKUP(A491,[1]Order_Details!$A$1:$F$2156,3,FALSE)</f>
        <v>6</v>
      </c>
      <c r="Q491">
        <f>VLOOKUP(A491,[1]Order_Details!$A$1:$F$2156,4,FALSE)</f>
        <v>4</v>
      </c>
      <c r="R491">
        <f>VLOOKUP(A491,[1]Order_Details!$A$1:$F$2156,5,FALSE)</f>
        <v>0</v>
      </c>
      <c r="S491" s="6">
        <f>VLOOKUP(A491,[1]Order_Details!$A$1:$F$2156,6,FALSE)</f>
        <v>24</v>
      </c>
      <c r="T491" s="6">
        <f>VLOOKUP(A491,[1]!Orders,8,FALSE)</f>
        <v>7.79</v>
      </c>
    </row>
    <row r="492" spans="1:20" x14ac:dyDescent="0.3">
      <c r="A492" s="2">
        <v>10738</v>
      </c>
      <c r="B492" s="2" t="s">
        <v>91</v>
      </c>
      <c r="C492" s="2">
        <v>2</v>
      </c>
      <c r="D492" s="3">
        <v>35746</v>
      </c>
      <c r="E492" t="str">
        <f>VLOOKUP(C492,[1]Employees!$A$1:$O$10,4,FALSE)</f>
        <v>Fuller Andrew</v>
      </c>
      <c r="F492">
        <f>VLOOKUP(A492,[1]!Orders,7,FALSE)</f>
        <v>1</v>
      </c>
      <c r="G492" t="str">
        <f>VLOOKUP(F492,[1]!Shippers,2,FALSE)</f>
        <v>Speedy Express</v>
      </c>
      <c r="H492" t="str">
        <f>VLOOKUP(C492,[1]EmployeeTerritories!$A$1:$B$50,2,FALSE)</f>
        <v>01581</v>
      </c>
      <c r="I492">
        <f>VLOOKUP(C492,[1]EmployeeTerritories!$A$1:$B$50,1,FALSE)</f>
        <v>2</v>
      </c>
      <c r="J492">
        <f>VLOOKUP(H492,[1]!Territories,3,FALSE)</f>
        <v>1</v>
      </c>
      <c r="K492" t="str">
        <f>VLOOKUP(J492,[1]!Region,2,FALSE)</f>
        <v>Eastern</v>
      </c>
      <c r="L492">
        <f>VLOOKUP(A492,[1]Order_Details!$A$1:$F$2156,2,FALSE)</f>
        <v>16</v>
      </c>
      <c r="M492" t="str">
        <f>VLOOKUP(L492,[1]!Products,2,FALSE)</f>
        <v>Pavlova</v>
      </c>
      <c r="N492">
        <f>VLOOKUP(L492,[1]!Products,4,FALSE)</f>
        <v>3</v>
      </c>
      <c r="O492" s="6" t="str">
        <f>VLOOKUP(N492,[1]!Categories,2,FALSE)</f>
        <v>Confections</v>
      </c>
      <c r="P492" s="6">
        <f>VLOOKUP(A492,[1]Order_Details!$A$1:$F$2156,3,FALSE)</f>
        <v>17.45</v>
      </c>
      <c r="Q492">
        <f>VLOOKUP(A492,[1]Order_Details!$A$1:$F$2156,4,FALSE)</f>
        <v>3</v>
      </c>
      <c r="R492">
        <f>VLOOKUP(A492,[1]Order_Details!$A$1:$F$2156,5,FALSE)</f>
        <v>0</v>
      </c>
      <c r="S492" s="6">
        <f>VLOOKUP(A492,[1]Order_Details!$A$1:$F$2156,6,FALSE)</f>
        <v>52.349999999999994</v>
      </c>
      <c r="T492" s="6">
        <f>VLOOKUP(A492,[1]!Orders,8,FALSE)</f>
        <v>2.91</v>
      </c>
    </row>
    <row r="493" spans="1:20" x14ac:dyDescent="0.3">
      <c r="A493" s="2">
        <v>10739</v>
      </c>
      <c r="B493" s="2" t="s">
        <v>4</v>
      </c>
      <c r="C493" s="2">
        <v>3</v>
      </c>
      <c r="D493" s="3">
        <v>35746</v>
      </c>
      <c r="E493" t="str">
        <f>VLOOKUP(C493,[1]Employees!$A$1:$O$10,4,FALSE)</f>
        <v>Leverling Janet</v>
      </c>
      <c r="F493">
        <f>VLOOKUP(A493,[1]!Orders,7,FALSE)</f>
        <v>3</v>
      </c>
      <c r="G493" t="str">
        <f>VLOOKUP(F493,[1]!Shippers,2,FALSE)</f>
        <v>Federal Shipping</v>
      </c>
      <c r="H493" t="str">
        <f>VLOOKUP(C493,[1]EmployeeTerritories!$A$1:$B$50,2,FALSE)</f>
        <v>30346</v>
      </c>
      <c r="I493">
        <f>VLOOKUP(C493,[1]EmployeeTerritories!$A$1:$B$50,1,FALSE)</f>
        <v>3</v>
      </c>
      <c r="J493">
        <f>VLOOKUP(H493,[1]!Territories,3,FALSE)</f>
        <v>4</v>
      </c>
      <c r="K493" t="str">
        <f>VLOOKUP(J493,[1]!Region,2,FALSE)</f>
        <v>Southern</v>
      </c>
      <c r="L493">
        <f>VLOOKUP(A493,[1]Order_Details!$A$1:$F$2156,2,FALSE)</f>
        <v>36</v>
      </c>
      <c r="M493" t="str">
        <f>VLOOKUP(L493,[1]!Products,2,FALSE)</f>
        <v>Inlagd Sill</v>
      </c>
      <c r="N493">
        <f>VLOOKUP(L493,[1]!Products,4,FALSE)</f>
        <v>8</v>
      </c>
      <c r="O493" s="6" t="str">
        <f>VLOOKUP(N493,[1]!Categories,2,FALSE)</f>
        <v>Seafood</v>
      </c>
      <c r="P493" s="6">
        <f>VLOOKUP(A493,[1]Order_Details!$A$1:$F$2156,3,FALSE)</f>
        <v>19</v>
      </c>
      <c r="Q493">
        <f>VLOOKUP(A493,[1]Order_Details!$A$1:$F$2156,4,FALSE)</f>
        <v>6</v>
      </c>
      <c r="R493">
        <f>VLOOKUP(A493,[1]Order_Details!$A$1:$F$2156,5,FALSE)</f>
        <v>0</v>
      </c>
      <c r="S493" s="6">
        <f>VLOOKUP(A493,[1]Order_Details!$A$1:$F$2156,6,FALSE)</f>
        <v>114</v>
      </c>
      <c r="T493" s="6">
        <f>VLOOKUP(A493,[1]!Orders,8,FALSE)</f>
        <v>11.08</v>
      </c>
    </row>
    <row r="494" spans="1:20" x14ac:dyDescent="0.3">
      <c r="A494" s="2">
        <v>10740</v>
      </c>
      <c r="B494" s="2" t="s">
        <v>23</v>
      </c>
      <c r="C494" s="2">
        <v>4</v>
      </c>
      <c r="D494" s="3">
        <v>35747</v>
      </c>
      <c r="E494" t="str">
        <f>VLOOKUP(C494,[1]Employees!$A$1:$O$10,4,FALSE)</f>
        <v>Peacock Margaret</v>
      </c>
      <c r="F494">
        <f>VLOOKUP(A494,[1]!Orders,7,FALSE)</f>
        <v>2</v>
      </c>
      <c r="G494" t="str">
        <f>VLOOKUP(F494,[1]!Shippers,2,FALSE)</f>
        <v>United Package</v>
      </c>
      <c r="H494" t="str">
        <f>VLOOKUP(C494,[1]EmployeeTerritories!$A$1:$B$50,2,FALSE)</f>
        <v>20852</v>
      </c>
      <c r="I494">
        <f>VLOOKUP(C494,[1]EmployeeTerritories!$A$1:$B$50,1,FALSE)</f>
        <v>4</v>
      </c>
      <c r="J494">
        <f>VLOOKUP(H494,[1]!Territories,3,FALSE)</f>
        <v>1</v>
      </c>
      <c r="K494" t="str">
        <f>VLOOKUP(J494,[1]!Region,2,FALSE)</f>
        <v>Eastern</v>
      </c>
      <c r="L494">
        <f>VLOOKUP(A494,[1]Order_Details!$A$1:$F$2156,2,FALSE)</f>
        <v>28</v>
      </c>
      <c r="M494" t="str">
        <f>VLOOKUP(L494,[1]!Products,2,FALSE)</f>
        <v>Rössle Sauerkraut</v>
      </c>
      <c r="N494">
        <f>VLOOKUP(L494,[1]!Products,4,FALSE)</f>
        <v>7</v>
      </c>
      <c r="O494" s="6" t="str">
        <f>VLOOKUP(N494,[1]!Categories,2,FALSE)</f>
        <v>Produce</v>
      </c>
      <c r="P494" s="6">
        <f>VLOOKUP(A494,[1]Order_Details!$A$1:$F$2156,3,FALSE)</f>
        <v>45.6</v>
      </c>
      <c r="Q494">
        <f>VLOOKUP(A494,[1]Order_Details!$A$1:$F$2156,4,FALSE)</f>
        <v>5</v>
      </c>
      <c r="R494">
        <f>VLOOKUP(A494,[1]Order_Details!$A$1:$F$2156,5,FALSE)</f>
        <v>0.20000000298023224</v>
      </c>
      <c r="S494" s="6">
        <f>VLOOKUP(A494,[1]Order_Details!$A$1:$F$2156,6,FALSE)</f>
        <v>182.39999932050705</v>
      </c>
      <c r="T494" s="6">
        <f>VLOOKUP(A494,[1]!Orders,8,FALSE)</f>
        <v>81.88</v>
      </c>
    </row>
    <row r="495" spans="1:20" x14ac:dyDescent="0.3">
      <c r="A495" s="2">
        <v>10741</v>
      </c>
      <c r="B495" s="2" t="s">
        <v>59</v>
      </c>
      <c r="C495" s="2">
        <v>4</v>
      </c>
      <c r="D495" s="3">
        <v>35748</v>
      </c>
      <c r="E495" t="str">
        <f>VLOOKUP(C495,[1]Employees!$A$1:$O$10,4,FALSE)</f>
        <v>Peacock Margaret</v>
      </c>
      <c r="F495">
        <f>VLOOKUP(A495,[1]!Orders,7,FALSE)</f>
        <v>3</v>
      </c>
      <c r="G495" t="str">
        <f>VLOOKUP(F495,[1]!Shippers,2,FALSE)</f>
        <v>Federal Shipping</v>
      </c>
      <c r="H495" t="str">
        <f>VLOOKUP(C495,[1]EmployeeTerritories!$A$1:$B$50,2,FALSE)</f>
        <v>20852</v>
      </c>
      <c r="I495">
        <f>VLOOKUP(C495,[1]EmployeeTerritories!$A$1:$B$50,1,FALSE)</f>
        <v>4</v>
      </c>
      <c r="J495">
        <f>VLOOKUP(H495,[1]!Territories,3,FALSE)</f>
        <v>1</v>
      </c>
      <c r="K495" t="str">
        <f>VLOOKUP(J495,[1]!Region,2,FALSE)</f>
        <v>Eastern</v>
      </c>
      <c r="L495">
        <f>VLOOKUP(A495,[1]Order_Details!$A$1:$F$2156,2,FALSE)</f>
        <v>2</v>
      </c>
      <c r="M495" t="str">
        <f>VLOOKUP(L495,[1]!Products,2,FALSE)</f>
        <v>Chang</v>
      </c>
      <c r="N495">
        <f>VLOOKUP(L495,[1]!Products,4,FALSE)</f>
        <v>1</v>
      </c>
      <c r="O495" s="6" t="str">
        <f>VLOOKUP(N495,[1]!Categories,2,FALSE)</f>
        <v>Beverages</v>
      </c>
      <c r="P495" s="6">
        <f>VLOOKUP(A495,[1]Order_Details!$A$1:$F$2156,3,FALSE)</f>
        <v>19</v>
      </c>
      <c r="Q495">
        <f>VLOOKUP(A495,[1]Order_Details!$A$1:$F$2156,4,FALSE)</f>
        <v>15</v>
      </c>
      <c r="R495">
        <f>VLOOKUP(A495,[1]Order_Details!$A$1:$F$2156,5,FALSE)</f>
        <v>0.20000000298023224</v>
      </c>
      <c r="S495" s="6">
        <f>VLOOKUP(A495,[1]Order_Details!$A$1:$F$2156,6,FALSE)</f>
        <v>227.99999915063381</v>
      </c>
      <c r="T495" s="6">
        <f>VLOOKUP(A495,[1]!Orders,8,FALSE)</f>
        <v>10.96</v>
      </c>
    </row>
    <row r="496" spans="1:20" x14ac:dyDescent="0.3">
      <c r="A496" s="2">
        <v>10742</v>
      </c>
      <c r="B496" s="2" t="s">
        <v>70</v>
      </c>
      <c r="C496" s="2">
        <v>3</v>
      </c>
      <c r="D496" s="3">
        <v>35748</v>
      </c>
      <c r="E496" t="str">
        <f>VLOOKUP(C496,[1]Employees!$A$1:$O$10,4,FALSE)</f>
        <v>Leverling Janet</v>
      </c>
      <c r="F496">
        <f>VLOOKUP(A496,[1]!Orders,7,FALSE)</f>
        <v>3</v>
      </c>
      <c r="G496" t="str">
        <f>VLOOKUP(F496,[1]!Shippers,2,FALSE)</f>
        <v>Federal Shipping</v>
      </c>
      <c r="H496" t="str">
        <f>VLOOKUP(C496,[1]EmployeeTerritories!$A$1:$B$50,2,FALSE)</f>
        <v>30346</v>
      </c>
      <c r="I496">
        <f>VLOOKUP(C496,[1]EmployeeTerritories!$A$1:$B$50,1,FALSE)</f>
        <v>3</v>
      </c>
      <c r="J496">
        <f>VLOOKUP(H496,[1]!Territories,3,FALSE)</f>
        <v>4</v>
      </c>
      <c r="K496" t="str">
        <f>VLOOKUP(J496,[1]!Region,2,FALSE)</f>
        <v>Southern</v>
      </c>
      <c r="L496">
        <f>VLOOKUP(A496,[1]Order_Details!$A$1:$F$2156,2,FALSE)</f>
        <v>3</v>
      </c>
      <c r="M496" t="str">
        <f>VLOOKUP(L496,[1]!Products,2,FALSE)</f>
        <v>Aniseed Syrup</v>
      </c>
      <c r="N496">
        <f>VLOOKUP(L496,[1]!Products,4,FALSE)</f>
        <v>2</v>
      </c>
      <c r="O496" s="6" t="str">
        <f>VLOOKUP(N496,[1]!Categories,2,FALSE)</f>
        <v>Condiments</v>
      </c>
      <c r="P496" s="6">
        <f>VLOOKUP(A496,[1]Order_Details!$A$1:$F$2156,3,FALSE)</f>
        <v>10</v>
      </c>
      <c r="Q496">
        <f>VLOOKUP(A496,[1]Order_Details!$A$1:$F$2156,4,FALSE)</f>
        <v>20</v>
      </c>
      <c r="R496">
        <f>VLOOKUP(A496,[1]Order_Details!$A$1:$F$2156,5,FALSE)</f>
        <v>0</v>
      </c>
      <c r="S496" s="6">
        <f>VLOOKUP(A496,[1]Order_Details!$A$1:$F$2156,6,FALSE)</f>
        <v>200</v>
      </c>
      <c r="T496" s="6">
        <f>VLOOKUP(A496,[1]!Orders,8,FALSE)</f>
        <v>243.73</v>
      </c>
    </row>
    <row r="497" spans="1:20" x14ac:dyDescent="0.3">
      <c r="A497" s="2">
        <v>10743</v>
      </c>
      <c r="B497" s="2" t="s">
        <v>59</v>
      </c>
      <c r="C497" s="2">
        <v>1</v>
      </c>
      <c r="D497" s="3">
        <v>35751</v>
      </c>
      <c r="E497" t="str">
        <f>VLOOKUP(C497,[1]Employees!$A$1:$O$10,4,FALSE)</f>
        <v>Davolio Nancy</v>
      </c>
      <c r="F497">
        <f>VLOOKUP(A497,[1]!Orders,7,FALSE)</f>
        <v>2</v>
      </c>
      <c r="G497" t="str">
        <f>VLOOKUP(F497,[1]!Shippers,2,FALSE)</f>
        <v>United Package</v>
      </c>
      <c r="H497" t="str">
        <f>VLOOKUP(C497,[1]EmployeeTerritories!$A$1:$B$50,2,FALSE)</f>
        <v>06897</v>
      </c>
      <c r="I497">
        <f>VLOOKUP(C497,[1]EmployeeTerritories!$A$1:$B$50,1,FALSE)</f>
        <v>1</v>
      </c>
      <c r="J497">
        <f>VLOOKUP(H497,[1]!Territories,3,FALSE)</f>
        <v>1</v>
      </c>
      <c r="K497" t="str">
        <f>VLOOKUP(J497,[1]!Region,2,FALSE)</f>
        <v>Eastern</v>
      </c>
      <c r="L497">
        <f>VLOOKUP(A497,[1]Order_Details!$A$1:$F$2156,2,FALSE)</f>
        <v>46</v>
      </c>
      <c r="M497" t="str">
        <f>VLOOKUP(L497,[1]!Products,2,FALSE)</f>
        <v>Spegesild</v>
      </c>
      <c r="N497">
        <f>VLOOKUP(L497,[1]!Products,4,FALSE)</f>
        <v>8</v>
      </c>
      <c r="O497" s="6" t="str">
        <f>VLOOKUP(N497,[1]!Categories,2,FALSE)</f>
        <v>Seafood</v>
      </c>
      <c r="P497" s="6">
        <f>VLOOKUP(A497,[1]Order_Details!$A$1:$F$2156,3,FALSE)</f>
        <v>12</v>
      </c>
      <c r="Q497">
        <f>VLOOKUP(A497,[1]Order_Details!$A$1:$F$2156,4,FALSE)</f>
        <v>28</v>
      </c>
      <c r="R497">
        <f>VLOOKUP(A497,[1]Order_Details!$A$1:$F$2156,5,FALSE)</f>
        <v>5.000000074505806E-2</v>
      </c>
      <c r="S497" s="6">
        <f>VLOOKUP(A497,[1]Order_Details!$A$1:$F$2156,6,FALSE)</f>
        <v>319.19999974966049</v>
      </c>
      <c r="T497" s="6">
        <f>VLOOKUP(A497,[1]!Orders,8,FALSE)</f>
        <v>23.72</v>
      </c>
    </row>
    <row r="498" spans="1:20" x14ac:dyDescent="0.3">
      <c r="A498" s="2">
        <v>10744</v>
      </c>
      <c r="B498" s="2" t="s">
        <v>65</v>
      </c>
      <c r="C498" s="2">
        <v>6</v>
      </c>
      <c r="D498" s="3">
        <v>35751</v>
      </c>
      <c r="E498" t="str">
        <f>VLOOKUP(C498,[1]Employees!$A$1:$O$10,4,FALSE)</f>
        <v>Suyama Michael</v>
      </c>
      <c r="F498">
        <f>VLOOKUP(A498,[1]!Orders,7,FALSE)</f>
        <v>1</v>
      </c>
      <c r="G498" t="str">
        <f>VLOOKUP(F498,[1]!Shippers,2,FALSE)</f>
        <v>Speedy Express</v>
      </c>
      <c r="H498" t="str">
        <f>VLOOKUP(C498,[1]EmployeeTerritories!$A$1:$B$50,2,FALSE)</f>
        <v>85014</v>
      </c>
      <c r="I498">
        <f>VLOOKUP(C498,[1]EmployeeTerritories!$A$1:$B$50,1,FALSE)</f>
        <v>6</v>
      </c>
      <c r="J498">
        <f>VLOOKUP(H498,[1]!Territories,3,FALSE)</f>
        <v>2</v>
      </c>
      <c r="K498" t="str">
        <f>VLOOKUP(J498,[1]!Region,2,FALSE)</f>
        <v>Western</v>
      </c>
      <c r="L498">
        <f>VLOOKUP(A498,[1]Order_Details!$A$1:$F$2156,2,FALSE)</f>
        <v>40</v>
      </c>
      <c r="M498" t="str">
        <f>VLOOKUP(L498,[1]!Products,2,FALSE)</f>
        <v>Boston Crab Meat</v>
      </c>
      <c r="N498">
        <f>VLOOKUP(L498,[1]!Products,4,FALSE)</f>
        <v>8</v>
      </c>
      <c r="O498" s="6" t="str">
        <f>VLOOKUP(N498,[1]!Categories,2,FALSE)</f>
        <v>Seafood</v>
      </c>
      <c r="P498" s="6">
        <f>VLOOKUP(A498,[1]Order_Details!$A$1:$F$2156,3,FALSE)</f>
        <v>18.399999999999999</v>
      </c>
      <c r="Q498">
        <f>VLOOKUP(A498,[1]Order_Details!$A$1:$F$2156,4,FALSE)</f>
        <v>50</v>
      </c>
      <c r="R498">
        <f>VLOOKUP(A498,[1]Order_Details!$A$1:$F$2156,5,FALSE)</f>
        <v>0.20000000298023224</v>
      </c>
      <c r="S498" s="6">
        <f>VLOOKUP(A498,[1]Order_Details!$A$1:$F$2156,6,FALSE)</f>
        <v>735.99999725818623</v>
      </c>
      <c r="T498" s="6">
        <f>VLOOKUP(A498,[1]!Orders,8,FALSE)</f>
        <v>69.19</v>
      </c>
    </row>
    <row r="499" spans="1:20" x14ac:dyDescent="0.3">
      <c r="A499" s="2">
        <v>10745</v>
      </c>
      <c r="B499" s="2" t="s">
        <v>25</v>
      </c>
      <c r="C499" s="2">
        <v>9</v>
      </c>
      <c r="D499" s="3">
        <v>35752</v>
      </c>
      <c r="E499" t="str">
        <f>VLOOKUP(C499,[1]Employees!$A$1:$O$10,4,FALSE)</f>
        <v>Dodsworth Anne</v>
      </c>
      <c r="F499">
        <f>VLOOKUP(A499,[1]!Orders,7,FALSE)</f>
        <v>1</v>
      </c>
      <c r="G499" t="str">
        <f>VLOOKUP(F499,[1]!Shippers,2,FALSE)</f>
        <v>Speedy Express</v>
      </c>
      <c r="H499" t="str">
        <f>VLOOKUP(C499,[1]EmployeeTerritories!$A$1:$B$50,2,FALSE)</f>
        <v>03049</v>
      </c>
      <c r="I499">
        <f>VLOOKUP(C499,[1]EmployeeTerritories!$A$1:$B$50,1,FALSE)</f>
        <v>9</v>
      </c>
      <c r="J499">
        <f>VLOOKUP(H499,[1]!Territories,3,FALSE)</f>
        <v>3</v>
      </c>
      <c r="K499" t="str">
        <f>VLOOKUP(J499,[1]!Region,2,FALSE)</f>
        <v>Northern</v>
      </c>
      <c r="L499">
        <f>VLOOKUP(A499,[1]Order_Details!$A$1:$F$2156,2,FALSE)</f>
        <v>18</v>
      </c>
      <c r="M499" t="str">
        <f>VLOOKUP(L499,[1]!Products,2,FALSE)</f>
        <v>Carnarvon Tigers</v>
      </c>
      <c r="N499">
        <f>VLOOKUP(L499,[1]!Products,4,FALSE)</f>
        <v>8</v>
      </c>
      <c r="O499" s="6" t="str">
        <f>VLOOKUP(N499,[1]!Categories,2,FALSE)</f>
        <v>Seafood</v>
      </c>
      <c r="P499" s="6">
        <f>VLOOKUP(A499,[1]Order_Details!$A$1:$F$2156,3,FALSE)</f>
        <v>62.5</v>
      </c>
      <c r="Q499">
        <f>VLOOKUP(A499,[1]Order_Details!$A$1:$F$2156,4,FALSE)</f>
        <v>24</v>
      </c>
      <c r="R499">
        <f>VLOOKUP(A499,[1]Order_Details!$A$1:$F$2156,5,FALSE)</f>
        <v>0</v>
      </c>
      <c r="S499" s="6">
        <f>VLOOKUP(A499,[1]Order_Details!$A$1:$F$2156,6,FALSE)</f>
        <v>1500</v>
      </c>
      <c r="T499" s="6">
        <f>VLOOKUP(A499,[1]!Orders,8,FALSE)</f>
        <v>3.52</v>
      </c>
    </row>
    <row r="500" spans="1:20" x14ac:dyDescent="0.3">
      <c r="A500" s="2">
        <v>10746</v>
      </c>
      <c r="B500" s="2" t="s">
        <v>9</v>
      </c>
      <c r="C500" s="2">
        <v>1</v>
      </c>
      <c r="D500" s="3">
        <v>35753</v>
      </c>
      <c r="E500" t="str">
        <f>VLOOKUP(C500,[1]Employees!$A$1:$O$10,4,FALSE)</f>
        <v>Davolio Nancy</v>
      </c>
      <c r="F500">
        <f>VLOOKUP(A500,[1]!Orders,7,FALSE)</f>
        <v>3</v>
      </c>
      <c r="G500" t="str">
        <f>VLOOKUP(F500,[1]!Shippers,2,FALSE)</f>
        <v>Federal Shipping</v>
      </c>
      <c r="H500" t="str">
        <f>VLOOKUP(C500,[1]EmployeeTerritories!$A$1:$B$50,2,FALSE)</f>
        <v>06897</v>
      </c>
      <c r="I500">
        <f>VLOOKUP(C500,[1]EmployeeTerritories!$A$1:$B$50,1,FALSE)</f>
        <v>1</v>
      </c>
      <c r="J500">
        <f>VLOOKUP(H500,[1]!Territories,3,FALSE)</f>
        <v>1</v>
      </c>
      <c r="K500" t="str">
        <f>VLOOKUP(J500,[1]!Region,2,FALSE)</f>
        <v>Eastern</v>
      </c>
      <c r="L500">
        <f>VLOOKUP(A500,[1]Order_Details!$A$1:$F$2156,2,FALSE)</f>
        <v>13</v>
      </c>
      <c r="M500" t="str">
        <f>VLOOKUP(L500,[1]!Products,2,FALSE)</f>
        <v>Konbu</v>
      </c>
      <c r="N500">
        <f>VLOOKUP(L500,[1]!Products,4,FALSE)</f>
        <v>8</v>
      </c>
      <c r="O500" s="6" t="str">
        <f>VLOOKUP(N500,[1]!Categories,2,FALSE)</f>
        <v>Seafood</v>
      </c>
      <c r="P500" s="6">
        <f>VLOOKUP(A500,[1]Order_Details!$A$1:$F$2156,3,FALSE)</f>
        <v>6</v>
      </c>
      <c r="Q500">
        <f>VLOOKUP(A500,[1]Order_Details!$A$1:$F$2156,4,FALSE)</f>
        <v>6</v>
      </c>
      <c r="R500">
        <f>VLOOKUP(A500,[1]Order_Details!$A$1:$F$2156,5,FALSE)</f>
        <v>0</v>
      </c>
      <c r="S500" s="6">
        <f>VLOOKUP(A500,[1]Order_Details!$A$1:$F$2156,6,FALSE)</f>
        <v>36</v>
      </c>
      <c r="T500" s="6">
        <f>VLOOKUP(A500,[1]!Orders,8,FALSE)</f>
        <v>31.43</v>
      </c>
    </row>
    <row r="501" spans="1:20" x14ac:dyDescent="0.3">
      <c r="A501" s="2">
        <v>10747</v>
      </c>
      <c r="B501" s="2" t="s">
        <v>58</v>
      </c>
      <c r="C501" s="2">
        <v>6</v>
      </c>
      <c r="D501" s="3">
        <v>35753</v>
      </c>
      <c r="E501" t="str">
        <f>VLOOKUP(C501,[1]Employees!$A$1:$O$10,4,FALSE)</f>
        <v>Suyama Michael</v>
      </c>
      <c r="F501">
        <f>VLOOKUP(A501,[1]!Orders,7,FALSE)</f>
        <v>1</v>
      </c>
      <c r="G501" t="str">
        <f>VLOOKUP(F501,[1]!Shippers,2,FALSE)</f>
        <v>Speedy Express</v>
      </c>
      <c r="H501" t="str">
        <f>VLOOKUP(C501,[1]EmployeeTerritories!$A$1:$B$50,2,FALSE)</f>
        <v>85014</v>
      </c>
      <c r="I501">
        <f>VLOOKUP(C501,[1]EmployeeTerritories!$A$1:$B$50,1,FALSE)</f>
        <v>6</v>
      </c>
      <c r="J501">
        <f>VLOOKUP(H501,[1]!Territories,3,FALSE)</f>
        <v>2</v>
      </c>
      <c r="K501" t="str">
        <f>VLOOKUP(J501,[1]!Region,2,FALSE)</f>
        <v>Western</v>
      </c>
      <c r="L501">
        <f>VLOOKUP(A501,[1]Order_Details!$A$1:$F$2156,2,FALSE)</f>
        <v>31</v>
      </c>
      <c r="M501" t="str">
        <f>VLOOKUP(L501,[1]!Products,2,FALSE)</f>
        <v>Gorgonzola Telino</v>
      </c>
      <c r="N501">
        <f>VLOOKUP(L501,[1]!Products,4,FALSE)</f>
        <v>4</v>
      </c>
      <c r="O501" s="6" t="str">
        <f>VLOOKUP(N501,[1]!Categories,2,FALSE)</f>
        <v>Dairy Products</v>
      </c>
      <c r="P501" s="6">
        <f>VLOOKUP(A501,[1]Order_Details!$A$1:$F$2156,3,FALSE)</f>
        <v>12.5</v>
      </c>
      <c r="Q501">
        <f>VLOOKUP(A501,[1]Order_Details!$A$1:$F$2156,4,FALSE)</f>
        <v>8</v>
      </c>
      <c r="R501">
        <f>VLOOKUP(A501,[1]Order_Details!$A$1:$F$2156,5,FALSE)</f>
        <v>0</v>
      </c>
      <c r="S501" s="6">
        <f>VLOOKUP(A501,[1]Order_Details!$A$1:$F$2156,6,FALSE)</f>
        <v>100</v>
      </c>
      <c r="T501" s="6">
        <f>VLOOKUP(A501,[1]!Orders,8,FALSE)</f>
        <v>117.33</v>
      </c>
    </row>
    <row r="502" spans="1:20" x14ac:dyDescent="0.3">
      <c r="A502" s="2">
        <v>10748</v>
      </c>
      <c r="B502" s="2" t="s">
        <v>49</v>
      </c>
      <c r="C502" s="2">
        <v>3</v>
      </c>
      <c r="D502" s="3">
        <v>35754</v>
      </c>
      <c r="E502" t="str">
        <f>VLOOKUP(C502,[1]Employees!$A$1:$O$10,4,FALSE)</f>
        <v>Leverling Janet</v>
      </c>
      <c r="F502">
        <f>VLOOKUP(A502,[1]!Orders,7,FALSE)</f>
        <v>1</v>
      </c>
      <c r="G502" t="str">
        <f>VLOOKUP(F502,[1]!Shippers,2,FALSE)</f>
        <v>Speedy Express</v>
      </c>
      <c r="H502" t="str">
        <f>VLOOKUP(C502,[1]EmployeeTerritories!$A$1:$B$50,2,FALSE)</f>
        <v>30346</v>
      </c>
      <c r="I502">
        <f>VLOOKUP(C502,[1]EmployeeTerritories!$A$1:$B$50,1,FALSE)</f>
        <v>3</v>
      </c>
      <c r="J502">
        <f>VLOOKUP(H502,[1]!Territories,3,FALSE)</f>
        <v>4</v>
      </c>
      <c r="K502" t="str">
        <f>VLOOKUP(J502,[1]!Region,2,FALSE)</f>
        <v>Southern</v>
      </c>
      <c r="L502">
        <f>VLOOKUP(A502,[1]Order_Details!$A$1:$F$2156,2,FALSE)</f>
        <v>23</v>
      </c>
      <c r="M502" t="str">
        <f>VLOOKUP(L502,[1]!Products,2,FALSE)</f>
        <v>Tunnbröd</v>
      </c>
      <c r="N502">
        <f>VLOOKUP(L502,[1]!Products,4,FALSE)</f>
        <v>5</v>
      </c>
      <c r="O502" s="6" t="str">
        <f>VLOOKUP(N502,[1]!Categories,2,FALSE)</f>
        <v>Grains/Cereals</v>
      </c>
      <c r="P502" s="6">
        <f>VLOOKUP(A502,[1]Order_Details!$A$1:$F$2156,3,FALSE)</f>
        <v>9</v>
      </c>
      <c r="Q502">
        <f>VLOOKUP(A502,[1]Order_Details!$A$1:$F$2156,4,FALSE)</f>
        <v>44</v>
      </c>
      <c r="R502">
        <f>VLOOKUP(A502,[1]Order_Details!$A$1:$F$2156,5,FALSE)</f>
        <v>0</v>
      </c>
      <c r="S502" s="6">
        <f>VLOOKUP(A502,[1]Order_Details!$A$1:$F$2156,6,FALSE)</f>
        <v>396</v>
      </c>
      <c r="T502" s="6">
        <f>VLOOKUP(A502,[1]!Orders,8,FALSE)</f>
        <v>232.55</v>
      </c>
    </row>
    <row r="503" spans="1:20" x14ac:dyDescent="0.3">
      <c r="A503" s="2">
        <v>10749</v>
      </c>
      <c r="B503" s="2" t="s">
        <v>46</v>
      </c>
      <c r="C503" s="2">
        <v>4</v>
      </c>
      <c r="D503" s="3">
        <v>35754</v>
      </c>
      <c r="E503" t="str">
        <f>VLOOKUP(C503,[1]Employees!$A$1:$O$10,4,FALSE)</f>
        <v>Peacock Margaret</v>
      </c>
      <c r="F503">
        <f>VLOOKUP(A503,[1]!Orders,7,FALSE)</f>
        <v>2</v>
      </c>
      <c r="G503" t="str">
        <f>VLOOKUP(F503,[1]!Shippers,2,FALSE)</f>
        <v>United Package</v>
      </c>
      <c r="H503" t="str">
        <f>VLOOKUP(C503,[1]EmployeeTerritories!$A$1:$B$50,2,FALSE)</f>
        <v>20852</v>
      </c>
      <c r="I503">
        <f>VLOOKUP(C503,[1]EmployeeTerritories!$A$1:$B$50,1,FALSE)</f>
        <v>4</v>
      </c>
      <c r="J503">
        <f>VLOOKUP(H503,[1]!Territories,3,FALSE)</f>
        <v>1</v>
      </c>
      <c r="K503" t="str">
        <f>VLOOKUP(J503,[1]!Region,2,FALSE)</f>
        <v>Eastern</v>
      </c>
      <c r="L503">
        <f>VLOOKUP(A503,[1]Order_Details!$A$1:$F$2156,2,FALSE)</f>
        <v>56</v>
      </c>
      <c r="M503" t="str">
        <f>VLOOKUP(L503,[1]!Products,2,FALSE)</f>
        <v>Gnocchi di nonna Alice</v>
      </c>
      <c r="N503">
        <f>VLOOKUP(L503,[1]!Products,4,FALSE)</f>
        <v>5</v>
      </c>
      <c r="O503" s="6" t="str">
        <f>VLOOKUP(N503,[1]!Categories,2,FALSE)</f>
        <v>Grains/Cereals</v>
      </c>
      <c r="P503" s="6">
        <f>VLOOKUP(A503,[1]Order_Details!$A$1:$F$2156,3,FALSE)</f>
        <v>38</v>
      </c>
      <c r="Q503">
        <f>VLOOKUP(A503,[1]Order_Details!$A$1:$F$2156,4,FALSE)</f>
        <v>15</v>
      </c>
      <c r="R503">
        <f>VLOOKUP(A503,[1]Order_Details!$A$1:$F$2156,5,FALSE)</f>
        <v>0</v>
      </c>
      <c r="S503" s="6">
        <f>VLOOKUP(A503,[1]Order_Details!$A$1:$F$2156,6,FALSE)</f>
        <v>570</v>
      </c>
      <c r="T503" s="6">
        <f>VLOOKUP(A503,[1]!Orders,8,FALSE)</f>
        <v>61.53</v>
      </c>
    </row>
    <row r="504" spans="1:20" x14ac:dyDescent="0.3">
      <c r="A504" s="2">
        <v>10750</v>
      </c>
      <c r="B504" s="2" t="s">
        <v>20</v>
      </c>
      <c r="C504" s="2">
        <v>9</v>
      </c>
      <c r="D504" s="3">
        <v>35755</v>
      </c>
      <c r="E504" t="str">
        <f>VLOOKUP(C504,[1]Employees!$A$1:$O$10,4,FALSE)</f>
        <v>Dodsworth Anne</v>
      </c>
      <c r="F504">
        <f>VLOOKUP(A504,[1]!Orders,7,FALSE)</f>
        <v>1</v>
      </c>
      <c r="G504" t="str">
        <f>VLOOKUP(F504,[1]!Shippers,2,FALSE)</f>
        <v>Speedy Express</v>
      </c>
      <c r="H504" t="str">
        <f>VLOOKUP(C504,[1]EmployeeTerritories!$A$1:$B$50,2,FALSE)</f>
        <v>03049</v>
      </c>
      <c r="I504">
        <f>VLOOKUP(C504,[1]EmployeeTerritories!$A$1:$B$50,1,FALSE)</f>
        <v>9</v>
      </c>
      <c r="J504">
        <f>VLOOKUP(H504,[1]!Territories,3,FALSE)</f>
        <v>3</v>
      </c>
      <c r="K504" t="str">
        <f>VLOOKUP(J504,[1]!Region,2,FALSE)</f>
        <v>Northern</v>
      </c>
      <c r="L504">
        <f>VLOOKUP(A504,[1]Order_Details!$A$1:$F$2156,2,FALSE)</f>
        <v>14</v>
      </c>
      <c r="M504" t="str">
        <f>VLOOKUP(L504,[1]!Products,2,FALSE)</f>
        <v>Tofu</v>
      </c>
      <c r="N504">
        <f>VLOOKUP(L504,[1]!Products,4,FALSE)</f>
        <v>7</v>
      </c>
      <c r="O504" s="6" t="str">
        <f>VLOOKUP(N504,[1]!Categories,2,FALSE)</f>
        <v>Produce</v>
      </c>
      <c r="P504" s="6">
        <f>VLOOKUP(A504,[1]Order_Details!$A$1:$F$2156,3,FALSE)</f>
        <v>23.25</v>
      </c>
      <c r="Q504">
        <f>VLOOKUP(A504,[1]Order_Details!$A$1:$F$2156,4,FALSE)</f>
        <v>5</v>
      </c>
      <c r="R504">
        <f>VLOOKUP(A504,[1]Order_Details!$A$1:$F$2156,5,FALSE)</f>
        <v>0.15000000596046448</v>
      </c>
      <c r="S504" s="6">
        <f>VLOOKUP(A504,[1]Order_Details!$A$1:$F$2156,6,FALSE)</f>
        <v>98.812499307096004</v>
      </c>
      <c r="T504" s="6">
        <f>VLOOKUP(A504,[1]!Orders,8,FALSE)</f>
        <v>79.3</v>
      </c>
    </row>
    <row r="505" spans="1:20" x14ac:dyDescent="0.3">
      <c r="A505" s="2">
        <v>10751</v>
      </c>
      <c r="B505" s="2" t="s">
        <v>10</v>
      </c>
      <c r="C505" s="2">
        <v>3</v>
      </c>
      <c r="D505" s="3">
        <v>35758</v>
      </c>
      <c r="E505" t="str">
        <f>VLOOKUP(C505,[1]Employees!$A$1:$O$10,4,FALSE)</f>
        <v>Leverling Janet</v>
      </c>
      <c r="F505">
        <f>VLOOKUP(A505,[1]!Orders,7,FALSE)</f>
        <v>3</v>
      </c>
      <c r="G505" t="str">
        <f>VLOOKUP(F505,[1]!Shippers,2,FALSE)</f>
        <v>Federal Shipping</v>
      </c>
      <c r="H505" t="str">
        <f>VLOOKUP(C505,[1]EmployeeTerritories!$A$1:$B$50,2,FALSE)</f>
        <v>30346</v>
      </c>
      <c r="I505">
        <f>VLOOKUP(C505,[1]EmployeeTerritories!$A$1:$B$50,1,FALSE)</f>
        <v>3</v>
      </c>
      <c r="J505">
        <f>VLOOKUP(H505,[1]!Territories,3,FALSE)</f>
        <v>4</v>
      </c>
      <c r="K505" t="str">
        <f>VLOOKUP(J505,[1]!Region,2,FALSE)</f>
        <v>Southern</v>
      </c>
      <c r="L505">
        <f>VLOOKUP(A505,[1]Order_Details!$A$1:$F$2156,2,FALSE)</f>
        <v>26</v>
      </c>
      <c r="M505" t="str">
        <f>VLOOKUP(L505,[1]!Products,2,FALSE)</f>
        <v>Gumbär Gummibärchen</v>
      </c>
      <c r="N505">
        <f>VLOOKUP(L505,[1]!Products,4,FALSE)</f>
        <v>3</v>
      </c>
      <c r="O505" s="6" t="str">
        <f>VLOOKUP(N505,[1]!Categories,2,FALSE)</f>
        <v>Confections</v>
      </c>
      <c r="P505" s="6">
        <f>VLOOKUP(A505,[1]Order_Details!$A$1:$F$2156,3,FALSE)</f>
        <v>31.23</v>
      </c>
      <c r="Q505">
        <f>VLOOKUP(A505,[1]Order_Details!$A$1:$F$2156,4,FALSE)</f>
        <v>12</v>
      </c>
      <c r="R505">
        <f>VLOOKUP(A505,[1]Order_Details!$A$1:$F$2156,5,FALSE)</f>
        <v>0.10000000149011612</v>
      </c>
      <c r="S505" s="6">
        <f>VLOOKUP(A505,[1]Order_Details!$A$1:$F$2156,6,FALSE)</f>
        <v>337.28399944156405</v>
      </c>
      <c r="T505" s="6">
        <f>VLOOKUP(A505,[1]!Orders,8,FALSE)</f>
        <v>130.79</v>
      </c>
    </row>
    <row r="506" spans="1:20" x14ac:dyDescent="0.3">
      <c r="A506" s="2">
        <v>10752</v>
      </c>
      <c r="B506" s="2" t="s">
        <v>81</v>
      </c>
      <c r="C506" s="2">
        <v>2</v>
      </c>
      <c r="D506" s="3">
        <v>35758</v>
      </c>
      <c r="E506" t="str">
        <f>VLOOKUP(C506,[1]Employees!$A$1:$O$10,4,FALSE)</f>
        <v>Fuller Andrew</v>
      </c>
      <c r="F506">
        <f>VLOOKUP(A506,[1]!Orders,7,FALSE)</f>
        <v>3</v>
      </c>
      <c r="G506" t="str">
        <f>VLOOKUP(F506,[1]!Shippers,2,FALSE)</f>
        <v>Federal Shipping</v>
      </c>
      <c r="H506" t="str">
        <f>VLOOKUP(C506,[1]EmployeeTerritories!$A$1:$B$50,2,FALSE)</f>
        <v>01581</v>
      </c>
      <c r="I506">
        <f>VLOOKUP(C506,[1]EmployeeTerritories!$A$1:$B$50,1,FALSE)</f>
        <v>2</v>
      </c>
      <c r="J506">
        <f>VLOOKUP(H506,[1]!Territories,3,FALSE)</f>
        <v>1</v>
      </c>
      <c r="K506" t="str">
        <f>VLOOKUP(J506,[1]!Region,2,FALSE)</f>
        <v>Eastern</v>
      </c>
      <c r="L506">
        <f>VLOOKUP(A506,[1]Order_Details!$A$1:$F$2156,2,FALSE)</f>
        <v>1</v>
      </c>
      <c r="M506" t="str">
        <f>VLOOKUP(L506,[1]!Products,2,FALSE)</f>
        <v>Chai</v>
      </c>
      <c r="N506">
        <f>VLOOKUP(L506,[1]!Products,4,FALSE)</f>
        <v>1</v>
      </c>
      <c r="O506" s="6" t="str">
        <f>VLOOKUP(N506,[1]!Categories,2,FALSE)</f>
        <v>Beverages</v>
      </c>
      <c r="P506" s="6">
        <f>VLOOKUP(A506,[1]Order_Details!$A$1:$F$2156,3,FALSE)</f>
        <v>18</v>
      </c>
      <c r="Q506">
        <f>VLOOKUP(A506,[1]Order_Details!$A$1:$F$2156,4,FALSE)</f>
        <v>8</v>
      </c>
      <c r="R506">
        <f>VLOOKUP(A506,[1]Order_Details!$A$1:$F$2156,5,FALSE)</f>
        <v>0</v>
      </c>
      <c r="S506" s="6">
        <f>VLOOKUP(A506,[1]Order_Details!$A$1:$F$2156,6,FALSE)</f>
        <v>144</v>
      </c>
      <c r="T506" s="6">
        <f>VLOOKUP(A506,[1]!Orders,8,FALSE)</f>
        <v>1.39</v>
      </c>
    </row>
    <row r="507" spans="1:20" x14ac:dyDescent="0.3">
      <c r="A507" s="2">
        <v>10753</v>
      </c>
      <c r="B507" s="2" t="s">
        <v>74</v>
      </c>
      <c r="C507" s="2">
        <v>3</v>
      </c>
      <c r="D507" s="3">
        <v>35759</v>
      </c>
      <c r="E507" t="str">
        <f>VLOOKUP(C507,[1]Employees!$A$1:$O$10,4,FALSE)</f>
        <v>Leverling Janet</v>
      </c>
      <c r="F507">
        <f>VLOOKUP(A507,[1]!Orders,7,FALSE)</f>
        <v>1</v>
      </c>
      <c r="G507" t="str">
        <f>VLOOKUP(F507,[1]!Shippers,2,FALSE)</f>
        <v>Speedy Express</v>
      </c>
      <c r="H507" t="str">
        <f>VLOOKUP(C507,[1]EmployeeTerritories!$A$1:$B$50,2,FALSE)</f>
        <v>30346</v>
      </c>
      <c r="I507">
        <f>VLOOKUP(C507,[1]EmployeeTerritories!$A$1:$B$50,1,FALSE)</f>
        <v>3</v>
      </c>
      <c r="J507">
        <f>VLOOKUP(H507,[1]!Territories,3,FALSE)</f>
        <v>4</v>
      </c>
      <c r="K507" t="str">
        <f>VLOOKUP(J507,[1]!Region,2,FALSE)</f>
        <v>Southern</v>
      </c>
      <c r="L507">
        <f>VLOOKUP(A507,[1]Order_Details!$A$1:$F$2156,2,FALSE)</f>
        <v>45</v>
      </c>
      <c r="M507" t="str">
        <f>VLOOKUP(L507,[1]!Products,2,FALSE)</f>
        <v>Rogede sild</v>
      </c>
      <c r="N507">
        <f>VLOOKUP(L507,[1]!Products,4,FALSE)</f>
        <v>8</v>
      </c>
      <c r="O507" s="6" t="str">
        <f>VLOOKUP(N507,[1]!Categories,2,FALSE)</f>
        <v>Seafood</v>
      </c>
      <c r="P507" s="6">
        <f>VLOOKUP(A507,[1]Order_Details!$A$1:$F$2156,3,FALSE)</f>
        <v>9.5</v>
      </c>
      <c r="Q507">
        <f>VLOOKUP(A507,[1]Order_Details!$A$1:$F$2156,4,FALSE)</f>
        <v>4</v>
      </c>
      <c r="R507">
        <f>VLOOKUP(A507,[1]Order_Details!$A$1:$F$2156,5,FALSE)</f>
        <v>0</v>
      </c>
      <c r="S507" s="6">
        <f>VLOOKUP(A507,[1]Order_Details!$A$1:$F$2156,6,FALSE)</f>
        <v>38</v>
      </c>
      <c r="T507" s="6">
        <f>VLOOKUP(A507,[1]!Orders,8,FALSE)</f>
        <v>7.7</v>
      </c>
    </row>
    <row r="508" spans="1:20" x14ac:dyDescent="0.3">
      <c r="A508" s="2">
        <v>10754</v>
      </c>
      <c r="B508" s="2" t="s">
        <v>26</v>
      </c>
      <c r="C508" s="2">
        <v>6</v>
      </c>
      <c r="D508" s="3">
        <v>35759</v>
      </c>
      <c r="E508" t="str">
        <f>VLOOKUP(C508,[1]Employees!$A$1:$O$10,4,FALSE)</f>
        <v>Suyama Michael</v>
      </c>
      <c r="F508">
        <f>VLOOKUP(A508,[1]!Orders,7,FALSE)</f>
        <v>3</v>
      </c>
      <c r="G508" t="str">
        <f>VLOOKUP(F508,[1]!Shippers,2,FALSE)</f>
        <v>Federal Shipping</v>
      </c>
      <c r="H508" t="str">
        <f>VLOOKUP(C508,[1]EmployeeTerritories!$A$1:$B$50,2,FALSE)</f>
        <v>85014</v>
      </c>
      <c r="I508">
        <f>VLOOKUP(C508,[1]EmployeeTerritories!$A$1:$B$50,1,FALSE)</f>
        <v>6</v>
      </c>
      <c r="J508">
        <f>VLOOKUP(H508,[1]!Territories,3,FALSE)</f>
        <v>2</v>
      </c>
      <c r="K508" t="str">
        <f>VLOOKUP(J508,[1]!Region,2,FALSE)</f>
        <v>Western</v>
      </c>
      <c r="L508">
        <f>VLOOKUP(A508,[1]Order_Details!$A$1:$F$2156,2,FALSE)</f>
        <v>40</v>
      </c>
      <c r="M508" t="str">
        <f>VLOOKUP(L508,[1]!Products,2,FALSE)</f>
        <v>Boston Crab Meat</v>
      </c>
      <c r="N508">
        <f>VLOOKUP(L508,[1]!Products,4,FALSE)</f>
        <v>8</v>
      </c>
      <c r="O508" s="6" t="str">
        <f>VLOOKUP(N508,[1]!Categories,2,FALSE)</f>
        <v>Seafood</v>
      </c>
      <c r="P508" s="6">
        <f>VLOOKUP(A508,[1]Order_Details!$A$1:$F$2156,3,FALSE)</f>
        <v>18.399999999999999</v>
      </c>
      <c r="Q508">
        <f>VLOOKUP(A508,[1]Order_Details!$A$1:$F$2156,4,FALSE)</f>
        <v>3</v>
      </c>
      <c r="R508">
        <f>VLOOKUP(A508,[1]Order_Details!$A$1:$F$2156,5,FALSE)</f>
        <v>0</v>
      </c>
      <c r="S508" s="6">
        <f>VLOOKUP(A508,[1]Order_Details!$A$1:$F$2156,6,FALSE)</f>
        <v>55.199999999999996</v>
      </c>
      <c r="T508" s="6">
        <f>VLOOKUP(A508,[1]!Orders,8,FALSE)</f>
        <v>2.38</v>
      </c>
    </row>
    <row r="509" spans="1:20" x14ac:dyDescent="0.3">
      <c r="A509" s="2">
        <v>10755</v>
      </c>
      <c r="B509" s="2" t="s">
        <v>52</v>
      </c>
      <c r="C509" s="2">
        <v>4</v>
      </c>
      <c r="D509" s="3">
        <v>35760</v>
      </c>
      <c r="E509" t="str">
        <f>VLOOKUP(C509,[1]Employees!$A$1:$O$10,4,FALSE)</f>
        <v>Peacock Margaret</v>
      </c>
      <c r="F509">
        <f>VLOOKUP(A509,[1]!Orders,7,FALSE)</f>
        <v>2</v>
      </c>
      <c r="G509" t="str">
        <f>VLOOKUP(F509,[1]!Shippers,2,FALSE)</f>
        <v>United Package</v>
      </c>
      <c r="H509" t="str">
        <f>VLOOKUP(C509,[1]EmployeeTerritories!$A$1:$B$50,2,FALSE)</f>
        <v>20852</v>
      </c>
      <c r="I509">
        <f>VLOOKUP(C509,[1]EmployeeTerritories!$A$1:$B$50,1,FALSE)</f>
        <v>4</v>
      </c>
      <c r="J509">
        <f>VLOOKUP(H509,[1]!Territories,3,FALSE)</f>
        <v>1</v>
      </c>
      <c r="K509" t="str">
        <f>VLOOKUP(J509,[1]!Region,2,FALSE)</f>
        <v>Eastern</v>
      </c>
      <c r="L509">
        <f>VLOOKUP(A509,[1]Order_Details!$A$1:$F$2156,2,FALSE)</f>
        <v>47</v>
      </c>
      <c r="M509" t="str">
        <f>VLOOKUP(L509,[1]!Products,2,FALSE)</f>
        <v>Zaanse koeken</v>
      </c>
      <c r="N509">
        <f>VLOOKUP(L509,[1]!Products,4,FALSE)</f>
        <v>3</v>
      </c>
      <c r="O509" s="6" t="str">
        <f>VLOOKUP(N509,[1]!Categories,2,FALSE)</f>
        <v>Confections</v>
      </c>
      <c r="P509" s="6">
        <f>VLOOKUP(A509,[1]Order_Details!$A$1:$F$2156,3,FALSE)</f>
        <v>9.5</v>
      </c>
      <c r="Q509">
        <f>VLOOKUP(A509,[1]Order_Details!$A$1:$F$2156,4,FALSE)</f>
        <v>30</v>
      </c>
      <c r="R509">
        <f>VLOOKUP(A509,[1]Order_Details!$A$1:$F$2156,5,FALSE)</f>
        <v>0.25</v>
      </c>
      <c r="S509" s="6">
        <f>VLOOKUP(A509,[1]Order_Details!$A$1:$F$2156,6,FALSE)</f>
        <v>213.75</v>
      </c>
      <c r="T509" s="6">
        <f>VLOOKUP(A509,[1]!Orders,8,FALSE)</f>
        <v>16.71</v>
      </c>
    </row>
    <row r="510" spans="1:20" x14ac:dyDescent="0.3">
      <c r="A510" s="2">
        <v>10756</v>
      </c>
      <c r="B510" s="2" t="s">
        <v>24</v>
      </c>
      <c r="C510" s="2">
        <v>8</v>
      </c>
      <c r="D510" s="3">
        <v>35761</v>
      </c>
      <c r="E510" t="str">
        <f>VLOOKUP(C510,[1]Employees!$A$1:$O$10,4,FALSE)</f>
        <v>Callahan Laura</v>
      </c>
      <c r="F510">
        <f>VLOOKUP(A510,[1]!Orders,7,FALSE)</f>
        <v>2</v>
      </c>
      <c r="G510" t="str">
        <f>VLOOKUP(F510,[1]!Shippers,2,FALSE)</f>
        <v>United Package</v>
      </c>
      <c r="H510" t="str">
        <f>VLOOKUP(C510,[1]EmployeeTerritories!$A$1:$B$50,2,FALSE)</f>
        <v>19428</v>
      </c>
      <c r="I510">
        <f>VLOOKUP(C510,[1]EmployeeTerritories!$A$1:$B$50,1,FALSE)</f>
        <v>8</v>
      </c>
      <c r="J510">
        <f>VLOOKUP(H510,[1]!Territories,3,FALSE)</f>
        <v>3</v>
      </c>
      <c r="K510" t="str">
        <f>VLOOKUP(J510,[1]!Region,2,FALSE)</f>
        <v>Northern</v>
      </c>
      <c r="L510">
        <f>VLOOKUP(A510,[1]Order_Details!$A$1:$F$2156,2,FALSE)</f>
        <v>18</v>
      </c>
      <c r="M510" t="str">
        <f>VLOOKUP(L510,[1]!Products,2,FALSE)</f>
        <v>Carnarvon Tigers</v>
      </c>
      <c r="N510">
        <f>VLOOKUP(L510,[1]!Products,4,FALSE)</f>
        <v>8</v>
      </c>
      <c r="O510" s="6" t="str">
        <f>VLOOKUP(N510,[1]!Categories,2,FALSE)</f>
        <v>Seafood</v>
      </c>
      <c r="P510" s="6">
        <f>VLOOKUP(A510,[1]Order_Details!$A$1:$F$2156,3,FALSE)</f>
        <v>62.5</v>
      </c>
      <c r="Q510">
        <f>VLOOKUP(A510,[1]Order_Details!$A$1:$F$2156,4,FALSE)</f>
        <v>21</v>
      </c>
      <c r="R510">
        <f>VLOOKUP(A510,[1]Order_Details!$A$1:$F$2156,5,FALSE)</f>
        <v>0.20000000298023224</v>
      </c>
      <c r="S510" s="6">
        <f>VLOOKUP(A510,[1]Order_Details!$A$1:$F$2156,6,FALSE)</f>
        <v>1049.9999960884452</v>
      </c>
      <c r="T510" s="6">
        <f>VLOOKUP(A510,[1]!Orders,8,FALSE)</f>
        <v>73.209999999999994</v>
      </c>
    </row>
    <row r="511" spans="1:20" x14ac:dyDescent="0.3">
      <c r="A511" s="2">
        <v>10757</v>
      </c>
      <c r="B511" s="2" t="s">
        <v>49</v>
      </c>
      <c r="C511" s="2">
        <v>6</v>
      </c>
      <c r="D511" s="3">
        <v>35761</v>
      </c>
      <c r="E511" t="str">
        <f>VLOOKUP(C511,[1]Employees!$A$1:$O$10,4,FALSE)</f>
        <v>Suyama Michael</v>
      </c>
      <c r="F511">
        <f>VLOOKUP(A511,[1]!Orders,7,FALSE)</f>
        <v>1</v>
      </c>
      <c r="G511" t="str">
        <f>VLOOKUP(F511,[1]!Shippers,2,FALSE)</f>
        <v>Speedy Express</v>
      </c>
      <c r="H511" t="str">
        <f>VLOOKUP(C511,[1]EmployeeTerritories!$A$1:$B$50,2,FALSE)</f>
        <v>85014</v>
      </c>
      <c r="I511">
        <f>VLOOKUP(C511,[1]EmployeeTerritories!$A$1:$B$50,1,FALSE)</f>
        <v>6</v>
      </c>
      <c r="J511">
        <f>VLOOKUP(H511,[1]!Territories,3,FALSE)</f>
        <v>2</v>
      </c>
      <c r="K511" t="str">
        <f>VLOOKUP(J511,[1]!Region,2,FALSE)</f>
        <v>Western</v>
      </c>
      <c r="L511">
        <f>VLOOKUP(A511,[1]Order_Details!$A$1:$F$2156,2,FALSE)</f>
        <v>34</v>
      </c>
      <c r="M511" t="str">
        <f>VLOOKUP(L511,[1]!Products,2,FALSE)</f>
        <v>Sasquatch Ale</v>
      </c>
      <c r="N511">
        <f>VLOOKUP(L511,[1]!Products,4,FALSE)</f>
        <v>1</v>
      </c>
      <c r="O511" s="6" t="str">
        <f>VLOOKUP(N511,[1]!Categories,2,FALSE)</f>
        <v>Beverages</v>
      </c>
      <c r="P511" s="6">
        <f>VLOOKUP(A511,[1]Order_Details!$A$1:$F$2156,3,FALSE)</f>
        <v>14</v>
      </c>
      <c r="Q511">
        <f>VLOOKUP(A511,[1]Order_Details!$A$1:$F$2156,4,FALSE)</f>
        <v>30</v>
      </c>
      <c r="R511">
        <f>VLOOKUP(A511,[1]Order_Details!$A$1:$F$2156,5,FALSE)</f>
        <v>0</v>
      </c>
      <c r="S511" s="6">
        <f>VLOOKUP(A511,[1]Order_Details!$A$1:$F$2156,6,FALSE)</f>
        <v>420</v>
      </c>
      <c r="T511" s="6">
        <f>VLOOKUP(A511,[1]!Orders,8,FALSE)</f>
        <v>8.19</v>
      </c>
    </row>
    <row r="512" spans="1:20" x14ac:dyDescent="0.3">
      <c r="A512" s="2">
        <v>10758</v>
      </c>
      <c r="B512" s="2" t="s">
        <v>10</v>
      </c>
      <c r="C512" s="2">
        <v>3</v>
      </c>
      <c r="D512" s="3">
        <v>35762</v>
      </c>
      <c r="E512" t="str">
        <f>VLOOKUP(C512,[1]Employees!$A$1:$O$10,4,FALSE)</f>
        <v>Leverling Janet</v>
      </c>
      <c r="F512">
        <f>VLOOKUP(A512,[1]!Orders,7,FALSE)</f>
        <v>3</v>
      </c>
      <c r="G512" t="str">
        <f>VLOOKUP(F512,[1]!Shippers,2,FALSE)</f>
        <v>Federal Shipping</v>
      </c>
      <c r="H512" t="str">
        <f>VLOOKUP(C512,[1]EmployeeTerritories!$A$1:$B$50,2,FALSE)</f>
        <v>30346</v>
      </c>
      <c r="I512">
        <f>VLOOKUP(C512,[1]EmployeeTerritories!$A$1:$B$50,1,FALSE)</f>
        <v>3</v>
      </c>
      <c r="J512">
        <f>VLOOKUP(H512,[1]!Territories,3,FALSE)</f>
        <v>4</v>
      </c>
      <c r="K512" t="str">
        <f>VLOOKUP(J512,[1]!Region,2,FALSE)</f>
        <v>Southern</v>
      </c>
      <c r="L512">
        <f>VLOOKUP(A512,[1]Order_Details!$A$1:$F$2156,2,FALSE)</f>
        <v>26</v>
      </c>
      <c r="M512" t="str">
        <f>VLOOKUP(L512,[1]!Products,2,FALSE)</f>
        <v>Gumbär Gummibärchen</v>
      </c>
      <c r="N512">
        <f>VLOOKUP(L512,[1]!Products,4,FALSE)</f>
        <v>3</v>
      </c>
      <c r="O512" s="6" t="str">
        <f>VLOOKUP(N512,[1]!Categories,2,FALSE)</f>
        <v>Confections</v>
      </c>
      <c r="P512" s="6">
        <f>VLOOKUP(A512,[1]Order_Details!$A$1:$F$2156,3,FALSE)</f>
        <v>31.23</v>
      </c>
      <c r="Q512">
        <f>VLOOKUP(A512,[1]Order_Details!$A$1:$F$2156,4,FALSE)</f>
        <v>20</v>
      </c>
      <c r="R512">
        <f>VLOOKUP(A512,[1]Order_Details!$A$1:$F$2156,5,FALSE)</f>
        <v>0</v>
      </c>
      <c r="S512" s="6">
        <f>VLOOKUP(A512,[1]Order_Details!$A$1:$F$2156,6,FALSE)</f>
        <v>624.6</v>
      </c>
      <c r="T512" s="6">
        <f>VLOOKUP(A512,[1]!Orders,8,FALSE)</f>
        <v>138.16999999999999</v>
      </c>
    </row>
    <row r="513" spans="1:20" x14ac:dyDescent="0.3">
      <c r="A513" s="2">
        <v>10759</v>
      </c>
      <c r="B513" s="2" t="s">
        <v>43</v>
      </c>
      <c r="C513" s="2">
        <v>3</v>
      </c>
      <c r="D513" s="3">
        <v>35762</v>
      </c>
      <c r="E513" t="str">
        <f>VLOOKUP(C513,[1]Employees!$A$1:$O$10,4,FALSE)</f>
        <v>Leverling Janet</v>
      </c>
      <c r="F513">
        <f>VLOOKUP(A513,[1]!Orders,7,FALSE)</f>
        <v>3</v>
      </c>
      <c r="G513" t="str">
        <f>VLOOKUP(F513,[1]!Shippers,2,FALSE)</f>
        <v>Federal Shipping</v>
      </c>
      <c r="H513" t="str">
        <f>VLOOKUP(C513,[1]EmployeeTerritories!$A$1:$B$50,2,FALSE)</f>
        <v>30346</v>
      </c>
      <c r="I513">
        <f>VLOOKUP(C513,[1]EmployeeTerritories!$A$1:$B$50,1,FALSE)</f>
        <v>3</v>
      </c>
      <c r="J513">
        <f>VLOOKUP(H513,[1]!Territories,3,FALSE)</f>
        <v>4</v>
      </c>
      <c r="K513" t="str">
        <f>VLOOKUP(J513,[1]!Region,2,FALSE)</f>
        <v>Southern</v>
      </c>
      <c r="L513">
        <f>VLOOKUP(A513,[1]Order_Details!$A$1:$F$2156,2,FALSE)</f>
        <v>32</v>
      </c>
      <c r="M513" t="str">
        <f>VLOOKUP(L513,[1]!Products,2,FALSE)</f>
        <v>Mascarpone Fabioli</v>
      </c>
      <c r="N513">
        <f>VLOOKUP(L513,[1]!Products,4,FALSE)</f>
        <v>4</v>
      </c>
      <c r="O513" s="6" t="str">
        <f>VLOOKUP(N513,[1]!Categories,2,FALSE)</f>
        <v>Dairy Products</v>
      </c>
      <c r="P513" s="6">
        <f>VLOOKUP(A513,[1]Order_Details!$A$1:$F$2156,3,FALSE)</f>
        <v>32</v>
      </c>
      <c r="Q513">
        <f>VLOOKUP(A513,[1]Order_Details!$A$1:$F$2156,4,FALSE)</f>
        <v>10</v>
      </c>
      <c r="R513">
        <f>VLOOKUP(A513,[1]Order_Details!$A$1:$F$2156,5,FALSE)</f>
        <v>0</v>
      </c>
      <c r="S513" s="6">
        <f>VLOOKUP(A513,[1]Order_Details!$A$1:$F$2156,6,FALSE)</f>
        <v>320</v>
      </c>
      <c r="T513" s="6">
        <f>VLOOKUP(A513,[1]!Orders,8,FALSE)</f>
        <v>11.99</v>
      </c>
    </row>
    <row r="514" spans="1:20" x14ac:dyDescent="0.3">
      <c r="A514" s="2">
        <v>10760</v>
      </c>
      <c r="B514" s="2" t="s">
        <v>84</v>
      </c>
      <c r="C514" s="2">
        <v>4</v>
      </c>
      <c r="D514" s="3">
        <v>35765</v>
      </c>
      <c r="E514" t="str">
        <f>VLOOKUP(C514,[1]Employees!$A$1:$O$10,4,FALSE)</f>
        <v>Peacock Margaret</v>
      </c>
      <c r="F514">
        <f>VLOOKUP(A514,[1]!Orders,7,FALSE)</f>
        <v>1</v>
      </c>
      <c r="G514" t="str">
        <f>VLOOKUP(F514,[1]!Shippers,2,FALSE)</f>
        <v>Speedy Express</v>
      </c>
      <c r="H514" t="str">
        <f>VLOOKUP(C514,[1]EmployeeTerritories!$A$1:$B$50,2,FALSE)</f>
        <v>20852</v>
      </c>
      <c r="I514">
        <f>VLOOKUP(C514,[1]EmployeeTerritories!$A$1:$B$50,1,FALSE)</f>
        <v>4</v>
      </c>
      <c r="J514">
        <f>VLOOKUP(H514,[1]!Territories,3,FALSE)</f>
        <v>1</v>
      </c>
      <c r="K514" t="str">
        <f>VLOOKUP(J514,[1]!Region,2,FALSE)</f>
        <v>Eastern</v>
      </c>
      <c r="L514">
        <f>VLOOKUP(A514,[1]Order_Details!$A$1:$F$2156,2,FALSE)</f>
        <v>25</v>
      </c>
      <c r="M514" t="str">
        <f>VLOOKUP(L514,[1]!Products,2,FALSE)</f>
        <v>NuNuCa Nuß-Nougat-Creme</v>
      </c>
      <c r="N514">
        <f>VLOOKUP(L514,[1]!Products,4,FALSE)</f>
        <v>3</v>
      </c>
      <c r="O514" s="6" t="str">
        <f>VLOOKUP(N514,[1]!Categories,2,FALSE)</f>
        <v>Confections</v>
      </c>
      <c r="P514" s="6">
        <f>VLOOKUP(A514,[1]Order_Details!$A$1:$F$2156,3,FALSE)</f>
        <v>14</v>
      </c>
      <c r="Q514">
        <f>VLOOKUP(A514,[1]Order_Details!$A$1:$F$2156,4,FALSE)</f>
        <v>12</v>
      </c>
      <c r="R514">
        <f>VLOOKUP(A514,[1]Order_Details!$A$1:$F$2156,5,FALSE)</f>
        <v>0.25</v>
      </c>
      <c r="S514" s="6">
        <f>VLOOKUP(A514,[1]Order_Details!$A$1:$F$2156,6,FALSE)</f>
        <v>126</v>
      </c>
      <c r="T514" s="6">
        <f>VLOOKUP(A514,[1]!Orders,8,FALSE)</f>
        <v>155.63999999999999</v>
      </c>
    </row>
    <row r="515" spans="1:20" x14ac:dyDescent="0.3">
      <c r="A515" s="2">
        <v>10761</v>
      </c>
      <c r="B515" s="2" t="s">
        <v>17</v>
      </c>
      <c r="C515" s="2">
        <v>5</v>
      </c>
      <c r="D515" s="3">
        <v>35766</v>
      </c>
      <c r="E515" t="str">
        <f>VLOOKUP(C515,[1]Employees!$A$1:$O$10,4,FALSE)</f>
        <v>Buchanan Steven</v>
      </c>
      <c r="F515">
        <f>VLOOKUP(A515,[1]!Orders,7,FALSE)</f>
        <v>2</v>
      </c>
      <c r="G515" t="str">
        <f>VLOOKUP(F515,[1]!Shippers,2,FALSE)</f>
        <v>United Package</v>
      </c>
      <c r="H515" t="str">
        <f>VLOOKUP(C515,[1]EmployeeTerritories!$A$1:$B$50,2,FALSE)</f>
        <v>02903</v>
      </c>
      <c r="I515">
        <f>VLOOKUP(C515,[1]EmployeeTerritories!$A$1:$B$50,1,FALSE)</f>
        <v>5</v>
      </c>
      <c r="J515">
        <f>VLOOKUP(H515,[1]!Territories,3,FALSE)</f>
        <v>1</v>
      </c>
      <c r="K515" t="str">
        <f>VLOOKUP(J515,[1]!Region,2,FALSE)</f>
        <v>Eastern</v>
      </c>
      <c r="L515">
        <f>VLOOKUP(A515,[1]Order_Details!$A$1:$F$2156,2,FALSE)</f>
        <v>25</v>
      </c>
      <c r="M515" t="str">
        <f>VLOOKUP(L515,[1]!Products,2,FALSE)</f>
        <v>NuNuCa Nuß-Nougat-Creme</v>
      </c>
      <c r="N515">
        <f>VLOOKUP(L515,[1]!Products,4,FALSE)</f>
        <v>3</v>
      </c>
      <c r="O515" s="6" t="str">
        <f>VLOOKUP(N515,[1]!Categories,2,FALSE)</f>
        <v>Confections</v>
      </c>
      <c r="P515" s="6">
        <f>VLOOKUP(A515,[1]Order_Details!$A$1:$F$2156,3,FALSE)</f>
        <v>14</v>
      </c>
      <c r="Q515">
        <f>VLOOKUP(A515,[1]Order_Details!$A$1:$F$2156,4,FALSE)</f>
        <v>35</v>
      </c>
      <c r="R515">
        <f>VLOOKUP(A515,[1]Order_Details!$A$1:$F$2156,5,FALSE)</f>
        <v>0.25</v>
      </c>
      <c r="S515" s="6">
        <f>VLOOKUP(A515,[1]Order_Details!$A$1:$F$2156,6,FALSE)</f>
        <v>367.5</v>
      </c>
      <c r="T515" s="6">
        <f>VLOOKUP(A515,[1]!Orders,8,FALSE)</f>
        <v>18.66</v>
      </c>
    </row>
    <row r="516" spans="1:20" x14ac:dyDescent="0.3">
      <c r="A516" s="2">
        <v>10762</v>
      </c>
      <c r="B516" s="2" t="s">
        <v>18</v>
      </c>
      <c r="C516" s="2">
        <v>3</v>
      </c>
      <c r="D516" s="3">
        <v>35766</v>
      </c>
      <c r="E516" t="str">
        <f>VLOOKUP(C516,[1]Employees!$A$1:$O$10,4,FALSE)</f>
        <v>Leverling Janet</v>
      </c>
      <c r="F516">
        <f>VLOOKUP(A516,[1]!Orders,7,FALSE)</f>
        <v>1</v>
      </c>
      <c r="G516" t="str">
        <f>VLOOKUP(F516,[1]!Shippers,2,FALSE)</f>
        <v>Speedy Express</v>
      </c>
      <c r="H516" t="str">
        <f>VLOOKUP(C516,[1]EmployeeTerritories!$A$1:$B$50,2,FALSE)</f>
        <v>30346</v>
      </c>
      <c r="I516">
        <f>VLOOKUP(C516,[1]EmployeeTerritories!$A$1:$B$50,1,FALSE)</f>
        <v>3</v>
      </c>
      <c r="J516">
        <f>VLOOKUP(H516,[1]!Territories,3,FALSE)</f>
        <v>4</v>
      </c>
      <c r="K516" t="str">
        <f>VLOOKUP(J516,[1]!Region,2,FALSE)</f>
        <v>Southern</v>
      </c>
      <c r="L516">
        <f>VLOOKUP(A516,[1]Order_Details!$A$1:$F$2156,2,FALSE)</f>
        <v>39</v>
      </c>
      <c r="M516" t="str">
        <f>VLOOKUP(L516,[1]!Products,2,FALSE)</f>
        <v>Chartreuse verte</v>
      </c>
      <c r="N516">
        <f>VLOOKUP(L516,[1]!Products,4,FALSE)</f>
        <v>1</v>
      </c>
      <c r="O516" s="6" t="str">
        <f>VLOOKUP(N516,[1]!Categories,2,FALSE)</f>
        <v>Beverages</v>
      </c>
      <c r="P516" s="6">
        <f>VLOOKUP(A516,[1]Order_Details!$A$1:$F$2156,3,FALSE)</f>
        <v>18</v>
      </c>
      <c r="Q516">
        <f>VLOOKUP(A516,[1]Order_Details!$A$1:$F$2156,4,FALSE)</f>
        <v>16</v>
      </c>
      <c r="R516">
        <f>VLOOKUP(A516,[1]Order_Details!$A$1:$F$2156,5,FALSE)</f>
        <v>0</v>
      </c>
      <c r="S516" s="6">
        <f>VLOOKUP(A516,[1]Order_Details!$A$1:$F$2156,6,FALSE)</f>
        <v>288</v>
      </c>
      <c r="T516" s="6">
        <f>VLOOKUP(A516,[1]!Orders,8,FALSE)</f>
        <v>328.74</v>
      </c>
    </row>
    <row r="517" spans="1:20" x14ac:dyDescent="0.3">
      <c r="A517" s="2">
        <v>10763</v>
      </c>
      <c r="B517" s="2" t="s">
        <v>72</v>
      </c>
      <c r="C517" s="2">
        <v>3</v>
      </c>
      <c r="D517" s="3">
        <v>35767</v>
      </c>
      <c r="E517" t="str">
        <f>VLOOKUP(C517,[1]Employees!$A$1:$O$10,4,FALSE)</f>
        <v>Leverling Janet</v>
      </c>
      <c r="F517">
        <f>VLOOKUP(A517,[1]!Orders,7,FALSE)</f>
        <v>3</v>
      </c>
      <c r="G517" t="str">
        <f>VLOOKUP(F517,[1]!Shippers,2,FALSE)</f>
        <v>Federal Shipping</v>
      </c>
      <c r="H517" t="str">
        <f>VLOOKUP(C517,[1]EmployeeTerritories!$A$1:$B$50,2,FALSE)</f>
        <v>30346</v>
      </c>
      <c r="I517">
        <f>VLOOKUP(C517,[1]EmployeeTerritories!$A$1:$B$50,1,FALSE)</f>
        <v>3</v>
      </c>
      <c r="J517">
        <f>VLOOKUP(H517,[1]!Territories,3,FALSE)</f>
        <v>4</v>
      </c>
      <c r="K517" t="str">
        <f>VLOOKUP(J517,[1]!Region,2,FALSE)</f>
        <v>Southern</v>
      </c>
      <c r="L517">
        <f>VLOOKUP(A517,[1]Order_Details!$A$1:$F$2156,2,FALSE)</f>
        <v>21</v>
      </c>
      <c r="M517" t="str">
        <f>VLOOKUP(L517,[1]!Products,2,FALSE)</f>
        <v>Sir Rodney's Scones</v>
      </c>
      <c r="N517">
        <f>VLOOKUP(L517,[1]!Products,4,FALSE)</f>
        <v>3</v>
      </c>
      <c r="O517" s="6" t="str">
        <f>VLOOKUP(N517,[1]!Categories,2,FALSE)</f>
        <v>Confections</v>
      </c>
      <c r="P517" s="6">
        <f>VLOOKUP(A517,[1]Order_Details!$A$1:$F$2156,3,FALSE)</f>
        <v>10</v>
      </c>
      <c r="Q517">
        <f>VLOOKUP(A517,[1]Order_Details!$A$1:$F$2156,4,FALSE)</f>
        <v>40</v>
      </c>
      <c r="R517">
        <f>VLOOKUP(A517,[1]Order_Details!$A$1:$F$2156,5,FALSE)</f>
        <v>0</v>
      </c>
      <c r="S517" s="6">
        <f>VLOOKUP(A517,[1]Order_Details!$A$1:$F$2156,6,FALSE)</f>
        <v>400</v>
      </c>
      <c r="T517" s="6">
        <f>VLOOKUP(A517,[1]!Orders,8,FALSE)</f>
        <v>37.35</v>
      </c>
    </row>
    <row r="518" spans="1:20" x14ac:dyDescent="0.3">
      <c r="A518" s="2">
        <v>10764</v>
      </c>
      <c r="B518" s="2" t="s">
        <v>13</v>
      </c>
      <c r="C518" s="2">
        <v>6</v>
      </c>
      <c r="D518" s="3">
        <v>35767</v>
      </c>
      <c r="E518" t="str">
        <f>VLOOKUP(C518,[1]Employees!$A$1:$O$10,4,FALSE)</f>
        <v>Suyama Michael</v>
      </c>
      <c r="F518">
        <f>VLOOKUP(A518,[1]!Orders,7,FALSE)</f>
        <v>3</v>
      </c>
      <c r="G518" t="str">
        <f>VLOOKUP(F518,[1]!Shippers,2,FALSE)</f>
        <v>Federal Shipping</v>
      </c>
      <c r="H518" t="str">
        <f>VLOOKUP(C518,[1]EmployeeTerritories!$A$1:$B$50,2,FALSE)</f>
        <v>85014</v>
      </c>
      <c r="I518">
        <f>VLOOKUP(C518,[1]EmployeeTerritories!$A$1:$B$50,1,FALSE)</f>
        <v>6</v>
      </c>
      <c r="J518">
        <f>VLOOKUP(H518,[1]!Territories,3,FALSE)</f>
        <v>2</v>
      </c>
      <c r="K518" t="str">
        <f>VLOOKUP(J518,[1]!Region,2,FALSE)</f>
        <v>Western</v>
      </c>
      <c r="L518">
        <f>VLOOKUP(A518,[1]Order_Details!$A$1:$F$2156,2,FALSE)</f>
        <v>3</v>
      </c>
      <c r="M518" t="str">
        <f>VLOOKUP(L518,[1]!Products,2,FALSE)</f>
        <v>Aniseed Syrup</v>
      </c>
      <c r="N518">
        <f>VLOOKUP(L518,[1]!Products,4,FALSE)</f>
        <v>2</v>
      </c>
      <c r="O518" s="6" t="str">
        <f>VLOOKUP(N518,[1]!Categories,2,FALSE)</f>
        <v>Condiments</v>
      </c>
      <c r="P518" s="6">
        <f>VLOOKUP(A518,[1]Order_Details!$A$1:$F$2156,3,FALSE)</f>
        <v>10</v>
      </c>
      <c r="Q518">
        <f>VLOOKUP(A518,[1]Order_Details!$A$1:$F$2156,4,FALSE)</f>
        <v>20</v>
      </c>
      <c r="R518">
        <f>VLOOKUP(A518,[1]Order_Details!$A$1:$F$2156,5,FALSE)</f>
        <v>0.10000000149011612</v>
      </c>
      <c r="S518" s="6">
        <f>VLOOKUP(A518,[1]Order_Details!$A$1:$F$2156,6,FALSE)</f>
        <v>179.99999970197678</v>
      </c>
      <c r="T518" s="6">
        <f>VLOOKUP(A518,[1]!Orders,8,FALSE)</f>
        <v>145.44999999999999</v>
      </c>
    </row>
    <row r="519" spans="1:20" x14ac:dyDescent="0.3">
      <c r="A519" s="2">
        <v>10765</v>
      </c>
      <c r="B519" s="2" t="s">
        <v>25</v>
      </c>
      <c r="C519" s="2">
        <v>3</v>
      </c>
      <c r="D519" s="3">
        <v>35768</v>
      </c>
      <c r="E519" t="str">
        <f>VLOOKUP(C519,[1]Employees!$A$1:$O$10,4,FALSE)</f>
        <v>Leverling Janet</v>
      </c>
      <c r="F519">
        <f>VLOOKUP(A519,[1]!Orders,7,FALSE)</f>
        <v>3</v>
      </c>
      <c r="G519" t="str">
        <f>VLOOKUP(F519,[1]!Shippers,2,FALSE)</f>
        <v>Federal Shipping</v>
      </c>
      <c r="H519" t="str">
        <f>VLOOKUP(C519,[1]EmployeeTerritories!$A$1:$B$50,2,FALSE)</f>
        <v>30346</v>
      </c>
      <c r="I519">
        <f>VLOOKUP(C519,[1]EmployeeTerritories!$A$1:$B$50,1,FALSE)</f>
        <v>3</v>
      </c>
      <c r="J519">
        <f>VLOOKUP(H519,[1]!Territories,3,FALSE)</f>
        <v>4</v>
      </c>
      <c r="K519" t="str">
        <f>VLOOKUP(J519,[1]!Region,2,FALSE)</f>
        <v>Southern</v>
      </c>
      <c r="L519">
        <f>VLOOKUP(A519,[1]Order_Details!$A$1:$F$2156,2,FALSE)</f>
        <v>65</v>
      </c>
      <c r="M519" t="str">
        <f>VLOOKUP(L519,[1]!Products,2,FALSE)</f>
        <v>Louisiana Fiery Hot Pepper Sauce</v>
      </c>
      <c r="N519">
        <f>VLOOKUP(L519,[1]!Products,4,FALSE)</f>
        <v>2</v>
      </c>
      <c r="O519" s="6" t="str">
        <f>VLOOKUP(N519,[1]!Categories,2,FALSE)</f>
        <v>Condiments</v>
      </c>
      <c r="P519" s="6">
        <f>VLOOKUP(A519,[1]Order_Details!$A$1:$F$2156,3,FALSE)</f>
        <v>21.05</v>
      </c>
      <c r="Q519">
        <f>VLOOKUP(A519,[1]Order_Details!$A$1:$F$2156,4,FALSE)</f>
        <v>80</v>
      </c>
      <c r="R519">
        <f>VLOOKUP(A519,[1]Order_Details!$A$1:$F$2156,5,FALSE)</f>
        <v>0.10000000149011612</v>
      </c>
      <c r="S519" s="6">
        <f>VLOOKUP(A519,[1]Order_Details!$A$1:$F$2156,6,FALSE)</f>
        <v>1515.5999974906445</v>
      </c>
      <c r="T519" s="6">
        <f>VLOOKUP(A519,[1]!Orders,8,FALSE)</f>
        <v>42.74</v>
      </c>
    </row>
    <row r="520" spans="1:20" x14ac:dyDescent="0.3">
      <c r="A520" s="2">
        <v>10766</v>
      </c>
      <c r="B520" s="2" t="s">
        <v>15</v>
      </c>
      <c r="C520" s="2">
        <v>4</v>
      </c>
      <c r="D520" s="3">
        <v>35769</v>
      </c>
      <c r="E520" t="str">
        <f>VLOOKUP(C520,[1]Employees!$A$1:$O$10,4,FALSE)</f>
        <v>Peacock Margaret</v>
      </c>
      <c r="F520">
        <f>VLOOKUP(A520,[1]!Orders,7,FALSE)</f>
        <v>1</v>
      </c>
      <c r="G520" t="str">
        <f>VLOOKUP(F520,[1]!Shippers,2,FALSE)</f>
        <v>Speedy Express</v>
      </c>
      <c r="H520" t="str">
        <f>VLOOKUP(C520,[1]EmployeeTerritories!$A$1:$B$50,2,FALSE)</f>
        <v>20852</v>
      </c>
      <c r="I520">
        <f>VLOOKUP(C520,[1]EmployeeTerritories!$A$1:$B$50,1,FALSE)</f>
        <v>4</v>
      </c>
      <c r="J520">
        <f>VLOOKUP(H520,[1]!Territories,3,FALSE)</f>
        <v>1</v>
      </c>
      <c r="K520" t="str">
        <f>VLOOKUP(J520,[1]!Region,2,FALSE)</f>
        <v>Eastern</v>
      </c>
      <c r="L520">
        <f>VLOOKUP(A520,[1]Order_Details!$A$1:$F$2156,2,FALSE)</f>
        <v>2</v>
      </c>
      <c r="M520" t="str">
        <f>VLOOKUP(L520,[1]!Products,2,FALSE)</f>
        <v>Chang</v>
      </c>
      <c r="N520">
        <f>VLOOKUP(L520,[1]!Products,4,FALSE)</f>
        <v>1</v>
      </c>
      <c r="O520" s="6" t="str">
        <f>VLOOKUP(N520,[1]!Categories,2,FALSE)</f>
        <v>Beverages</v>
      </c>
      <c r="P520" s="6">
        <f>VLOOKUP(A520,[1]Order_Details!$A$1:$F$2156,3,FALSE)</f>
        <v>19</v>
      </c>
      <c r="Q520">
        <f>VLOOKUP(A520,[1]Order_Details!$A$1:$F$2156,4,FALSE)</f>
        <v>40</v>
      </c>
      <c r="R520">
        <f>VLOOKUP(A520,[1]Order_Details!$A$1:$F$2156,5,FALSE)</f>
        <v>0</v>
      </c>
      <c r="S520" s="6">
        <f>VLOOKUP(A520,[1]Order_Details!$A$1:$F$2156,6,FALSE)</f>
        <v>760</v>
      </c>
      <c r="T520" s="6">
        <f>VLOOKUP(A520,[1]!Orders,8,FALSE)</f>
        <v>157.55000000000001</v>
      </c>
    </row>
    <row r="521" spans="1:20" x14ac:dyDescent="0.3">
      <c r="A521" s="2">
        <v>10767</v>
      </c>
      <c r="B521" s="2" t="s">
        <v>8</v>
      </c>
      <c r="C521" s="2">
        <v>4</v>
      </c>
      <c r="D521" s="3">
        <v>35769</v>
      </c>
      <c r="E521" t="str">
        <f>VLOOKUP(C521,[1]Employees!$A$1:$O$10,4,FALSE)</f>
        <v>Peacock Margaret</v>
      </c>
      <c r="F521">
        <f>VLOOKUP(A521,[1]!Orders,7,FALSE)</f>
        <v>3</v>
      </c>
      <c r="G521" t="str">
        <f>VLOOKUP(F521,[1]!Shippers,2,FALSE)</f>
        <v>Federal Shipping</v>
      </c>
      <c r="H521" t="str">
        <f>VLOOKUP(C521,[1]EmployeeTerritories!$A$1:$B$50,2,FALSE)</f>
        <v>20852</v>
      </c>
      <c r="I521">
        <f>VLOOKUP(C521,[1]EmployeeTerritories!$A$1:$B$50,1,FALSE)</f>
        <v>4</v>
      </c>
      <c r="J521">
        <f>VLOOKUP(H521,[1]!Territories,3,FALSE)</f>
        <v>1</v>
      </c>
      <c r="K521" t="str">
        <f>VLOOKUP(J521,[1]!Region,2,FALSE)</f>
        <v>Eastern</v>
      </c>
      <c r="L521">
        <f>VLOOKUP(A521,[1]Order_Details!$A$1:$F$2156,2,FALSE)</f>
        <v>42</v>
      </c>
      <c r="M521" t="str">
        <f>VLOOKUP(L521,[1]!Products,2,FALSE)</f>
        <v>Singaporean Hokkien Fried Mee</v>
      </c>
      <c r="N521">
        <f>VLOOKUP(L521,[1]!Products,4,FALSE)</f>
        <v>5</v>
      </c>
      <c r="O521" s="6" t="str">
        <f>VLOOKUP(N521,[1]!Categories,2,FALSE)</f>
        <v>Grains/Cereals</v>
      </c>
      <c r="P521" s="6">
        <f>VLOOKUP(A521,[1]Order_Details!$A$1:$F$2156,3,FALSE)</f>
        <v>14</v>
      </c>
      <c r="Q521">
        <f>VLOOKUP(A521,[1]Order_Details!$A$1:$F$2156,4,FALSE)</f>
        <v>2</v>
      </c>
      <c r="R521">
        <f>VLOOKUP(A521,[1]Order_Details!$A$1:$F$2156,5,FALSE)</f>
        <v>0</v>
      </c>
      <c r="S521" s="6">
        <f>VLOOKUP(A521,[1]Order_Details!$A$1:$F$2156,6,FALSE)</f>
        <v>28</v>
      </c>
      <c r="T521" s="6">
        <f>VLOOKUP(A521,[1]!Orders,8,FALSE)</f>
        <v>1.59</v>
      </c>
    </row>
    <row r="522" spans="1:20" x14ac:dyDescent="0.3">
      <c r="A522" s="2">
        <v>10768</v>
      </c>
      <c r="B522" s="2" t="s">
        <v>59</v>
      </c>
      <c r="C522" s="2">
        <v>3</v>
      </c>
      <c r="D522" s="3">
        <v>35772</v>
      </c>
      <c r="E522" t="str">
        <f>VLOOKUP(C522,[1]Employees!$A$1:$O$10,4,FALSE)</f>
        <v>Leverling Janet</v>
      </c>
      <c r="F522">
        <f>VLOOKUP(A522,[1]!Orders,7,FALSE)</f>
        <v>2</v>
      </c>
      <c r="G522" t="str">
        <f>VLOOKUP(F522,[1]!Shippers,2,FALSE)</f>
        <v>United Package</v>
      </c>
      <c r="H522" t="str">
        <f>VLOOKUP(C522,[1]EmployeeTerritories!$A$1:$B$50,2,FALSE)</f>
        <v>30346</v>
      </c>
      <c r="I522">
        <f>VLOOKUP(C522,[1]EmployeeTerritories!$A$1:$B$50,1,FALSE)</f>
        <v>3</v>
      </c>
      <c r="J522">
        <f>VLOOKUP(H522,[1]!Territories,3,FALSE)</f>
        <v>4</v>
      </c>
      <c r="K522" t="str">
        <f>VLOOKUP(J522,[1]!Region,2,FALSE)</f>
        <v>Southern</v>
      </c>
      <c r="L522">
        <f>VLOOKUP(A522,[1]Order_Details!$A$1:$F$2156,2,FALSE)</f>
        <v>22</v>
      </c>
      <c r="M522" t="str">
        <f>VLOOKUP(L522,[1]!Products,2,FALSE)</f>
        <v>Gustaf's Knäckebröd</v>
      </c>
      <c r="N522">
        <f>VLOOKUP(L522,[1]!Products,4,FALSE)</f>
        <v>5</v>
      </c>
      <c r="O522" s="6" t="str">
        <f>VLOOKUP(N522,[1]!Categories,2,FALSE)</f>
        <v>Grains/Cereals</v>
      </c>
      <c r="P522" s="6">
        <f>VLOOKUP(A522,[1]Order_Details!$A$1:$F$2156,3,FALSE)</f>
        <v>21</v>
      </c>
      <c r="Q522">
        <f>VLOOKUP(A522,[1]Order_Details!$A$1:$F$2156,4,FALSE)</f>
        <v>4</v>
      </c>
      <c r="R522">
        <f>VLOOKUP(A522,[1]Order_Details!$A$1:$F$2156,5,FALSE)</f>
        <v>0</v>
      </c>
      <c r="S522" s="6">
        <f>VLOOKUP(A522,[1]Order_Details!$A$1:$F$2156,6,FALSE)</f>
        <v>84</v>
      </c>
      <c r="T522" s="6">
        <f>VLOOKUP(A522,[1]!Orders,8,FALSE)</f>
        <v>146.32</v>
      </c>
    </row>
    <row r="523" spans="1:20" x14ac:dyDescent="0.3">
      <c r="A523" s="2">
        <v>10769</v>
      </c>
      <c r="B523" s="2" t="s">
        <v>65</v>
      </c>
      <c r="C523" s="2">
        <v>3</v>
      </c>
      <c r="D523" s="3">
        <v>35772</v>
      </c>
      <c r="E523" t="str">
        <f>VLOOKUP(C523,[1]Employees!$A$1:$O$10,4,FALSE)</f>
        <v>Leverling Janet</v>
      </c>
      <c r="F523">
        <f>VLOOKUP(A523,[1]!Orders,7,FALSE)</f>
        <v>1</v>
      </c>
      <c r="G523" t="str">
        <f>VLOOKUP(F523,[1]!Shippers,2,FALSE)</f>
        <v>Speedy Express</v>
      </c>
      <c r="H523" t="str">
        <f>VLOOKUP(C523,[1]EmployeeTerritories!$A$1:$B$50,2,FALSE)</f>
        <v>30346</v>
      </c>
      <c r="I523">
        <f>VLOOKUP(C523,[1]EmployeeTerritories!$A$1:$B$50,1,FALSE)</f>
        <v>3</v>
      </c>
      <c r="J523">
        <f>VLOOKUP(H523,[1]!Territories,3,FALSE)</f>
        <v>4</v>
      </c>
      <c r="K523" t="str">
        <f>VLOOKUP(J523,[1]!Region,2,FALSE)</f>
        <v>Southern</v>
      </c>
      <c r="L523">
        <f>VLOOKUP(A523,[1]Order_Details!$A$1:$F$2156,2,FALSE)</f>
        <v>41</v>
      </c>
      <c r="M523" t="str">
        <f>VLOOKUP(L523,[1]!Products,2,FALSE)</f>
        <v>Jack's New England Clam Chowder</v>
      </c>
      <c r="N523">
        <f>VLOOKUP(L523,[1]!Products,4,FALSE)</f>
        <v>8</v>
      </c>
      <c r="O523" s="6" t="str">
        <f>VLOOKUP(N523,[1]!Categories,2,FALSE)</f>
        <v>Seafood</v>
      </c>
      <c r="P523" s="6">
        <f>VLOOKUP(A523,[1]Order_Details!$A$1:$F$2156,3,FALSE)</f>
        <v>9.65</v>
      </c>
      <c r="Q523">
        <f>VLOOKUP(A523,[1]Order_Details!$A$1:$F$2156,4,FALSE)</f>
        <v>30</v>
      </c>
      <c r="R523">
        <f>VLOOKUP(A523,[1]Order_Details!$A$1:$F$2156,5,FALSE)</f>
        <v>5.000000074505806E-2</v>
      </c>
      <c r="S523" s="6">
        <f>VLOOKUP(A523,[1]Order_Details!$A$1:$F$2156,6,FALSE)</f>
        <v>275.02499978430569</v>
      </c>
      <c r="T523" s="6">
        <f>VLOOKUP(A523,[1]!Orders,8,FALSE)</f>
        <v>65.06</v>
      </c>
    </row>
    <row r="524" spans="1:20" x14ac:dyDescent="0.3">
      <c r="A524" s="2">
        <v>10770</v>
      </c>
      <c r="B524" s="2" t="s">
        <v>6</v>
      </c>
      <c r="C524" s="2">
        <v>8</v>
      </c>
      <c r="D524" s="3">
        <v>35773</v>
      </c>
      <c r="E524" t="str">
        <f>VLOOKUP(C524,[1]Employees!$A$1:$O$10,4,FALSE)</f>
        <v>Callahan Laura</v>
      </c>
      <c r="F524">
        <f>VLOOKUP(A524,[1]!Orders,7,FALSE)</f>
        <v>3</v>
      </c>
      <c r="G524" t="str">
        <f>VLOOKUP(F524,[1]!Shippers,2,FALSE)</f>
        <v>Federal Shipping</v>
      </c>
      <c r="H524" t="str">
        <f>VLOOKUP(C524,[1]EmployeeTerritories!$A$1:$B$50,2,FALSE)</f>
        <v>19428</v>
      </c>
      <c r="I524">
        <f>VLOOKUP(C524,[1]EmployeeTerritories!$A$1:$B$50,1,FALSE)</f>
        <v>8</v>
      </c>
      <c r="J524">
        <f>VLOOKUP(H524,[1]!Territories,3,FALSE)</f>
        <v>3</v>
      </c>
      <c r="K524" t="str">
        <f>VLOOKUP(J524,[1]!Region,2,FALSE)</f>
        <v>Northern</v>
      </c>
      <c r="L524">
        <f>VLOOKUP(A524,[1]Order_Details!$A$1:$F$2156,2,FALSE)</f>
        <v>11</v>
      </c>
      <c r="M524" t="str">
        <f>VLOOKUP(L524,[1]!Products,2,FALSE)</f>
        <v>Queso Cabrales</v>
      </c>
      <c r="N524">
        <f>VLOOKUP(L524,[1]!Products,4,FALSE)</f>
        <v>4</v>
      </c>
      <c r="O524" s="6" t="str">
        <f>VLOOKUP(N524,[1]!Categories,2,FALSE)</f>
        <v>Dairy Products</v>
      </c>
      <c r="P524" s="6">
        <f>VLOOKUP(A524,[1]Order_Details!$A$1:$F$2156,3,FALSE)</f>
        <v>21</v>
      </c>
      <c r="Q524">
        <f>VLOOKUP(A524,[1]Order_Details!$A$1:$F$2156,4,FALSE)</f>
        <v>15</v>
      </c>
      <c r="R524">
        <f>VLOOKUP(A524,[1]Order_Details!$A$1:$F$2156,5,FALSE)</f>
        <v>0.25</v>
      </c>
      <c r="S524" s="6">
        <f>VLOOKUP(A524,[1]Order_Details!$A$1:$F$2156,6,FALSE)</f>
        <v>236.25</v>
      </c>
      <c r="T524" s="6">
        <f>VLOOKUP(A524,[1]!Orders,8,FALSE)</f>
        <v>5.32</v>
      </c>
    </row>
    <row r="525" spans="1:20" x14ac:dyDescent="0.3">
      <c r="A525" s="2">
        <v>10771</v>
      </c>
      <c r="B525" s="2" t="s">
        <v>13</v>
      </c>
      <c r="C525" s="2">
        <v>9</v>
      </c>
      <c r="D525" s="3">
        <v>35774</v>
      </c>
      <c r="E525" t="str">
        <f>VLOOKUP(C525,[1]Employees!$A$1:$O$10,4,FALSE)</f>
        <v>Dodsworth Anne</v>
      </c>
      <c r="F525">
        <f>VLOOKUP(A525,[1]!Orders,7,FALSE)</f>
        <v>2</v>
      </c>
      <c r="G525" t="str">
        <f>VLOOKUP(F525,[1]!Shippers,2,FALSE)</f>
        <v>United Package</v>
      </c>
      <c r="H525" t="str">
        <f>VLOOKUP(C525,[1]EmployeeTerritories!$A$1:$B$50,2,FALSE)</f>
        <v>03049</v>
      </c>
      <c r="I525">
        <f>VLOOKUP(C525,[1]EmployeeTerritories!$A$1:$B$50,1,FALSE)</f>
        <v>9</v>
      </c>
      <c r="J525">
        <f>VLOOKUP(H525,[1]!Territories,3,FALSE)</f>
        <v>3</v>
      </c>
      <c r="K525" t="str">
        <f>VLOOKUP(J525,[1]!Region,2,FALSE)</f>
        <v>Northern</v>
      </c>
      <c r="L525">
        <f>VLOOKUP(A525,[1]Order_Details!$A$1:$F$2156,2,FALSE)</f>
        <v>71</v>
      </c>
      <c r="M525" t="str">
        <f>VLOOKUP(L525,[1]!Products,2,FALSE)</f>
        <v>Flotemysost</v>
      </c>
      <c r="N525">
        <f>VLOOKUP(L525,[1]!Products,4,FALSE)</f>
        <v>4</v>
      </c>
      <c r="O525" s="6" t="str">
        <f>VLOOKUP(N525,[1]!Categories,2,FALSE)</f>
        <v>Dairy Products</v>
      </c>
      <c r="P525" s="6">
        <f>VLOOKUP(A525,[1]Order_Details!$A$1:$F$2156,3,FALSE)</f>
        <v>21.5</v>
      </c>
      <c r="Q525">
        <f>VLOOKUP(A525,[1]Order_Details!$A$1:$F$2156,4,FALSE)</f>
        <v>16</v>
      </c>
      <c r="R525">
        <f>VLOOKUP(A525,[1]Order_Details!$A$1:$F$2156,5,FALSE)</f>
        <v>0</v>
      </c>
      <c r="S525" s="6">
        <f>VLOOKUP(A525,[1]Order_Details!$A$1:$F$2156,6,FALSE)</f>
        <v>344</v>
      </c>
      <c r="T525" s="6">
        <f>VLOOKUP(A525,[1]!Orders,8,FALSE)</f>
        <v>11.19</v>
      </c>
    </row>
    <row r="526" spans="1:20" x14ac:dyDescent="0.3">
      <c r="A526" s="2">
        <v>10772</v>
      </c>
      <c r="B526" s="2" t="s">
        <v>30</v>
      </c>
      <c r="C526" s="2">
        <v>3</v>
      </c>
      <c r="D526" s="3">
        <v>35774</v>
      </c>
      <c r="E526" t="str">
        <f>VLOOKUP(C526,[1]Employees!$A$1:$O$10,4,FALSE)</f>
        <v>Leverling Janet</v>
      </c>
      <c r="F526">
        <f>VLOOKUP(A526,[1]!Orders,7,FALSE)</f>
        <v>2</v>
      </c>
      <c r="G526" t="str">
        <f>VLOOKUP(F526,[1]!Shippers,2,FALSE)</f>
        <v>United Package</v>
      </c>
      <c r="H526" t="str">
        <f>VLOOKUP(C526,[1]EmployeeTerritories!$A$1:$B$50,2,FALSE)</f>
        <v>30346</v>
      </c>
      <c r="I526">
        <f>VLOOKUP(C526,[1]EmployeeTerritories!$A$1:$B$50,1,FALSE)</f>
        <v>3</v>
      </c>
      <c r="J526">
        <f>VLOOKUP(H526,[1]!Territories,3,FALSE)</f>
        <v>4</v>
      </c>
      <c r="K526" t="str">
        <f>VLOOKUP(J526,[1]!Region,2,FALSE)</f>
        <v>Southern</v>
      </c>
      <c r="L526">
        <f>VLOOKUP(A526,[1]Order_Details!$A$1:$F$2156,2,FALSE)</f>
        <v>29</v>
      </c>
      <c r="M526" t="str">
        <f>VLOOKUP(L526,[1]!Products,2,FALSE)</f>
        <v>Thüringer Rostbratwurst</v>
      </c>
      <c r="N526">
        <f>VLOOKUP(L526,[1]!Products,4,FALSE)</f>
        <v>6</v>
      </c>
      <c r="O526" s="6" t="str">
        <f>VLOOKUP(N526,[1]!Categories,2,FALSE)</f>
        <v>Meat/Poultry</v>
      </c>
      <c r="P526" s="6">
        <f>VLOOKUP(A526,[1]Order_Details!$A$1:$F$2156,3,FALSE)</f>
        <v>123.79</v>
      </c>
      <c r="Q526">
        <f>VLOOKUP(A526,[1]Order_Details!$A$1:$F$2156,4,FALSE)</f>
        <v>18</v>
      </c>
      <c r="R526">
        <f>VLOOKUP(A526,[1]Order_Details!$A$1:$F$2156,5,FALSE)</f>
        <v>0</v>
      </c>
      <c r="S526" s="6">
        <f>VLOOKUP(A526,[1]Order_Details!$A$1:$F$2156,6,FALSE)</f>
        <v>2228.2200000000003</v>
      </c>
      <c r="T526" s="6">
        <f>VLOOKUP(A526,[1]!Orders,8,FALSE)</f>
        <v>91.28</v>
      </c>
    </row>
    <row r="527" spans="1:20" x14ac:dyDescent="0.3">
      <c r="A527" s="2">
        <v>10773</v>
      </c>
      <c r="B527" s="2" t="s">
        <v>13</v>
      </c>
      <c r="C527" s="2">
        <v>1</v>
      </c>
      <c r="D527" s="3">
        <v>35775</v>
      </c>
      <c r="E527" t="str">
        <f>VLOOKUP(C527,[1]Employees!$A$1:$O$10,4,FALSE)</f>
        <v>Davolio Nancy</v>
      </c>
      <c r="F527">
        <f>VLOOKUP(A527,[1]!Orders,7,FALSE)</f>
        <v>3</v>
      </c>
      <c r="G527" t="str">
        <f>VLOOKUP(F527,[1]!Shippers,2,FALSE)</f>
        <v>Federal Shipping</v>
      </c>
      <c r="H527" t="str">
        <f>VLOOKUP(C527,[1]EmployeeTerritories!$A$1:$B$50,2,FALSE)</f>
        <v>06897</v>
      </c>
      <c r="I527">
        <f>VLOOKUP(C527,[1]EmployeeTerritories!$A$1:$B$50,1,FALSE)</f>
        <v>1</v>
      </c>
      <c r="J527">
        <f>VLOOKUP(H527,[1]!Territories,3,FALSE)</f>
        <v>1</v>
      </c>
      <c r="K527" t="str">
        <f>VLOOKUP(J527,[1]!Region,2,FALSE)</f>
        <v>Eastern</v>
      </c>
      <c r="L527">
        <f>VLOOKUP(A527,[1]Order_Details!$A$1:$F$2156,2,FALSE)</f>
        <v>17</v>
      </c>
      <c r="M527" t="str">
        <f>VLOOKUP(L527,[1]!Products,2,FALSE)</f>
        <v>Alice Mutton</v>
      </c>
      <c r="N527">
        <f>VLOOKUP(L527,[1]!Products,4,FALSE)</f>
        <v>6</v>
      </c>
      <c r="O527" s="6" t="str">
        <f>VLOOKUP(N527,[1]!Categories,2,FALSE)</f>
        <v>Meat/Poultry</v>
      </c>
      <c r="P527" s="6">
        <f>VLOOKUP(A527,[1]Order_Details!$A$1:$F$2156,3,FALSE)</f>
        <v>39</v>
      </c>
      <c r="Q527">
        <f>VLOOKUP(A527,[1]Order_Details!$A$1:$F$2156,4,FALSE)</f>
        <v>33</v>
      </c>
      <c r="R527">
        <f>VLOOKUP(A527,[1]Order_Details!$A$1:$F$2156,5,FALSE)</f>
        <v>0</v>
      </c>
      <c r="S527" s="6">
        <f>VLOOKUP(A527,[1]Order_Details!$A$1:$F$2156,6,FALSE)</f>
        <v>1287</v>
      </c>
      <c r="T527" s="6">
        <f>VLOOKUP(A527,[1]!Orders,8,FALSE)</f>
        <v>96.43</v>
      </c>
    </row>
    <row r="528" spans="1:20" x14ac:dyDescent="0.3">
      <c r="A528" s="2">
        <v>10774</v>
      </c>
      <c r="B528" s="2" t="s">
        <v>18</v>
      </c>
      <c r="C528" s="2">
        <v>4</v>
      </c>
      <c r="D528" s="3">
        <v>35775</v>
      </c>
      <c r="E528" t="str">
        <f>VLOOKUP(C528,[1]Employees!$A$1:$O$10,4,FALSE)</f>
        <v>Peacock Margaret</v>
      </c>
      <c r="F528">
        <f>VLOOKUP(A528,[1]!Orders,7,FALSE)</f>
        <v>1</v>
      </c>
      <c r="G528" t="str">
        <f>VLOOKUP(F528,[1]!Shippers,2,FALSE)</f>
        <v>Speedy Express</v>
      </c>
      <c r="H528" t="str">
        <f>VLOOKUP(C528,[1]EmployeeTerritories!$A$1:$B$50,2,FALSE)</f>
        <v>20852</v>
      </c>
      <c r="I528">
        <f>VLOOKUP(C528,[1]EmployeeTerritories!$A$1:$B$50,1,FALSE)</f>
        <v>4</v>
      </c>
      <c r="J528">
        <f>VLOOKUP(H528,[1]!Territories,3,FALSE)</f>
        <v>1</v>
      </c>
      <c r="K528" t="str">
        <f>VLOOKUP(J528,[1]!Region,2,FALSE)</f>
        <v>Eastern</v>
      </c>
      <c r="L528">
        <f>VLOOKUP(A528,[1]Order_Details!$A$1:$F$2156,2,FALSE)</f>
        <v>31</v>
      </c>
      <c r="M528" t="str">
        <f>VLOOKUP(L528,[1]!Products,2,FALSE)</f>
        <v>Gorgonzola Telino</v>
      </c>
      <c r="N528">
        <f>VLOOKUP(L528,[1]!Products,4,FALSE)</f>
        <v>4</v>
      </c>
      <c r="O528" s="6" t="str">
        <f>VLOOKUP(N528,[1]!Categories,2,FALSE)</f>
        <v>Dairy Products</v>
      </c>
      <c r="P528" s="6">
        <f>VLOOKUP(A528,[1]Order_Details!$A$1:$F$2156,3,FALSE)</f>
        <v>12.5</v>
      </c>
      <c r="Q528">
        <f>VLOOKUP(A528,[1]Order_Details!$A$1:$F$2156,4,FALSE)</f>
        <v>2</v>
      </c>
      <c r="R528">
        <f>VLOOKUP(A528,[1]Order_Details!$A$1:$F$2156,5,FALSE)</f>
        <v>0.25</v>
      </c>
      <c r="S528" s="6">
        <f>VLOOKUP(A528,[1]Order_Details!$A$1:$F$2156,6,FALSE)</f>
        <v>18.75</v>
      </c>
      <c r="T528" s="6">
        <f>VLOOKUP(A528,[1]!Orders,8,FALSE)</f>
        <v>48.2</v>
      </c>
    </row>
    <row r="529" spans="1:20" x14ac:dyDescent="0.3">
      <c r="A529" s="2">
        <v>10775</v>
      </c>
      <c r="B529" s="2" t="s">
        <v>88</v>
      </c>
      <c r="C529" s="2">
        <v>7</v>
      </c>
      <c r="D529" s="3">
        <v>35776</v>
      </c>
      <c r="E529" t="str">
        <f>VLOOKUP(C529,[1]Employees!$A$1:$O$10,4,FALSE)</f>
        <v>King Robert</v>
      </c>
      <c r="F529">
        <f>VLOOKUP(A529,[1]!Orders,7,FALSE)</f>
        <v>1</v>
      </c>
      <c r="G529" t="str">
        <f>VLOOKUP(F529,[1]!Shippers,2,FALSE)</f>
        <v>Speedy Express</v>
      </c>
      <c r="H529" t="str">
        <f>VLOOKUP(C529,[1]EmployeeTerritories!$A$1:$B$50,2,FALSE)</f>
        <v>60179</v>
      </c>
      <c r="I529">
        <f>VLOOKUP(C529,[1]EmployeeTerritories!$A$1:$B$50,1,FALSE)</f>
        <v>7</v>
      </c>
      <c r="J529">
        <f>VLOOKUP(H529,[1]!Territories,3,FALSE)</f>
        <v>2</v>
      </c>
      <c r="K529" t="str">
        <f>VLOOKUP(J529,[1]!Region,2,FALSE)</f>
        <v>Western</v>
      </c>
      <c r="L529">
        <f>VLOOKUP(A529,[1]Order_Details!$A$1:$F$2156,2,FALSE)</f>
        <v>10</v>
      </c>
      <c r="M529" t="str">
        <f>VLOOKUP(L529,[1]!Products,2,FALSE)</f>
        <v>Ikura</v>
      </c>
      <c r="N529">
        <f>VLOOKUP(L529,[1]!Products,4,FALSE)</f>
        <v>8</v>
      </c>
      <c r="O529" s="6" t="str">
        <f>VLOOKUP(N529,[1]!Categories,2,FALSE)</f>
        <v>Seafood</v>
      </c>
      <c r="P529" s="6">
        <f>VLOOKUP(A529,[1]Order_Details!$A$1:$F$2156,3,FALSE)</f>
        <v>31</v>
      </c>
      <c r="Q529">
        <f>VLOOKUP(A529,[1]Order_Details!$A$1:$F$2156,4,FALSE)</f>
        <v>6</v>
      </c>
      <c r="R529">
        <f>VLOOKUP(A529,[1]Order_Details!$A$1:$F$2156,5,FALSE)</f>
        <v>0</v>
      </c>
      <c r="S529" s="6">
        <f>VLOOKUP(A529,[1]Order_Details!$A$1:$F$2156,6,FALSE)</f>
        <v>186</v>
      </c>
      <c r="T529" s="6">
        <f>VLOOKUP(A529,[1]!Orders,8,FALSE)</f>
        <v>20.25</v>
      </c>
    </row>
    <row r="530" spans="1:20" x14ac:dyDescent="0.3">
      <c r="A530" s="2">
        <v>10776</v>
      </c>
      <c r="B530" s="2" t="s">
        <v>13</v>
      </c>
      <c r="C530" s="2">
        <v>1</v>
      </c>
      <c r="D530" s="3">
        <v>35779</v>
      </c>
      <c r="E530" t="str">
        <f>VLOOKUP(C530,[1]Employees!$A$1:$O$10,4,FALSE)</f>
        <v>Davolio Nancy</v>
      </c>
      <c r="F530">
        <f>VLOOKUP(A530,[1]!Orders,7,FALSE)</f>
        <v>3</v>
      </c>
      <c r="G530" t="str">
        <f>VLOOKUP(F530,[1]!Shippers,2,FALSE)</f>
        <v>Federal Shipping</v>
      </c>
      <c r="H530" t="str">
        <f>VLOOKUP(C530,[1]EmployeeTerritories!$A$1:$B$50,2,FALSE)</f>
        <v>06897</v>
      </c>
      <c r="I530">
        <f>VLOOKUP(C530,[1]EmployeeTerritories!$A$1:$B$50,1,FALSE)</f>
        <v>1</v>
      </c>
      <c r="J530">
        <f>VLOOKUP(H530,[1]!Territories,3,FALSE)</f>
        <v>1</v>
      </c>
      <c r="K530" t="str">
        <f>VLOOKUP(J530,[1]!Region,2,FALSE)</f>
        <v>Eastern</v>
      </c>
      <c r="L530">
        <f>VLOOKUP(A530,[1]Order_Details!$A$1:$F$2156,2,FALSE)</f>
        <v>31</v>
      </c>
      <c r="M530" t="str">
        <f>VLOOKUP(L530,[1]!Products,2,FALSE)</f>
        <v>Gorgonzola Telino</v>
      </c>
      <c r="N530">
        <f>VLOOKUP(L530,[1]!Products,4,FALSE)</f>
        <v>4</v>
      </c>
      <c r="O530" s="6" t="str">
        <f>VLOOKUP(N530,[1]!Categories,2,FALSE)</f>
        <v>Dairy Products</v>
      </c>
      <c r="P530" s="6">
        <f>VLOOKUP(A530,[1]Order_Details!$A$1:$F$2156,3,FALSE)</f>
        <v>12.5</v>
      </c>
      <c r="Q530">
        <f>VLOOKUP(A530,[1]Order_Details!$A$1:$F$2156,4,FALSE)</f>
        <v>16</v>
      </c>
      <c r="R530">
        <f>VLOOKUP(A530,[1]Order_Details!$A$1:$F$2156,5,FALSE)</f>
        <v>5.000000074505806E-2</v>
      </c>
      <c r="S530" s="6">
        <f>VLOOKUP(A530,[1]Order_Details!$A$1:$F$2156,6,FALSE)</f>
        <v>189.99999985098839</v>
      </c>
      <c r="T530" s="6">
        <f>VLOOKUP(A530,[1]!Orders,8,FALSE)</f>
        <v>351.53</v>
      </c>
    </row>
    <row r="531" spans="1:20" x14ac:dyDescent="0.3">
      <c r="A531" s="2">
        <v>10777</v>
      </c>
      <c r="B531" s="2" t="s">
        <v>75</v>
      </c>
      <c r="C531" s="2">
        <v>7</v>
      </c>
      <c r="D531" s="3">
        <v>35779</v>
      </c>
      <c r="E531" t="str">
        <f>VLOOKUP(C531,[1]Employees!$A$1:$O$10,4,FALSE)</f>
        <v>King Robert</v>
      </c>
      <c r="F531">
        <f>VLOOKUP(A531,[1]!Orders,7,FALSE)</f>
        <v>2</v>
      </c>
      <c r="G531" t="str">
        <f>VLOOKUP(F531,[1]!Shippers,2,FALSE)</f>
        <v>United Package</v>
      </c>
      <c r="H531" t="str">
        <f>VLOOKUP(C531,[1]EmployeeTerritories!$A$1:$B$50,2,FALSE)</f>
        <v>60179</v>
      </c>
      <c r="I531">
        <f>VLOOKUP(C531,[1]EmployeeTerritories!$A$1:$B$50,1,FALSE)</f>
        <v>7</v>
      </c>
      <c r="J531">
        <f>VLOOKUP(H531,[1]!Territories,3,FALSE)</f>
        <v>2</v>
      </c>
      <c r="K531" t="str">
        <f>VLOOKUP(J531,[1]!Region,2,FALSE)</f>
        <v>Western</v>
      </c>
      <c r="L531">
        <f>VLOOKUP(A531,[1]Order_Details!$A$1:$F$2156,2,FALSE)</f>
        <v>42</v>
      </c>
      <c r="M531" t="str">
        <f>VLOOKUP(L531,[1]!Products,2,FALSE)</f>
        <v>Singaporean Hokkien Fried Mee</v>
      </c>
      <c r="N531">
        <f>VLOOKUP(L531,[1]!Products,4,FALSE)</f>
        <v>5</v>
      </c>
      <c r="O531" s="6" t="str">
        <f>VLOOKUP(N531,[1]!Categories,2,FALSE)</f>
        <v>Grains/Cereals</v>
      </c>
      <c r="P531" s="6">
        <f>VLOOKUP(A531,[1]Order_Details!$A$1:$F$2156,3,FALSE)</f>
        <v>14</v>
      </c>
      <c r="Q531">
        <f>VLOOKUP(A531,[1]Order_Details!$A$1:$F$2156,4,FALSE)</f>
        <v>20</v>
      </c>
      <c r="R531">
        <f>VLOOKUP(A531,[1]Order_Details!$A$1:$F$2156,5,FALSE)</f>
        <v>0.20000000298023224</v>
      </c>
      <c r="S531" s="6">
        <f>VLOOKUP(A531,[1]Order_Details!$A$1:$F$2156,6,FALSE)</f>
        <v>223.99999916553497</v>
      </c>
      <c r="T531" s="6">
        <f>VLOOKUP(A531,[1]!Orders,8,FALSE)</f>
        <v>3.01</v>
      </c>
    </row>
    <row r="532" spans="1:20" x14ac:dyDescent="0.3">
      <c r="A532" s="2">
        <v>10778</v>
      </c>
      <c r="B532" s="2" t="s">
        <v>29</v>
      </c>
      <c r="C532" s="2">
        <v>3</v>
      </c>
      <c r="D532" s="3">
        <v>35780</v>
      </c>
      <c r="E532" t="str">
        <f>VLOOKUP(C532,[1]Employees!$A$1:$O$10,4,FALSE)</f>
        <v>Leverling Janet</v>
      </c>
      <c r="F532">
        <f>VLOOKUP(A532,[1]!Orders,7,FALSE)</f>
        <v>1</v>
      </c>
      <c r="G532" t="str">
        <f>VLOOKUP(F532,[1]!Shippers,2,FALSE)</f>
        <v>Speedy Express</v>
      </c>
      <c r="H532" t="str">
        <f>VLOOKUP(C532,[1]EmployeeTerritories!$A$1:$B$50,2,FALSE)</f>
        <v>30346</v>
      </c>
      <c r="I532">
        <f>VLOOKUP(C532,[1]EmployeeTerritories!$A$1:$B$50,1,FALSE)</f>
        <v>3</v>
      </c>
      <c r="J532">
        <f>VLOOKUP(H532,[1]!Territories,3,FALSE)</f>
        <v>4</v>
      </c>
      <c r="K532" t="str">
        <f>VLOOKUP(J532,[1]!Region,2,FALSE)</f>
        <v>Southern</v>
      </c>
      <c r="L532">
        <f>VLOOKUP(A532,[1]Order_Details!$A$1:$F$2156,2,FALSE)</f>
        <v>41</v>
      </c>
      <c r="M532" t="str">
        <f>VLOOKUP(L532,[1]!Products,2,FALSE)</f>
        <v>Jack's New England Clam Chowder</v>
      </c>
      <c r="N532">
        <f>VLOOKUP(L532,[1]!Products,4,FALSE)</f>
        <v>8</v>
      </c>
      <c r="O532" s="6" t="str">
        <f>VLOOKUP(N532,[1]!Categories,2,FALSE)</f>
        <v>Seafood</v>
      </c>
      <c r="P532" s="6">
        <f>VLOOKUP(A532,[1]Order_Details!$A$1:$F$2156,3,FALSE)</f>
        <v>9.65</v>
      </c>
      <c r="Q532">
        <f>VLOOKUP(A532,[1]Order_Details!$A$1:$F$2156,4,FALSE)</f>
        <v>10</v>
      </c>
      <c r="R532">
        <f>VLOOKUP(A532,[1]Order_Details!$A$1:$F$2156,5,FALSE)</f>
        <v>0</v>
      </c>
      <c r="S532" s="6">
        <f>VLOOKUP(A532,[1]Order_Details!$A$1:$F$2156,6,FALSE)</f>
        <v>96.5</v>
      </c>
      <c r="T532" s="6">
        <f>VLOOKUP(A532,[1]!Orders,8,FALSE)</f>
        <v>6.79</v>
      </c>
    </row>
    <row r="533" spans="1:20" x14ac:dyDescent="0.3">
      <c r="A533" s="2">
        <v>10779</v>
      </c>
      <c r="B533" s="2" t="s">
        <v>28</v>
      </c>
      <c r="C533" s="2">
        <v>3</v>
      </c>
      <c r="D533" s="3">
        <v>35780</v>
      </c>
      <c r="E533" t="str">
        <f>VLOOKUP(C533,[1]Employees!$A$1:$O$10,4,FALSE)</f>
        <v>Leverling Janet</v>
      </c>
      <c r="F533">
        <f>VLOOKUP(A533,[1]!Orders,7,FALSE)</f>
        <v>2</v>
      </c>
      <c r="G533" t="str">
        <f>VLOOKUP(F533,[1]!Shippers,2,FALSE)</f>
        <v>United Package</v>
      </c>
      <c r="H533" t="str">
        <f>VLOOKUP(C533,[1]EmployeeTerritories!$A$1:$B$50,2,FALSE)</f>
        <v>30346</v>
      </c>
      <c r="I533">
        <f>VLOOKUP(C533,[1]EmployeeTerritories!$A$1:$B$50,1,FALSE)</f>
        <v>3</v>
      </c>
      <c r="J533">
        <f>VLOOKUP(H533,[1]!Territories,3,FALSE)</f>
        <v>4</v>
      </c>
      <c r="K533" t="str">
        <f>VLOOKUP(J533,[1]!Region,2,FALSE)</f>
        <v>Southern</v>
      </c>
      <c r="L533">
        <f>VLOOKUP(A533,[1]Order_Details!$A$1:$F$2156,2,FALSE)</f>
        <v>16</v>
      </c>
      <c r="M533" t="str">
        <f>VLOOKUP(L533,[1]!Products,2,FALSE)</f>
        <v>Pavlova</v>
      </c>
      <c r="N533">
        <f>VLOOKUP(L533,[1]!Products,4,FALSE)</f>
        <v>3</v>
      </c>
      <c r="O533" s="6" t="str">
        <f>VLOOKUP(N533,[1]!Categories,2,FALSE)</f>
        <v>Confections</v>
      </c>
      <c r="P533" s="6">
        <f>VLOOKUP(A533,[1]Order_Details!$A$1:$F$2156,3,FALSE)</f>
        <v>17.45</v>
      </c>
      <c r="Q533">
        <f>VLOOKUP(A533,[1]Order_Details!$A$1:$F$2156,4,FALSE)</f>
        <v>20</v>
      </c>
      <c r="R533">
        <f>VLOOKUP(A533,[1]Order_Details!$A$1:$F$2156,5,FALSE)</f>
        <v>0</v>
      </c>
      <c r="S533" s="6">
        <f>VLOOKUP(A533,[1]Order_Details!$A$1:$F$2156,6,FALSE)</f>
        <v>349</v>
      </c>
      <c r="T533" s="6">
        <f>VLOOKUP(A533,[1]!Orders,8,FALSE)</f>
        <v>58.13</v>
      </c>
    </row>
    <row r="534" spans="1:20" x14ac:dyDescent="0.3">
      <c r="A534" s="2">
        <v>10780</v>
      </c>
      <c r="B534" s="2" t="s">
        <v>32</v>
      </c>
      <c r="C534" s="2">
        <v>2</v>
      </c>
      <c r="D534" s="3">
        <v>35780</v>
      </c>
      <c r="E534" t="str">
        <f>VLOOKUP(C534,[1]Employees!$A$1:$O$10,4,FALSE)</f>
        <v>Fuller Andrew</v>
      </c>
      <c r="F534">
        <f>VLOOKUP(A534,[1]!Orders,7,FALSE)</f>
        <v>1</v>
      </c>
      <c r="G534" t="str">
        <f>VLOOKUP(F534,[1]!Shippers,2,FALSE)</f>
        <v>Speedy Express</v>
      </c>
      <c r="H534" t="str">
        <f>VLOOKUP(C534,[1]EmployeeTerritories!$A$1:$B$50,2,FALSE)</f>
        <v>01581</v>
      </c>
      <c r="I534">
        <f>VLOOKUP(C534,[1]EmployeeTerritories!$A$1:$B$50,1,FALSE)</f>
        <v>2</v>
      </c>
      <c r="J534">
        <f>VLOOKUP(H534,[1]!Territories,3,FALSE)</f>
        <v>1</v>
      </c>
      <c r="K534" t="str">
        <f>VLOOKUP(J534,[1]!Region,2,FALSE)</f>
        <v>Eastern</v>
      </c>
      <c r="L534">
        <f>VLOOKUP(A534,[1]Order_Details!$A$1:$F$2156,2,FALSE)</f>
        <v>70</v>
      </c>
      <c r="M534" t="str">
        <f>VLOOKUP(L534,[1]!Products,2,FALSE)</f>
        <v>Outback Lager</v>
      </c>
      <c r="N534">
        <f>VLOOKUP(L534,[1]!Products,4,FALSE)</f>
        <v>1</v>
      </c>
      <c r="O534" s="6" t="str">
        <f>VLOOKUP(N534,[1]!Categories,2,FALSE)</f>
        <v>Beverages</v>
      </c>
      <c r="P534" s="6">
        <f>VLOOKUP(A534,[1]Order_Details!$A$1:$F$2156,3,FALSE)</f>
        <v>15</v>
      </c>
      <c r="Q534">
        <f>VLOOKUP(A534,[1]Order_Details!$A$1:$F$2156,4,FALSE)</f>
        <v>35</v>
      </c>
      <c r="R534">
        <f>VLOOKUP(A534,[1]Order_Details!$A$1:$F$2156,5,FALSE)</f>
        <v>0</v>
      </c>
      <c r="S534" s="6">
        <f>VLOOKUP(A534,[1]Order_Details!$A$1:$F$2156,6,FALSE)</f>
        <v>525</v>
      </c>
      <c r="T534" s="6">
        <f>VLOOKUP(A534,[1]!Orders,8,FALSE)</f>
        <v>42.13</v>
      </c>
    </row>
    <row r="535" spans="1:20" x14ac:dyDescent="0.3">
      <c r="A535" s="2">
        <v>10781</v>
      </c>
      <c r="B535" s="2" t="s">
        <v>20</v>
      </c>
      <c r="C535" s="2">
        <v>2</v>
      </c>
      <c r="D535" s="3">
        <v>35781</v>
      </c>
      <c r="E535" t="str">
        <f>VLOOKUP(C535,[1]Employees!$A$1:$O$10,4,FALSE)</f>
        <v>Fuller Andrew</v>
      </c>
      <c r="F535">
        <f>VLOOKUP(A535,[1]!Orders,7,FALSE)</f>
        <v>3</v>
      </c>
      <c r="G535" t="str">
        <f>VLOOKUP(F535,[1]!Shippers,2,FALSE)</f>
        <v>Federal Shipping</v>
      </c>
      <c r="H535" t="str">
        <f>VLOOKUP(C535,[1]EmployeeTerritories!$A$1:$B$50,2,FALSE)</f>
        <v>01581</v>
      </c>
      <c r="I535">
        <f>VLOOKUP(C535,[1]EmployeeTerritories!$A$1:$B$50,1,FALSE)</f>
        <v>2</v>
      </c>
      <c r="J535">
        <f>VLOOKUP(H535,[1]!Territories,3,FALSE)</f>
        <v>1</v>
      </c>
      <c r="K535" t="str">
        <f>VLOOKUP(J535,[1]!Region,2,FALSE)</f>
        <v>Eastern</v>
      </c>
      <c r="L535">
        <f>VLOOKUP(A535,[1]Order_Details!$A$1:$F$2156,2,FALSE)</f>
        <v>54</v>
      </c>
      <c r="M535" t="str">
        <f>VLOOKUP(L535,[1]!Products,2,FALSE)</f>
        <v>Tourtière</v>
      </c>
      <c r="N535">
        <f>VLOOKUP(L535,[1]!Products,4,FALSE)</f>
        <v>6</v>
      </c>
      <c r="O535" s="6" t="str">
        <f>VLOOKUP(N535,[1]!Categories,2,FALSE)</f>
        <v>Meat/Poultry</v>
      </c>
      <c r="P535" s="6">
        <f>VLOOKUP(A535,[1]Order_Details!$A$1:$F$2156,3,FALSE)</f>
        <v>7.45</v>
      </c>
      <c r="Q535">
        <f>VLOOKUP(A535,[1]Order_Details!$A$1:$F$2156,4,FALSE)</f>
        <v>3</v>
      </c>
      <c r="R535">
        <f>VLOOKUP(A535,[1]Order_Details!$A$1:$F$2156,5,FALSE)</f>
        <v>0.20000000298023224</v>
      </c>
      <c r="S535" s="6">
        <f>VLOOKUP(A535,[1]Order_Details!$A$1:$F$2156,6,FALSE)</f>
        <v>17.879999933391812</v>
      </c>
      <c r="T535" s="6">
        <f>VLOOKUP(A535,[1]!Orders,8,FALSE)</f>
        <v>73.16</v>
      </c>
    </row>
    <row r="536" spans="1:20" x14ac:dyDescent="0.3">
      <c r="A536" s="2">
        <v>10782</v>
      </c>
      <c r="B536" s="2" t="s">
        <v>82</v>
      </c>
      <c r="C536" s="2">
        <v>9</v>
      </c>
      <c r="D536" s="3">
        <v>35781</v>
      </c>
      <c r="E536" t="str">
        <f>VLOOKUP(C536,[1]Employees!$A$1:$O$10,4,FALSE)</f>
        <v>Dodsworth Anne</v>
      </c>
      <c r="F536">
        <f>VLOOKUP(A536,[1]!Orders,7,FALSE)</f>
        <v>3</v>
      </c>
      <c r="G536" t="str">
        <f>VLOOKUP(F536,[1]!Shippers,2,FALSE)</f>
        <v>Federal Shipping</v>
      </c>
      <c r="H536" t="str">
        <f>VLOOKUP(C536,[1]EmployeeTerritories!$A$1:$B$50,2,FALSE)</f>
        <v>03049</v>
      </c>
      <c r="I536">
        <f>VLOOKUP(C536,[1]EmployeeTerritories!$A$1:$B$50,1,FALSE)</f>
        <v>9</v>
      </c>
      <c r="J536">
        <f>VLOOKUP(H536,[1]!Territories,3,FALSE)</f>
        <v>3</v>
      </c>
      <c r="K536" t="str">
        <f>VLOOKUP(J536,[1]!Region,2,FALSE)</f>
        <v>Northern</v>
      </c>
      <c r="L536">
        <f>VLOOKUP(A536,[1]Order_Details!$A$1:$F$2156,2,FALSE)</f>
        <v>31</v>
      </c>
      <c r="M536" t="str">
        <f>VLOOKUP(L536,[1]!Products,2,FALSE)</f>
        <v>Gorgonzola Telino</v>
      </c>
      <c r="N536">
        <f>VLOOKUP(L536,[1]!Products,4,FALSE)</f>
        <v>4</v>
      </c>
      <c r="O536" s="6" t="str">
        <f>VLOOKUP(N536,[1]!Categories,2,FALSE)</f>
        <v>Dairy Products</v>
      </c>
      <c r="P536" s="6">
        <f>VLOOKUP(A536,[1]Order_Details!$A$1:$F$2156,3,FALSE)</f>
        <v>12.5</v>
      </c>
      <c r="Q536">
        <f>VLOOKUP(A536,[1]Order_Details!$A$1:$F$2156,4,FALSE)</f>
        <v>1</v>
      </c>
      <c r="R536">
        <f>VLOOKUP(A536,[1]Order_Details!$A$1:$F$2156,5,FALSE)</f>
        <v>0</v>
      </c>
      <c r="S536" s="6">
        <f>VLOOKUP(A536,[1]Order_Details!$A$1:$F$2156,6,FALSE)</f>
        <v>12.5</v>
      </c>
      <c r="T536" s="6">
        <f>VLOOKUP(A536,[1]!Orders,8,FALSE)</f>
        <v>1.1000000000000001</v>
      </c>
    </row>
    <row r="537" spans="1:20" x14ac:dyDescent="0.3">
      <c r="A537" s="2">
        <v>10783</v>
      </c>
      <c r="B537" s="2" t="s">
        <v>6</v>
      </c>
      <c r="C537" s="2">
        <v>4</v>
      </c>
      <c r="D537" s="3">
        <v>35782</v>
      </c>
      <c r="E537" t="str">
        <f>VLOOKUP(C537,[1]Employees!$A$1:$O$10,4,FALSE)</f>
        <v>Peacock Margaret</v>
      </c>
      <c r="F537">
        <f>VLOOKUP(A537,[1]!Orders,7,FALSE)</f>
        <v>2</v>
      </c>
      <c r="G537" t="str">
        <f>VLOOKUP(F537,[1]!Shippers,2,FALSE)</f>
        <v>United Package</v>
      </c>
      <c r="H537" t="str">
        <f>VLOOKUP(C537,[1]EmployeeTerritories!$A$1:$B$50,2,FALSE)</f>
        <v>20852</v>
      </c>
      <c r="I537">
        <f>VLOOKUP(C537,[1]EmployeeTerritories!$A$1:$B$50,1,FALSE)</f>
        <v>4</v>
      </c>
      <c r="J537">
        <f>VLOOKUP(H537,[1]!Territories,3,FALSE)</f>
        <v>1</v>
      </c>
      <c r="K537" t="str">
        <f>VLOOKUP(J537,[1]!Region,2,FALSE)</f>
        <v>Eastern</v>
      </c>
      <c r="L537">
        <f>VLOOKUP(A537,[1]Order_Details!$A$1:$F$2156,2,FALSE)</f>
        <v>31</v>
      </c>
      <c r="M537" t="str">
        <f>VLOOKUP(L537,[1]!Products,2,FALSE)</f>
        <v>Gorgonzola Telino</v>
      </c>
      <c r="N537">
        <f>VLOOKUP(L537,[1]!Products,4,FALSE)</f>
        <v>4</v>
      </c>
      <c r="O537" s="6" t="str">
        <f>VLOOKUP(N537,[1]!Categories,2,FALSE)</f>
        <v>Dairy Products</v>
      </c>
      <c r="P537" s="6">
        <f>VLOOKUP(A537,[1]Order_Details!$A$1:$F$2156,3,FALSE)</f>
        <v>12.5</v>
      </c>
      <c r="Q537">
        <f>VLOOKUP(A537,[1]Order_Details!$A$1:$F$2156,4,FALSE)</f>
        <v>10</v>
      </c>
      <c r="R537">
        <f>VLOOKUP(A537,[1]Order_Details!$A$1:$F$2156,5,FALSE)</f>
        <v>0</v>
      </c>
      <c r="S537" s="6">
        <f>VLOOKUP(A537,[1]Order_Details!$A$1:$F$2156,6,FALSE)</f>
        <v>125</v>
      </c>
      <c r="T537" s="6">
        <f>VLOOKUP(A537,[1]!Orders,8,FALSE)</f>
        <v>124.98</v>
      </c>
    </row>
    <row r="538" spans="1:20" x14ac:dyDescent="0.3">
      <c r="A538" s="2">
        <v>10784</v>
      </c>
      <c r="B538" s="2" t="s">
        <v>26</v>
      </c>
      <c r="C538" s="2">
        <v>4</v>
      </c>
      <c r="D538" s="3">
        <v>35782</v>
      </c>
      <c r="E538" t="str">
        <f>VLOOKUP(C538,[1]Employees!$A$1:$O$10,4,FALSE)</f>
        <v>Peacock Margaret</v>
      </c>
      <c r="F538">
        <f>VLOOKUP(A538,[1]!Orders,7,FALSE)</f>
        <v>3</v>
      </c>
      <c r="G538" t="str">
        <f>VLOOKUP(F538,[1]!Shippers,2,FALSE)</f>
        <v>Federal Shipping</v>
      </c>
      <c r="H538" t="str">
        <f>VLOOKUP(C538,[1]EmployeeTerritories!$A$1:$B$50,2,FALSE)</f>
        <v>20852</v>
      </c>
      <c r="I538">
        <f>VLOOKUP(C538,[1]EmployeeTerritories!$A$1:$B$50,1,FALSE)</f>
        <v>4</v>
      </c>
      <c r="J538">
        <f>VLOOKUP(H538,[1]!Territories,3,FALSE)</f>
        <v>1</v>
      </c>
      <c r="K538" t="str">
        <f>VLOOKUP(J538,[1]!Region,2,FALSE)</f>
        <v>Eastern</v>
      </c>
      <c r="L538">
        <f>VLOOKUP(A538,[1]Order_Details!$A$1:$F$2156,2,FALSE)</f>
        <v>36</v>
      </c>
      <c r="M538" t="str">
        <f>VLOOKUP(L538,[1]!Products,2,FALSE)</f>
        <v>Inlagd Sill</v>
      </c>
      <c r="N538">
        <f>VLOOKUP(L538,[1]!Products,4,FALSE)</f>
        <v>8</v>
      </c>
      <c r="O538" s="6" t="str">
        <f>VLOOKUP(N538,[1]!Categories,2,FALSE)</f>
        <v>Seafood</v>
      </c>
      <c r="P538" s="6">
        <f>VLOOKUP(A538,[1]Order_Details!$A$1:$F$2156,3,FALSE)</f>
        <v>19</v>
      </c>
      <c r="Q538">
        <f>VLOOKUP(A538,[1]Order_Details!$A$1:$F$2156,4,FALSE)</f>
        <v>30</v>
      </c>
      <c r="R538">
        <f>VLOOKUP(A538,[1]Order_Details!$A$1:$F$2156,5,FALSE)</f>
        <v>0</v>
      </c>
      <c r="S538" s="6">
        <f>VLOOKUP(A538,[1]Order_Details!$A$1:$F$2156,6,FALSE)</f>
        <v>570</v>
      </c>
      <c r="T538" s="6">
        <f>VLOOKUP(A538,[1]!Orders,8,FALSE)</f>
        <v>70.09</v>
      </c>
    </row>
    <row r="539" spans="1:20" x14ac:dyDescent="0.3">
      <c r="A539" s="2">
        <v>10785</v>
      </c>
      <c r="B539" s="2" t="s">
        <v>22</v>
      </c>
      <c r="C539" s="2">
        <v>1</v>
      </c>
      <c r="D539" s="3">
        <v>35782</v>
      </c>
      <c r="E539" t="str">
        <f>VLOOKUP(C539,[1]Employees!$A$1:$O$10,4,FALSE)</f>
        <v>Davolio Nancy</v>
      </c>
      <c r="F539">
        <f>VLOOKUP(A539,[1]!Orders,7,FALSE)</f>
        <v>3</v>
      </c>
      <c r="G539" t="str">
        <f>VLOOKUP(F539,[1]!Shippers,2,FALSE)</f>
        <v>Federal Shipping</v>
      </c>
      <c r="H539" t="str">
        <f>VLOOKUP(C539,[1]EmployeeTerritories!$A$1:$B$50,2,FALSE)</f>
        <v>06897</v>
      </c>
      <c r="I539">
        <f>VLOOKUP(C539,[1]EmployeeTerritories!$A$1:$B$50,1,FALSE)</f>
        <v>1</v>
      </c>
      <c r="J539">
        <f>VLOOKUP(H539,[1]!Territories,3,FALSE)</f>
        <v>1</v>
      </c>
      <c r="K539" t="str">
        <f>VLOOKUP(J539,[1]!Region,2,FALSE)</f>
        <v>Eastern</v>
      </c>
      <c r="L539">
        <f>VLOOKUP(A539,[1]Order_Details!$A$1:$F$2156,2,FALSE)</f>
        <v>10</v>
      </c>
      <c r="M539" t="str">
        <f>VLOOKUP(L539,[1]!Products,2,FALSE)</f>
        <v>Ikura</v>
      </c>
      <c r="N539">
        <f>VLOOKUP(L539,[1]!Products,4,FALSE)</f>
        <v>8</v>
      </c>
      <c r="O539" s="6" t="str">
        <f>VLOOKUP(N539,[1]!Categories,2,FALSE)</f>
        <v>Seafood</v>
      </c>
      <c r="P539" s="6">
        <f>VLOOKUP(A539,[1]Order_Details!$A$1:$F$2156,3,FALSE)</f>
        <v>31</v>
      </c>
      <c r="Q539">
        <f>VLOOKUP(A539,[1]Order_Details!$A$1:$F$2156,4,FALSE)</f>
        <v>10</v>
      </c>
      <c r="R539">
        <f>VLOOKUP(A539,[1]Order_Details!$A$1:$F$2156,5,FALSE)</f>
        <v>0</v>
      </c>
      <c r="S539" s="6">
        <f>VLOOKUP(A539,[1]Order_Details!$A$1:$F$2156,6,FALSE)</f>
        <v>310</v>
      </c>
      <c r="T539" s="6">
        <f>VLOOKUP(A539,[1]!Orders,8,FALSE)</f>
        <v>1.51</v>
      </c>
    </row>
    <row r="540" spans="1:20" x14ac:dyDescent="0.3">
      <c r="A540" s="2">
        <v>10786</v>
      </c>
      <c r="B540" s="2" t="s">
        <v>66</v>
      </c>
      <c r="C540" s="2">
        <v>8</v>
      </c>
      <c r="D540" s="3">
        <v>35783</v>
      </c>
      <c r="E540" t="str">
        <f>VLOOKUP(C540,[1]Employees!$A$1:$O$10,4,FALSE)</f>
        <v>Callahan Laura</v>
      </c>
      <c r="F540">
        <f>VLOOKUP(A540,[1]!Orders,7,FALSE)</f>
        <v>1</v>
      </c>
      <c r="G540" t="str">
        <f>VLOOKUP(F540,[1]!Shippers,2,FALSE)</f>
        <v>Speedy Express</v>
      </c>
      <c r="H540" t="str">
        <f>VLOOKUP(C540,[1]EmployeeTerritories!$A$1:$B$50,2,FALSE)</f>
        <v>19428</v>
      </c>
      <c r="I540">
        <f>VLOOKUP(C540,[1]EmployeeTerritories!$A$1:$B$50,1,FALSE)</f>
        <v>8</v>
      </c>
      <c r="J540">
        <f>VLOOKUP(H540,[1]!Territories,3,FALSE)</f>
        <v>3</v>
      </c>
      <c r="K540" t="str">
        <f>VLOOKUP(J540,[1]!Region,2,FALSE)</f>
        <v>Northern</v>
      </c>
      <c r="L540">
        <f>VLOOKUP(A540,[1]Order_Details!$A$1:$F$2156,2,FALSE)</f>
        <v>8</v>
      </c>
      <c r="M540" t="str">
        <f>VLOOKUP(L540,[1]!Products,2,FALSE)</f>
        <v>Northwoods Cranberry Sauce</v>
      </c>
      <c r="N540">
        <f>VLOOKUP(L540,[1]!Products,4,FALSE)</f>
        <v>2</v>
      </c>
      <c r="O540" s="6" t="str">
        <f>VLOOKUP(N540,[1]!Categories,2,FALSE)</f>
        <v>Condiments</v>
      </c>
      <c r="P540" s="6">
        <f>VLOOKUP(A540,[1]Order_Details!$A$1:$F$2156,3,FALSE)</f>
        <v>40</v>
      </c>
      <c r="Q540">
        <f>VLOOKUP(A540,[1]Order_Details!$A$1:$F$2156,4,FALSE)</f>
        <v>30</v>
      </c>
      <c r="R540">
        <f>VLOOKUP(A540,[1]Order_Details!$A$1:$F$2156,5,FALSE)</f>
        <v>0.20000000298023224</v>
      </c>
      <c r="S540" s="6">
        <f>VLOOKUP(A540,[1]Order_Details!$A$1:$F$2156,6,FALSE)</f>
        <v>959.99999642372131</v>
      </c>
      <c r="T540" s="6">
        <f>VLOOKUP(A540,[1]!Orders,8,FALSE)</f>
        <v>110.87</v>
      </c>
    </row>
    <row r="541" spans="1:20" x14ac:dyDescent="0.3">
      <c r="A541" s="2">
        <v>10787</v>
      </c>
      <c r="B541" s="2" t="s">
        <v>57</v>
      </c>
      <c r="C541" s="2">
        <v>2</v>
      </c>
      <c r="D541" s="3">
        <v>35783</v>
      </c>
      <c r="E541" t="str">
        <f>VLOOKUP(C541,[1]Employees!$A$1:$O$10,4,FALSE)</f>
        <v>Fuller Andrew</v>
      </c>
      <c r="F541">
        <f>VLOOKUP(A541,[1]!Orders,7,FALSE)</f>
        <v>1</v>
      </c>
      <c r="G541" t="str">
        <f>VLOOKUP(F541,[1]!Shippers,2,FALSE)</f>
        <v>Speedy Express</v>
      </c>
      <c r="H541" t="str">
        <f>VLOOKUP(C541,[1]EmployeeTerritories!$A$1:$B$50,2,FALSE)</f>
        <v>01581</v>
      </c>
      <c r="I541">
        <f>VLOOKUP(C541,[1]EmployeeTerritories!$A$1:$B$50,1,FALSE)</f>
        <v>2</v>
      </c>
      <c r="J541">
        <f>VLOOKUP(H541,[1]!Territories,3,FALSE)</f>
        <v>1</v>
      </c>
      <c r="K541" t="str">
        <f>VLOOKUP(J541,[1]!Region,2,FALSE)</f>
        <v>Eastern</v>
      </c>
      <c r="L541">
        <f>VLOOKUP(A541,[1]Order_Details!$A$1:$F$2156,2,FALSE)</f>
        <v>2</v>
      </c>
      <c r="M541" t="str">
        <f>VLOOKUP(L541,[1]!Products,2,FALSE)</f>
        <v>Chang</v>
      </c>
      <c r="N541">
        <f>VLOOKUP(L541,[1]!Products,4,FALSE)</f>
        <v>1</v>
      </c>
      <c r="O541" s="6" t="str">
        <f>VLOOKUP(N541,[1]!Categories,2,FALSE)</f>
        <v>Beverages</v>
      </c>
      <c r="P541" s="6">
        <f>VLOOKUP(A541,[1]Order_Details!$A$1:$F$2156,3,FALSE)</f>
        <v>19</v>
      </c>
      <c r="Q541">
        <f>VLOOKUP(A541,[1]Order_Details!$A$1:$F$2156,4,FALSE)</f>
        <v>15</v>
      </c>
      <c r="R541">
        <f>VLOOKUP(A541,[1]Order_Details!$A$1:$F$2156,5,FALSE)</f>
        <v>5.000000074505806E-2</v>
      </c>
      <c r="S541" s="6">
        <f>VLOOKUP(A541,[1]Order_Details!$A$1:$F$2156,6,FALSE)</f>
        <v>270.74999978765845</v>
      </c>
      <c r="T541" s="6">
        <f>VLOOKUP(A541,[1]!Orders,8,FALSE)</f>
        <v>249.93</v>
      </c>
    </row>
    <row r="542" spans="1:20" x14ac:dyDescent="0.3">
      <c r="A542" s="2">
        <v>10788</v>
      </c>
      <c r="B542" s="2" t="s">
        <v>25</v>
      </c>
      <c r="C542" s="2">
        <v>1</v>
      </c>
      <c r="D542" s="3">
        <v>35786</v>
      </c>
      <c r="E542" t="str">
        <f>VLOOKUP(C542,[1]Employees!$A$1:$O$10,4,FALSE)</f>
        <v>Davolio Nancy</v>
      </c>
      <c r="F542">
        <f>VLOOKUP(A542,[1]!Orders,7,FALSE)</f>
        <v>2</v>
      </c>
      <c r="G542" t="str">
        <f>VLOOKUP(F542,[1]!Shippers,2,FALSE)</f>
        <v>United Package</v>
      </c>
      <c r="H542" t="str">
        <f>VLOOKUP(C542,[1]EmployeeTerritories!$A$1:$B$50,2,FALSE)</f>
        <v>06897</v>
      </c>
      <c r="I542">
        <f>VLOOKUP(C542,[1]EmployeeTerritories!$A$1:$B$50,1,FALSE)</f>
        <v>1</v>
      </c>
      <c r="J542">
        <f>VLOOKUP(H542,[1]!Territories,3,FALSE)</f>
        <v>1</v>
      </c>
      <c r="K542" t="str">
        <f>VLOOKUP(J542,[1]!Region,2,FALSE)</f>
        <v>Eastern</v>
      </c>
      <c r="L542">
        <f>VLOOKUP(A542,[1]Order_Details!$A$1:$F$2156,2,FALSE)</f>
        <v>19</v>
      </c>
      <c r="M542" t="str">
        <f>VLOOKUP(L542,[1]!Products,2,FALSE)</f>
        <v>Teatime Chocolate Biscuits</v>
      </c>
      <c r="N542">
        <f>VLOOKUP(L542,[1]!Products,4,FALSE)</f>
        <v>3</v>
      </c>
      <c r="O542" s="6" t="str">
        <f>VLOOKUP(N542,[1]!Categories,2,FALSE)</f>
        <v>Confections</v>
      </c>
      <c r="P542" s="6">
        <f>VLOOKUP(A542,[1]Order_Details!$A$1:$F$2156,3,FALSE)</f>
        <v>9.1999999999999993</v>
      </c>
      <c r="Q542">
        <f>VLOOKUP(A542,[1]Order_Details!$A$1:$F$2156,4,FALSE)</f>
        <v>50</v>
      </c>
      <c r="R542">
        <f>VLOOKUP(A542,[1]Order_Details!$A$1:$F$2156,5,FALSE)</f>
        <v>5.000000074505806E-2</v>
      </c>
      <c r="S542" s="6">
        <f>VLOOKUP(A542,[1]Order_Details!$A$1:$F$2156,6,FALSE)</f>
        <v>436.99999965727324</v>
      </c>
      <c r="T542" s="6">
        <f>VLOOKUP(A542,[1]!Orders,8,FALSE)</f>
        <v>42.7</v>
      </c>
    </row>
    <row r="543" spans="1:20" x14ac:dyDescent="0.3">
      <c r="A543" s="2">
        <v>10789</v>
      </c>
      <c r="B543" s="2" t="s">
        <v>72</v>
      </c>
      <c r="C543" s="2">
        <v>1</v>
      </c>
      <c r="D543" s="3">
        <v>35786</v>
      </c>
      <c r="E543" t="str">
        <f>VLOOKUP(C543,[1]Employees!$A$1:$O$10,4,FALSE)</f>
        <v>Davolio Nancy</v>
      </c>
      <c r="F543">
        <f>VLOOKUP(A543,[1]!Orders,7,FALSE)</f>
        <v>2</v>
      </c>
      <c r="G543" t="str">
        <f>VLOOKUP(F543,[1]!Shippers,2,FALSE)</f>
        <v>United Package</v>
      </c>
      <c r="H543" t="str">
        <f>VLOOKUP(C543,[1]EmployeeTerritories!$A$1:$B$50,2,FALSE)</f>
        <v>06897</v>
      </c>
      <c r="I543">
        <f>VLOOKUP(C543,[1]EmployeeTerritories!$A$1:$B$50,1,FALSE)</f>
        <v>1</v>
      </c>
      <c r="J543">
        <f>VLOOKUP(H543,[1]!Territories,3,FALSE)</f>
        <v>1</v>
      </c>
      <c r="K543" t="str">
        <f>VLOOKUP(J543,[1]!Region,2,FALSE)</f>
        <v>Eastern</v>
      </c>
      <c r="L543">
        <f>VLOOKUP(A543,[1]Order_Details!$A$1:$F$2156,2,FALSE)</f>
        <v>18</v>
      </c>
      <c r="M543" t="str">
        <f>VLOOKUP(L543,[1]!Products,2,FALSE)</f>
        <v>Carnarvon Tigers</v>
      </c>
      <c r="N543">
        <f>VLOOKUP(L543,[1]!Products,4,FALSE)</f>
        <v>8</v>
      </c>
      <c r="O543" s="6" t="str">
        <f>VLOOKUP(N543,[1]!Categories,2,FALSE)</f>
        <v>Seafood</v>
      </c>
      <c r="P543" s="6">
        <f>VLOOKUP(A543,[1]Order_Details!$A$1:$F$2156,3,FALSE)</f>
        <v>62.5</v>
      </c>
      <c r="Q543">
        <f>VLOOKUP(A543,[1]Order_Details!$A$1:$F$2156,4,FALSE)</f>
        <v>30</v>
      </c>
      <c r="R543">
        <f>VLOOKUP(A543,[1]Order_Details!$A$1:$F$2156,5,FALSE)</f>
        <v>0</v>
      </c>
      <c r="S543" s="6">
        <f>VLOOKUP(A543,[1]Order_Details!$A$1:$F$2156,6,FALSE)</f>
        <v>1875</v>
      </c>
      <c r="T543" s="6">
        <f>VLOOKUP(A543,[1]!Orders,8,FALSE)</f>
        <v>100.6</v>
      </c>
    </row>
    <row r="544" spans="1:20" x14ac:dyDescent="0.3">
      <c r="A544" s="2">
        <v>10790</v>
      </c>
      <c r="B544" s="2" t="s">
        <v>75</v>
      </c>
      <c r="C544" s="2">
        <v>6</v>
      </c>
      <c r="D544" s="3">
        <v>35786</v>
      </c>
      <c r="E544" t="str">
        <f>VLOOKUP(C544,[1]Employees!$A$1:$O$10,4,FALSE)</f>
        <v>Suyama Michael</v>
      </c>
      <c r="F544">
        <f>VLOOKUP(A544,[1]!Orders,7,FALSE)</f>
        <v>1</v>
      </c>
      <c r="G544" t="str">
        <f>VLOOKUP(F544,[1]!Shippers,2,FALSE)</f>
        <v>Speedy Express</v>
      </c>
      <c r="H544" t="str">
        <f>VLOOKUP(C544,[1]EmployeeTerritories!$A$1:$B$50,2,FALSE)</f>
        <v>85014</v>
      </c>
      <c r="I544">
        <f>VLOOKUP(C544,[1]EmployeeTerritories!$A$1:$B$50,1,FALSE)</f>
        <v>6</v>
      </c>
      <c r="J544">
        <f>VLOOKUP(H544,[1]!Territories,3,FALSE)</f>
        <v>2</v>
      </c>
      <c r="K544" t="str">
        <f>VLOOKUP(J544,[1]!Region,2,FALSE)</f>
        <v>Western</v>
      </c>
      <c r="L544">
        <f>VLOOKUP(A544,[1]Order_Details!$A$1:$F$2156,2,FALSE)</f>
        <v>7</v>
      </c>
      <c r="M544" t="str">
        <f>VLOOKUP(L544,[1]!Products,2,FALSE)</f>
        <v>Uncle Bob's Organic Dried Pears</v>
      </c>
      <c r="N544">
        <f>VLOOKUP(L544,[1]!Products,4,FALSE)</f>
        <v>7</v>
      </c>
      <c r="O544" s="6" t="str">
        <f>VLOOKUP(N544,[1]!Categories,2,FALSE)</f>
        <v>Produce</v>
      </c>
      <c r="P544" s="6">
        <f>VLOOKUP(A544,[1]Order_Details!$A$1:$F$2156,3,FALSE)</f>
        <v>30</v>
      </c>
      <c r="Q544">
        <f>VLOOKUP(A544,[1]Order_Details!$A$1:$F$2156,4,FALSE)</f>
        <v>3</v>
      </c>
      <c r="R544">
        <f>VLOOKUP(A544,[1]Order_Details!$A$1:$F$2156,5,FALSE)</f>
        <v>0.15000000596046448</v>
      </c>
      <c r="S544" s="6">
        <f>VLOOKUP(A544,[1]Order_Details!$A$1:$F$2156,6,FALSE)</f>
        <v>76.499999463558197</v>
      </c>
      <c r="T544" s="6">
        <f>VLOOKUP(A544,[1]!Orders,8,FALSE)</f>
        <v>28.23</v>
      </c>
    </row>
    <row r="545" spans="1:20" x14ac:dyDescent="0.3">
      <c r="A545" s="2">
        <v>10791</v>
      </c>
      <c r="B545" s="2" t="s">
        <v>21</v>
      </c>
      <c r="C545" s="2">
        <v>6</v>
      </c>
      <c r="D545" s="3">
        <v>35787</v>
      </c>
      <c r="E545" t="str">
        <f>VLOOKUP(C545,[1]Employees!$A$1:$O$10,4,FALSE)</f>
        <v>Suyama Michael</v>
      </c>
      <c r="F545">
        <f>VLOOKUP(A545,[1]!Orders,7,FALSE)</f>
        <v>2</v>
      </c>
      <c r="G545" t="str">
        <f>VLOOKUP(F545,[1]!Shippers,2,FALSE)</f>
        <v>United Package</v>
      </c>
      <c r="H545" t="str">
        <f>VLOOKUP(C545,[1]EmployeeTerritories!$A$1:$B$50,2,FALSE)</f>
        <v>85014</v>
      </c>
      <c r="I545">
        <f>VLOOKUP(C545,[1]EmployeeTerritories!$A$1:$B$50,1,FALSE)</f>
        <v>6</v>
      </c>
      <c r="J545">
        <f>VLOOKUP(H545,[1]!Territories,3,FALSE)</f>
        <v>2</v>
      </c>
      <c r="K545" t="str">
        <f>VLOOKUP(J545,[1]!Region,2,FALSE)</f>
        <v>Western</v>
      </c>
      <c r="L545">
        <f>VLOOKUP(A545,[1]Order_Details!$A$1:$F$2156,2,FALSE)</f>
        <v>29</v>
      </c>
      <c r="M545" t="str">
        <f>VLOOKUP(L545,[1]!Products,2,FALSE)</f>
        <v>Thüringer Rostbratwurst</v>
      </c>
      <c r="N545">
        <f>VLOOKUP(L545,[1]!Products,4,FALSE)</f>
        <v>6</v>
      </c>
      <c r="O545" s="6" t="str">
        <f>VLOOKUP(N545,[1]!Categories,2,FALSE)</f>
        <v>Meat/Poultry</v>
      </c>
      <c r="P545" s="6">
        <f>VLOOKUP(A545,[1]Order_Details!$A$1:$F$2156,3,FALSE)</f>
        <v>123.79</v>
      </c>
      <c r="Q545">
        <f>VLOOKUP(A545,[1]Order_Details!$A$1:$F$2156,4,FALSE)</f>
        <v>14</v>
      </c>
      <c r="R545">
        <f>VLOOKUP(A545,[1]Order_Details!$A$1:$F$2156,5,FALSE)</f>
        <v>5.000000074505806E-2</v>
      </c>
      <c r="S545" s="6">
        <f>VLOOKUP(A545,[1]Order_Details!$A$1:$F$2156,6,FALSE)</f>
        <v>1646.4069987087698</v>
      </c>
      <c r="T545" s="6">
        <f>VLOOKUP(A545,[1]!Orders,8,FALSE)</f>
        <v>16.850000000000001</v>
      </c>
    </row>
    <row r="546" spans="1:20" x14ac:dyDescent="0.3">
      <c r="A546" s="2">
        <v>10792</v>
      </c>
      <c r="B546" s="2" t="s">
        <v>67</v>
      </c>
      <c r="C546" s="2">
        <v>1</v>
      </c>
      <c r="D546" s="3">
        <v>35787</v>
      </c>
      <c r="E546" t="str">
        <f>VLOOKUP(C546,[1]Employees!$A$1:$O$10,4,FALSE)</f>
        <v>Davolio Nancy</v>
      </c>
      <c r="F546">
        <f>VLOOKUP(A546,[1]!Orders,7,FALSE)</f>
        <v>3</v>
      </c>
      <c r="G546" t="str">
        <f>VLOOKUP(F546,[1]!Shippers,2,FALSE)</f>
        <v>Federal Shipping</v>
      </c>
      <c r="H546" t="str">
        <f>VLOOKUP(C546,[1]EmployeeTerritories!$A$1:$B$50,2,FALSE)</f>
        <v>06897</v>
      </c>
      <c r="I546">
        <f>VLOOKUP(C546,[1]EmployeeTerritories!$A$1:$B$50,1,FALSE)</f>
        <v>1</v>
      </c>
      <c r="J546">
        <f>VLOOKUP(H546,[1]!Territories,3,FALSE)</f>
        <v>1</v>
      </c>
      <c r="K546" t="str">
        <f>VLOOKUP(J546,[1]!Region,2,FALSE)</f>
        <v>Eastern</v>
      </c>
      <c r="L546">
        <f>VLOOKUP(A546,[1]Order_Details!$A$1:$F$2156,2,FALSE)</f>
        <v>2</v>
      </c>
      <c r="M546" t="str">
        <f>VLOOKUP(L546,[1]!Products,2,FALSE)</f>
        <v>Chang</v>
      </c>
      <c r="N546">
        <f>VLOOKUP(L546,[1]!Products,4,FALSE)</f>
        <v>1</v>
      </c>
      <c r="O546" s="6" t="str">
        <f>VLOOKUP(N546,[1]!Categories,2,FALSE)</f>
        <v>Beverages</v>
      </c>
      <c r="P546" s="6">
        <f>VLOOKUP(A546,[1]Order_Details!$A$1:$F$2156,3,FALSE)</f>
        <v>19</v>
      </c>
      <c r="Q546">
        <f>VLOOKUP(A546,[1]Order_Details!$A$1:$F$2156,4,FALSE)</f>
        <v>10</v>
      </c>
      <c r="R546">
        <f>VLOOKUP(A546,[1]Order_Details!$A$1:$F$2156,5,FALSE)</f>
        <v>0</v>
      </c>
      <c r="S546" s="6">
        <f>VLOOKUP(A546,[1]Order_Details!$A$1:$F$2156,6,FALSE)</f>
        <v>190</v>
      </c>
      <c r="T546" s="6">
        <f>VLOOKUP(A546,[1]!Orders,8,FALSE)</f>
        <v>23.79</v>
      </c>
    </row>
    <row r="547" spans="1:20" x14ac:dyDescent="0.3">
      <c r="A547" s="2">
        <v>10793</v>
      </c>
      <c r="B547" s="2" t="s">
        <v>59</v>
      </c>
      <c r="C547" s="2">
        <v>3</v>
      </c>
      <c r="D547" s="3">
        <v>35788</v>
      </c>
      <c r="E547" t="str">
        <f>VLOOKUP(C547,[1]Employees!$A$1:$O$10,4,FALSE)</f>
        <v>Leverling Janet</v>
      </c>
      <c r="F547">
        <f>VLOOKUP(A547,[1]!Orders,7,FALSE)</f>
        <v>3</v>
      </c>
      <c r="G547" t="str">
        <f>VLOOKUP(F547,[1]!Shippers,2,FALSE)</f>
        <v>Federal Shipping</v>
      </c>
      <c r="H547" t="str">
        <f>VLOOKUP(C547,[1]EmployeeTerritories!$A$1:$B$50,2,FALSE)</f>
        <v>30346</v>
      </c>
      <c r="I547">
        <f>VLOOKUP(C547,[1]EmployeeTerritories!$A$1:$B$50,1,FALSE)</f>
        <v>3</v>
      </c>
      <c r="J547">
        <f>VLOOKUP(H547,[1]!Territories,3,FALSE)</f>
        <v>4</v>
      </c>
      <c r="K547" t="str">
        <f>VLOOKUP(J547,[1]!Region,2,FALSE)</f>
        <v>Southern</v>
      </c>
      <c r="L547">
        <f>VLOOKUP(A547,[1]Order_Details!$A$1:$F$2156,2,FALSE)</f>
        <v>41</v>
      </c>
      <c r="M547" t="str">
        <f>VLOOKUP(L547,[1]!Products,2,FALSE)</f>
        <v>Jack's New England Clam Chowder</v>
      </c>
      <c r="N547">
        <f>VLOOKUP(L547,[1]!Products,4,FALSE)</f>
        <v>8</v>
      </c>
      <c r="O547" s="6" t="str">
        <f>VLOOKUP(N547,[1]!Categories,2,FALSE)</f>
        <v>Seafood</v>
      </c>
      <c r="P547" s="6">
        <f>VLOOKUP(A547,[1]Order_Details!$A$1:$F$2156,3,FALSE)</f>
        <v>9.65</v>
      </c>
      <c r="Q547">
        <f>VLOOKUP(A547,[1]Order_Details!$A$1:$F$2156,4,FALSE)</f>
        <v>14</v>
      </c>
      <c r="R547">
        <f>VLOOKUP(A547,[1]Order_Details!$A$1:$F$2156,5,FALSE)</f>
        <v>0</v>
      </c>
      <c r="S547" s="6">
        <f>VLOOKUP(A547,[1]Order_Details!$A$1:$F$2156,6,FALSE)</f>
        <v>135.1</v>
      </c>
      <c r="T547" s="6">
        <f>VLOOKUP(A547,[1]!Orders,8,FALSE)</f>
        <v>4.5199999999999996</v>
      </c>
    </row>
    <row r="548" spans="1:20" x14ac:dyDescent="0.3">
      <c r="A548" s="2">
        <v>10794</v>
      </c>
      <c r="B548" s="2" t="s">
        <v>16</v>
      </c>
      <c r="C548" s="2">
        <v>6</v>
      </c>
      <c r="D548" s="3">
        <v>35788</v>
      </c>
      <c r="E548" t="str">
        <f>VLOOKUP(C548,[1]Employees!$A$1:$O$10,4,FALSE)</f>
        <v>Suyama Michael</v>
      </c>
      <c r="F548">
        <f>VLOOKUP(A548,[1]!Orders,7,FALSE)</f>
        <v>1</v>
      </c>
      <c r="G548" t="str">
        <f>VLOOKUP(F548,[1]!Shippers,2,FALSE)</f>
        <v>Speedy Express</v>
      </c>
      <c r="H548" t="str">
        <f>VLOOKUP(C548,[1]EmployeeTerritories!$A$1:$B$50,2,FALSE)</f>
        <v>85014</v>
      </c>
      <c r="I548">
        <f>VLOOKUP(C548,[1]EmployeeTerritories!$A$1:$B$50,1,FALSE)</f>
        <v>6</v>
      </c>
      <c r="J548">
        <f>VLOOKUP(H548,[1]!Territories,3,FALSE)</f>
        <v>2</v>
      </c>
      <c r="K548" t="str">
        <f>VLOOKUP(J548,[1]!Region,2,FALSE)</f>
        <v>Western</v>
      </c>
      <c r="L548">
        <f>VLOOKUP(A548,[1]Order_Details!$A$1:$F$2156,2,FALSE)</f>
        <v>14</v>
      </c>
      <c r="M548" t="str">
        <f>VLOOKUP(L548,[1]!Products,2,FALSE)</f>
        <v>Tofu</v>
      </c>
      <c r="N548">
        <f>VLOOKUP(L548,[1]!Products,4,FALSE)</f>
        <v>7</v>
      </c>
      <c r="O548" s="6" t="str">
        <f>VLOOKUP(N548,[1]!Categories,2,FALSE)</f>
        <v>Produce</v>
      </c>
      <c r="P548" s="6">
        <f>VLOOKUP(A548,[1]Order_Details!$A$1:$F$2156,3,FALSE)</f>
        <v>23.25</v>
      </c>
      <c r="Q548">
        <f>VLOOKUP(A548,[1]Order_Details!$A$1:$F$2156,4,FALSE)</f>
        <v>15</v>
      </c>
      <c r="R548">
        <f>VLOOKUP(A548,[1]Order_Details!$A$1:$F$2156,5,FALSE)</f>
        <v>0.20000000298023224</v>
      </c>
      <c r="S548" s="6">
        <f>VLOOKUP(A548,[1]Order_Details!$A$1:$F$2156,6,FALSE)</f>
        <v>278.99999896064401</v>
      </c>
      <c r="T548" s="6">
        <f>VLOOKUP(A548,[1]!Orders,8,FALSE)</f>
        <v>21.49</v>
      </c>
    </row>
    <row r="549" spans="1:20" x14ac:dyDescent="0.3">
      <c r="A549" s="2">
        <v>10795</v>
      </c>
      <c r="B549" s="2" t="s">
        <v>13</v>
      </c>
      <c r="C549" s="2">
        <v>8</v>
      </c>
      <c r="D549" s="3">
        <v>35788</v>
      </c>
      <c r="E549" t="str">
        <f>VLOOKUP(C549,[1]Employees!$A$1:$O$10,4,FALSE)</f>
        <v>Callahan Laura</v>
      </c>
      <c r="F549">
        <f>VLOOKUP(A549,[1]!Orders,7,FALSE)</f>
        <v>2</v>
      </c>
      <c r="G549" t="str">
        <f>VLOOKUP(F549,[1]!Shippers,2,FALSE)</f>
        <v>United Package</v>
      </c>
      <c r="H549" t="str">
        <f>VLOOKUP(C549,[1]EmployeeTerritories!$A$1:$B$50,2,FALSE)</f>
        <v>19428</v>
      </c>
      <c r="I549">
        <f>VLOOKUP(C549,[1]EmployeeTerritories!$A$1:$B$50,1,FALSE)</f>
        <v>8</v>
      </c>
      <c r="J549">
        <f>VLOOKUP(H549,[1]!Territories,3,FALSE)</f>
        <v>3</v>
      </c>
      <c r="K549" t="str">
        <f>VLOOKUP(J549,[1]!Region,2,FALSE)</f>
        <v>Northern</v>
      </c>
      <c r="L549">
        <f>VLOOKUP(A549,[1]Order_Details!$A$1:$F$2156,2,FALSE)</f>
        <v>16</v>
      </c>
      <c r="M549" t="str">
        <f>VLOOKUP(L549,[1]!Products,2,FALSE)</f>
        <v>Pavlova</v>
      </c>
      <c r="N549">
        <f>VLOOKUP(L549,[1]!Products,4,FALSE)</f>
        <v>3</v>
      </c>
      <c r="O549" s="6" t="str">
        <f>VLOOKUP(N549,[1]!Categories,2,FALSE)</f>
        <v>Confections</v>
      </c>
      <c r="P549" s="6">
        <f>VLOOKUP(A549,[1]Order_Details!$A$1:$F$2156,3,FALSE)</f>
        <v>17.45</v>
      </c>
      <c r="Q549">
        <f>VLOOKUP(A549,[1]Order_Details!$A$1:$F$2156,4,FALSE)</f>
        <v>65</v>
      </c>
      <c r="R549">
        <f>VLOOKUP(A549,[1]Order_Details!$A$1:$F$2156,5,FALSE)</f>
        <v>0</v>
      </c>
      <c r="S549" s="6">
        <f>VLOOKUP(A549,[1]Order_Details!$A$1:$F$2156,6,FALSE)</f>
        <v>1134.25</v>
      </c>
      <c r="T549" s="6">
        <f>VLOOKUP(A549,[1]!Orders,8,FALSE)</f>
        <v>126.66</v>
      </c>
    </row>
    <row r="550" spans="1:20" x14ac:dyDescent="0.3">
      <c r="A550" s="2">
        <v>10796</v>
      </c>
      <c r="B550" s="2" t="s">
        <v>12</v>
      </c>
      <c r="C550" s="2">
        <v>3</v>
      </c>
      <c r="D550" s="3">
        <v>35789</v>
      </c>
      <c r="E550" t="str">
        <f>VLOOKUP(C550,[1]Employees!$A$1:$O$10,4,FALSE)</f>
        <v>Leverling Janet</v>
      </c>
      <c r="F550">
        <f>VLOOKUP(A550,[1]!Orders,7,FALSE)</f>
        <v>1</v>
      </c>
      <c r="G550" t="str">
        <f>VLOOKUP(F550,[1]!Shippers,2,FALSE)</f>
        <v>Speedy Express</v>
      </c>
      <c r="H550" t="str">
        <f>VLOOKUP(C550,[1]EmployeeTerritories!$A$1:$B$50,2,FALSE)</f>
        <v>30346</v>
      </c>
      <c r="I550">
        <f>VLOOKUP(C550,[1]EmployeeTerritories!$A$1:$B$50,1,FALSE)</f>
        <v>3</v>
      </c>
      <c r="J550">
        <f>VLOOKUP(H550,[1]!Territories,3,FALSE)</f>
        <v>4</v>
      </c>
      <c r="K550" t="str">
        <f>VLOOKUP(J550,[1]!Region,2,FALSE)</f>
        <v>Southern</v>
      </c>
      <c r="L550">
        <f>VLOOKUP(A550,[1]Order_Details!$A$1:$F$2156,2,FALSE)</f>
        <v>26</v>
      </c>
      <c r="M550" t="str">
        <f>VLOOKUP(L550,[1]!Products,2,FALSE)</f>
        <v>Gumbär Gummibärchen</v>
      </c>
      <c r="N550">
        <f>VLOOKUP(L550,[1]!Products,4,FALSE)</f>
        <v>3</v>
      </c>
      <c r="O550" s="6" t="str">
        <f>VLOOKUP(N550,[1]!Categories,2,FALSE)</f>
        <v>Confections</v>
      </c>
      <c r="P550" s="6">
        <f>VLOOKUP(A550,[1]Order_Details!$A$1:$F$2156,3,FALSE)</f>
        <v>31.23</v>
      </c>
      <c r="Q550">
        <f>VLOOKUP(A550,[1]Order_Details!$A$1:$F$2156,4,FALSE)</f>
        <v>21</v>
      </c>
      <c r="R550">
        <f>VLOOKUP(A550,[1]Order_Details!$A$1:$F$2156,5,FALSE)</f>
        <v>0.20000000298023224</v>
      </c>
      <c r="S550" s="6">
        <f>VLOOKUP(A550,[1]Order_Details!$A$1:$F$2156,6,FALSE)</f>
        <v>524.66399804547427</v>
      </c>
      <c r="T550" s="6">
        <f>VLOOKUP(A550,[1]!Orders,8,FALSE)</f>
        <v>26.52</v>
      </c>
    </row>
    <row r="551" spans="1:20" x14ac:dyDescent="0.3">
      <c r="A551" s="2">
        <v>10797</v>
      </c>
      <c r="B551" s="2" t="s">
        <v>61</v>
      </c>
      <c r="C551" s="2">
        <v>7</v>
      </c>
      <c r="D551" s="3">
        <v>35789</v>
      </c>
      <c r="E551" t="str">
        <f>VLOOKUP(C551,[1]Employees!$A$1:$O$10,4,FALSE)</f>
        <v>King Robert</v>
      </c>
      <c r="F551">
        <f>VLOOKUP(A551,[1]!Orders,7,FALSE)</f>
        <v>2</v>
      </c>
      <c r="G551" t="str">
        <f>VLOOKUP(F551,[1]!Shippers,2,FALSE)</f>
        <v>United Package</v>
      </c>
      <c r="H551" t="str">
        <f>VLOOKUP(C551,[1]EmployeeTerritories!$A$1:$B$50,2,FALSE)</f>
        <v>60179</v>
      </c>
      <c r="I551">
        <f>VLOOKUP(C551,[1]EmployeeTerritories!$A$1:$B$50,1,FALSE)</f>
        <v>7</v>
      </c>
      <c r="J551">
        <f>VLOOKUP(H551,[1]!Territories,3,FALSE)</f>
        <v>2</v>
      </c>
      <c r="K551" t="str">
        <f>VLOOKUP(J551,[1]!Region,2,FALSE)</f>
        <v>Western</v>
      </c>
      <c r="L551">
        <f>VLOOKUP(A551,[1]Order_Details!$A$1:$F$2156,2,FALSE)</f>
        <v>11</v>
      </c>
      <c r="M551" t="str">
        <f>VLOOKUP(L551,[1]!Products,2,FALSE)</f>
        <v>Queso Cabrales</v>
      </c>
      <c r="N551">
        <f>VLOOKUP(L551,[1]!Products,4,FALSE)</f>
        <v>4</v>
      </c>
      <c r="O551" s="6" t="str">
        <f>VLOOKUP(N551,[1]!Categories,2,FALSE)</f>
        <v>Dairy Products</v>
      </c>
      <c r="P551" s="6">
        <f>VLOOKUP(A551,[1]Order_Details!$A$1:$F$2156,3,FALSE)</f>
        <v>21</v>
      </c>
      <c r="Q551">
        <f>VLOOKUP(A551,[1]Order_Details!$A$1:$F$2156,4,FALSE)</f>
        <v>20</v>
      </c>
      <c r="R551">
        <f>VLOOKUP(A551,[1]Order_Details!$A$1:$F$2156,5,FALSE)</f>
        <v>0</v>
      </c>
      <c r="S551" s="6">
        <f>VLOOKUP(A551,[1]Order_Details!$A$1:$F$2156,6,FALSE)</f>
        <v>420</v>
      </c>
      <c r="T551" s="6">
        <f>VLOOKUP(A551,[1]!Orders,8,FALSE)</f>
        <v>33.35</v>
      </c>
    </row>
    <row r="552" spans="1:20" x14ac:dyDescent="0.3">
      <c r="A552" s="2">
        <v>10798</v>
      </c>
      <c r="B552" s="2" t="s">
        <v>46</v>
      </c>
      <c r="C552" s="2">
        <v>2</v>
      </c>
      <c r="D552" s="3">
        <v>35790</v>
      </c>
      <c r="E552" t="str">
        <f>VLOOKUP(C552,[1]Employees!$A$1:$O$10,4,FALSE)</f>
        <v>Fuller Andrew</v>
      </c>
      <c r="F552">
        <f>VLOOKUP(A552,[1]!Orders,7,FALSE)</f>
        <v>1</v>
      </c>
      <c r="G552" t="str">
        <f>VLOOKUP(F552,[1]!Shippers,2,FALSE)</f>
        <v>Speedy Express</v>
      </c>
      <c r="H552" t="str">
        <f>VLOOKUP(C552,[1]EmployeeTerritories!$A$1:$B$50,2,FALSE)</f>
        <v>01581</v>
      </c>
      <c r="I552">
        <f>VLOOKUP(C552,[1]EmployeeTerritories!$A$1:$B$50,1,FALSE)</f>
        <v>2</v>
      </c>
      <c r="J552">
        <f>VLOOKUP(H552,[1]!Territories,3,FALSE)</f>
        <v>1</v>
      </c>
      <c r="K552" t="str">
        <f>VLOOKUP(J552,[1]!Region,2,FALSE)</f>
        <v>Eastern</v>
      </c>
      <c r="L552">
        <f>VLOOKUP(A552,[1]Order_Details!$A$1:$F$2156,2,FALSE)</f>
        <v>62</v>
      </c>
      <c r="M552" t="str">
        <f>VLOOKUP(L552,[1]!Products,2,FALSE)</f>
        <v>Tarte au sucre</v>
      </c>
      <c r="N552">
        <f>VLOOKUP(L552,[1]!Products,4,FALSE)</f>
        <v>3</v>
      </c>
      <c r="O552" s="6" t="str">
        <f>VLOOKUP(N552,[1]!Categories,2,FALSE)</f>
        <v>Confections</v>
      </c>
      <c r="P552" s="6">
        <f>VLOOKUP(A552,[1]Order_Details!$A$1:$F$2156,3,FALSE)</f>
        <v>49.3</v>
      </c>
      <c r="Q552">
        <f>VLOOKUP(A552,[1]Order_Details!$A$1:$F$2156,4,FALSE)</f>
        <v>2</v>
      </c>
      <c r="R552">
        <f>VLOOKUP(A552,[1]Order_Details!$A$1:$F$2156,5,FALSE)</f>
        <v>0</v>
      </c>
      <c r="S552" s="6">
        <f>VLOOKUP(A552,[1]Order_Details!$A$1:$F$2156,6,FALSE)</f>
        <v>98.6</v>
      </c>
      <c r="T552" s="6">
        <f>VLOOKUP(A552,[1]!Orders,8,FALSE)</f>
        <v>2.33</v>
      </c>
    </row>
    <row r="553" spans="1:20" x14ac:dyDescent="0.3">
      <c r="A553" s="2">
        <v>10799</v>
      </c>
      <c r="B553" s="2" t="s">
        <v>48</v>
      </c>
      <c r="C553" s="2">
        <v>9</v>
      </c>
      <c r="D553" s="3">
        <v>35790</v>
      </c>
      <c r="E553" t="str">
        <f>VLOOKUP(C553,[1]Employees!$A$1:$O$10,4,FALSE)</f>
        <v>Dodsworth Anne</v>
      </c>
      <c r="F553">
        <f>VLOOKUP(A553,[1]!Orders,7,FALSE)</f>
        <v>3</v>
      </c>
      <c r="G553" t="str">
        <f>VLOOKUP(F553,[1]!Shippers,2,FALSE)</f>
        <v>Federal Shipping</v>
      </c>
      <c r="H553" t="str">
        <f>VLOOKUP(C553,[1]EmployeeTerritories!$A$1:$B$50,2,FALSE)</f>
        <v>03049</v>
      </c>
      <c r="I553">
        <f>VLOOKUP(C553,[1]EmployeeTerritories!$A$1:$B$50,1,FALSE)</f>
        <v>9</v>
      </c>
      <c r="J553">
        <f>VLOOKUP(H553,[1]!Territories,3,FALSE)</f>
        <v>3</v>
      </c>
      <c r="K553" t="str">
        <f>VLOOKUP(J553,[1]!Region,2,FALSE)</f>
        <v>Northern</v>
      </c>
      <c r="L553">
        <f>VLOOKUP(A553,[1]Order_Details!$A$1:$F$2156,2,FALSE)</f>
        <v>13</v>
      </c>
      <c r="M553" t="str">
        <f>VLOOKUP(L553,[1]!Products,2,FALSE)</f>
        <v>Konbu</v>
      </c>
      <c r="N553">
        <f>VLOOKUP(L553,[1]!Products,4,FALSE)</f>
        <v>8</v>
      </c>
      <c r="O553" s="6" t="str">
        <f>VLOOKUP(N553,[1]!Categories,2,FALSE)</f>
        <v>Seafood</v>
      </c>
      <c r="P553" s="6">
        <f>VLOOKUP(A553,[1]Order_Details!$A$1:$F$2156,3,FALSE)</f>
        <v>6</v>
      </c>
      <c r="Q553">
        <f>VLOOKUP(A553,[1]Order_Details!$A$1:$F$2156,4,FALSE)</f>
        <v>20</v>
      </c>
      <c r="R553">
        <f>VLOOKUP(A553,[1]Order_Details!$A$1:$F$2156,5,FALSE)</f>
        <v>0.15000000596046448</v>
      </c>
      <c r="S553" s="6">
        <f>VLOOKUP(A553,[1]Order_Details!$A$1:$F$2156,6,FALSE)</f>
        <v>101.99999928474426</v>
      </c>
      <c r="T553" s="6">
        <f>VLOOKUP(A553,[1]!Orders,8,FALSE)</f>
        <v>30.76</v>
      </c>
    </row>
    <row r="554" spans="1:20" x14ac:dyDescent="0.3">
      <c r="A554" s="2">
        <v>10800</v>
      </c>
      <c r="B554" s="2" t="s">
        <v>60</v>
      </c>
      <c r="C554" s="2">
        <v>1</v>
      </c>
      <c r="D554" s="3">
        <v>35790</v>
      </c>
      <c r="E554" t="str">
        <f>VLOOKUP(C554,[1]Employees!$A$1:$O$10,4,FALSE)</f>
        <v>Davolio Nancy</v>
      </c>
      <c r="F554">
        <f>VLOOKUP(A554,[1]!Orders,7,FALSE)</f>
        <v>3</v>
      </c>
      <c r="G554" t="str">
        <f>VLOOKUP(F554,[1]!Shippers,2,FALSE)</f>
        <v>Federal Shipping</v>
      </c>
      <c r="H554" t="str">
        <f>VLOOKUP(C554,[1]EmployeeTerritories!$A$1:$B$50,2,FALSE)</f>
        <v>06897</v>
      </c>
      <c r="I554">
        <f>VLOOKUP(C554,[1]EmployeeTerritories!$A$1:$B$50,1,FALSE)</f>
        <v>1</v>
      </c>
      <c r="J554">
        <f>VLOOKUP(H554,[1]!Territories,3,FALSE)</f>
        <v>1</v>
      </c>
      <c r="K554" t="str">
        <f>VLOOKUP(J554,[1]!Region,2,FALSE)</f>
        <v>Eastern</v>
      </c>
      <c r="L554">
        <f>VLOOKUP(A554,[1]Order_Details!$A$1:$F$2156,2,FALSE)</f>
        <v>11</v>
      </c>
      <c r="M554" t="str">
        <f>VLOOKUP(L554,[1]!Products,2,FALSE)</f>
        <v>Queso Cabrales</v>
      </c>
      <c r="N554">
        <f>VLOOKUP(L554,[1]!Products,4,FALSE)</f>
        <v>4</v>
      </c>
      <c r="O554" s="6" t="str">
        <f>VLOOKUP(N554,[1]!Categories,2,FALSE)</f>
        <v>Dairy Products</v>
      </c>
      <c r="P554" s="6">
        <f>VLOOKUP(A554,[1]Order_Details!$A$1:$F$2156,3,FALSE)</f>
        <v>21</v>
      </c>
      <c r="Q554">
        <f>VLOOKUP(A554,[1]Order_Details!$A$1:$F$2156,4,FALSE)</f>
        <v>50</v>
      </c>
      <c r="R554">
        <f>VLOOKUP(A554,[1]Order_Details!$A$1:$F$2156,5,FALSE)</f>
        <v>0.10000000149011612</v>
      </c>
      <c r="S554" s="6">
        <f>VLOOKUP(A554,[1]Order_Details!$A$1:$F$2156,6,FALSE)</f>
        <v>944.99999843537807</v>
      </c>
      <c r="T554" s="6">
        <f>VLOOKUP(A554,[1]!Orders,8,FALSE)</f>
        <v>137.44</v>
      </c>
    </row>
    <row r="555" spans="1:20" x14ac:dyDescent="0.3">
      <c r="A555" s="2">
        <v>10801</v>
      </c>
      <c r="B555" s="2" t="s">
        <v>50</v>
      </c>
      <c r="C555" s="2">
        <v>4</v>
      </c>
      <c r="D555" s="3">
        <v>35793</v>
      </c>
      <c r="E555" t="str">
        <f>VLOOKUP(C555,[1]Employees!$A$1:$O$10,4,FALSE)</f>
        <v>Peacock Margaret</v>
      </c>
      <c r="F555">
        <f>VLOOKUP(A555,[1]!Orders,7,FALSE)</f>
        <v>2</v>
      </c>
      <c r="G555" t="str">
        <f>VLOOKUP(F555,[1]!Shippers,2,FALSE)</f>
        <v>United Package</v>
      </c>
      <c r="H555" t="str">
        <f>VLOOKUP(C555,[1]EmployeeTerritories!$A$1:$B$50,2,FALSE)</f>
        <v>20852</v>
      </c>
      <c r="I555">
        <f>VLOOKUP(C555,[1]EmployeeTerritories!$A$1:$B$50,1,FALSE)</f>
        <v>4</v>
      </c>
      <c r="J555">
        <f>VLOOKUP(H555,[1]!Territories,3,FALSE)</f>
        <v>1</v>
      </c>
      <c r="K555" t="str">
        <f>VLOOKUP(J555,[1]!Region,2,FALSE)</f>
        <v>Eastern</v>
      </c>
      <c r="L555">
        <f>VLOOKUP(A555,[1]Order_Details!$A$1:$F$2156,2,FALSE)</f>
        <v>17</v>
      </c>
      <c r="M555" t="str">
        <f>VLOOKUP(L555,[1]!Products,2,FALSE)</f>
        <v>Alice Mutton</v>
      </c>
      <c r="N555">
        <f>VLOOKUP(L555,[1]!Products,4,FALSE)</f>
        <v>6</v>
      </c>
      <c r="O555" s="6" t="str">
        <f>VLOOKUP(N555,[1]!Categories,2,FALSE)</f>
        <v>Meat/Poultry</v>
      </c>
      <c r="P555" s="6">
        <f>VLOOKUP(A555,[1]Order_Details!$A$1:$F$2156,3,FALSE)</f>
        <v>39</v>
      </c>
      <c r="Q555">
        <f>VLOOKUP(A555,[1]Order_Details!$A$1:$F$2156,4,FALSE)</f>
        <v>40</v>
      </c>
      <c r="R555">
        <f>VLOOKUP(A555,[1]Order_Details!$A$1:$F$2156,5,FALSE)</f>
        <v>0.25</v>
      </c>
      <c r="S555" s="6">
        <f>VLOOKUP(A555,[1]Order_Details!$A$1:$F$2156,6,FALSE)</f>
        <v>1170</v>
      </c>
      <c r="T555" s="6">
        <f>VLOOKUP(A555,[1]!Orders,8,FALSE)</f>
        <v>97.09</v>
      </c>
    </row>
    <row r="556" spans="1:20" x14ac:dyDescent="0.3">
      <c r="A556" s="2">
        <v>10802</v>
      </c>
      <c r="B556" s="2" t="s">
        <v>55</v>
      </c>
      <c r="C556" s="2">
        <v>4</v>
      </c>
      <c r="D556" s="3">
        <v>35793</v>
      </c>
      <c r="E556" t="str">
        <f>VLOOKUP(C556,[1]Employees!$A$1:$O$10,4,FALSE)</f>
        <v>Peacock Margaret</v>
      </c>
      <c r="F556">
        <f>VLOOKUP(A556,[1]!Orders,7,FALSE)</f>
        <v>2</v>
      </c>
      <c r="G556" t="str">
        <f>VLOOKUP(F556,[1]!Shippers,2,FALSE)</f>
        <v>United Package</v>
      </c>
      <c r="H556" t="str">
        <f>VLOOKUP(C556,[1]EmployeeTerritories!$A$1:$B$50,2,FALSE)</f>
        <v>20852</v>
      </c>
      <c r="I556">
        <f>VLOOKUP(C556,[1]EmployeeTerritories!$A$1:$B$50,1,FALSE)</f>
        <v>4</v>
      </c>
      <c r="J556">
        <f>VLOOKUP(H556,[1]!Territories,3,FALSE)</f>
        <v>1</v>
      </c>
      <c r="K556" t="str">
        <f>VLOOKUP(J556,[1]!Region,2,FALSE)</f>
        <v>Eastern</v>
      </c>
      <c r="L556">
        <f>VLOOKUP(A556,[1]Order_Details!$A$1:$F$2156,2,FALSE)</f>
        <v>30</v>
      </c>
      <c r="M556" t="str">
        <f>VLOOKUP(L556,[1]!Products,2,FALSE)</f>
        <v>Nord-Ost Matjeshering</v>
      </c>
      <c r="N556">
        <f>VLOOKUP(L556,[1]!Products,4,FALSE)</f>
        <v>8</v>
      </c>
      <c r="O556" s="6" t="str">
        <f>VLOOKUP(N556,[1]!Categories,2,FALSE)</f>
        <v>Seafood</v>
      </c>
      <c r="P556" s="6">
        <f>VLOOKUP(A556,[1]Order_Details!$A$1:$F$2156,3,FALSE)</f>
        <v>25.89</v>
      </c>
      <c r="Q556">
        <f>VLOOKUP(A556,[1]Order_Details!$A$1:$F$2156,4,FALSE)</f>
        <v>25</v>
      </c>
      <c r="R556">
        <f>VLOOKUP(A556,[1]Order_Details!$A$1:$F$2156,5,FALSE)</f>
        <v>0.25</v>
      </c>
      <c r="S556" s="6">
        <f>VLOOKUP(A556,[1]Order_Details!$A$1:$F$2156,6,FALSE)</f>
        <v>485.4375</v>
      </c>
      <c r="T556" s="6">
        <f>VLOOKUP(A556,[1]!Orders,8,FALSE)</f>
        <v>257.26</v>
      </c>
    </row>
    <row r="557" spans="1:20" x14ac:dyDescent="0.3">
      <c r="A557" s="2">
        <v>10803</v>
      </c>
      <c r="B557" s="2" t="s">
        <v>11</v>
      </c>
      <c r="C557" s="2">
        <v>4</v>
      </c>
      <c r="D557" s="3">
        <v>35794</v>
      </c>
      <c r="E557" t="str">
        <f>VLOOKUP(C557,[1]Employees!$A$1:$O$10,4,FALSE)</f>
        <v>Peacock Margaret</v>
      </c>
      <c r="F557">
        <f>VLOOKUP(A557,[1]!Orders,7,FALSE)</f>
        <v>1</v>
      </c>
      <c r="G557" t="str">
        <f>VLOOKUP(F557,[1]!Shippers,2,FALSE)</f>
        <v>Speedy Express</v>
      </c>
      <c r="H557" t="str">
        <f>VLOOKUP(C557,[1]EmployeeTerritories!$A$1:$B$50,2,FALSE)</f>
        <v>20852</v>
      </c>
      <c r="I557">
        <f>VLOOKUP(C557,[1]EmployeeTerritories!$A$1:$B$50,1,FALSE)</f>
        <v>4</v>
      </c>
      <c r="J557">
        <f>VLOOKUP(H557,[1]!Territories,3,FALSE)</f>
        <v>1</v>
      </c>
      <c r="K557" t="str">
        <f>VLOOKUP(J557,[1]!Region,2,FALSE)</f>
        <v>Eastern</v>
      </c>
      <c r="L557">
        <f>VLOOKUP(A557,[1]Order_Details!$A$1:$F$2156,2,FALSE)</f>
        <v>19</v>
      </c>
      <c r="M557" t="str">
        <f>VLOOKUP(L557,[1]!Products,2,FALSE)</f>
        <v>Teatime Chocolate Biscuits</v>
      </c>
      <c r="N557">
        <f>VLOOKUP(L557,[1]!Products,4,FALSE)</f>
        <v>3</v>
      </c>
      <c r="O557" s="6" t="str">
        <f>VLOOKUP(N557,[1]!Categories,2,FALSE)</f>
        <v>Confections</v>
      </c>
      <c r="P557" s="6">
        <f>VLOOKUP(A557,[1]Order_Details!$A$1:$F$2156,3,FALSE)</f>
        <v>9.1999999999999993</v>
      </c>
      <c r="Q557">
        <f>VLOOKUP(A557,[1]Order_Details!$A$1:$F$2156,4,FALSE)</f>
        <v>24</v>
      </c>
      <c r="R557">
        <f>VLOOKUP(A557,[1]Order_Details!$A$1:$F$2156,5,FALSE)</f>
        <v>5.000000074505806E-2</v>
      </c>
      <c r="S557" s="6">
        <f>VLOOKUP(A557,[1]Order_Details!$A$1:$F$2156,6,FALSE)</f>
        <v>209.75999983549116</v>
      </c>
      <c r="T557" s="6">
        <f>VLOOKUP(A557,[1]!Orders,8,FALSE)</f>
        <v>55.23</v>
      </c>
    </row>
    <row r="558" spans="1:20" x14ac:dyDescent="0.3">
      <c r="A558" s="2">
        <v>10804</v>
      </c>
      <c r="B558" s="2" t="s">
        <v>60</v>
      </c>
      <c r="C558" s="2">
        <v>6</v>
      </c>
      <c r="D558" s="3">
        <v>35794</v>
      </c>
      <c r="E558" t="str">
        <f>VLOOKUP(C558,[1]Employees!$A$1:$O$10,4,FALSE)</f>
        <v>Suyama Michael</v>
      </c>
      <c r="F558">
        <f>VLOOKUP(A558,[1]!Orders,7,FALSE)</f>
        <v>2</v>
      </c>
      <c r="G558" t="str">
        <f>VLOOKUP(F558,[1]!Shippers,2,FALSE)</f>
        <v>United Package</v>
      </c>
      <c r="H558" t="str">
        <f>VLOOKUP(C558,[1]EmployeeTerritories!$A$1:$B$50,2,FALSE)</f>
        <v>85014</v>
      </c>
      <c r="I558">
        <f>VLOOKUP(C558,[1]EmployeeTerritories!$A$1:$B$50,1,FALSE)</f>
        <v>6</v>
      </c>
      <c r="J558">
        <f>VLOOKUP(H558,[1]!Territories,3,FALSE)</f>
        <v>2</v>
      </c>
      <c r="K558" t="str">
        <f>VLOOKUP(J558,[1]!Region,2,FALSE)</f>
        <v>Western</v>
      </c>
      <c r="L558">
        <f>VLOOKUP(A558,[1]Order_Details!$A$1:$F$2156,2,FALSE)</f>
        <v>10</v>
      </c>
      <c r="M558" t="str">
        <f>VLOOKUP(L558,[1]!Products,2,FALSE)</f>
        <v>Ikura</v>
      </c>
      <c r="N558">
        <f>VLOOKUP(L558,[1]!Products,4,FALSE)</f>
        <v>8</v>
      </c>
      <c r="O558" s="6" t="str">
        <f>VLOOKUP(N558,[1]!Categories,2,FALSE)</f>
        <v>Seafood</v>
      </c>
      <c r="P558" s="6">
        <f>VLOOKUP(A558,[1]Order_Details!$A$1:$F$2156,3,FALSE)</f>
        <v>31</v>
      </c>
      <c r="Q558">
        <f>VLOOKUP(A558,[1]Order_Details!$A$1:$F$2156,4,FALSE)</f>
        <v>36</v>
      </c>
      <c r="R558">
        <f>VLOOKUP(A558,[1]Order_Details!$A$1:$F$2156,5,FALSE)</f>
        <v>0</v>
      </c>
      <c r="S558" s="6">
        <f>VLOOKUP(A558,[1]Order_Details!$A$1:$F$2156,6,FALSE)</f>
        <v>1116</v>
      </c>
      <c r="T558" s="6">
        <f>VLOOKUP(A558,[1]!Orders,8,FALSE)</f>
        <v>27.33</v>
      </c>
    </row>
    <row r="559" spans="1:20" x14ac:dyDescent="0.3">
      <c r="A559" s="2">
        <v>10805</v>
      </c>
      <c r="B559" s="2" t="s">
        <v>44</v>
      </c>
      <c r="C559" s="2">
        <v>2</v>
      </c>
      <c r="D559" s="3">
        <v>35794</v>
      </c>
      <c r="E559" t="str">
        <f>VLOOKUP(C559,[1]Employees!$A$1:$O$10,4,FALSE)</f>
        <v>Fuller Andrew</v>
      </c>
      <c r="F559">
        <f>VLOOKUP(A559,[1]!Orders,7,FALSE)</f>
        <v>3</v>
      </c>
      <c r="G559" t="str">
        <f>VLOOKUP(F559,[1]!Shippers,2,FALSE)</f>
        <v>Federal Shipping</v>
      </c>
      <c r="H559" t="str">
        <f>VLOOKUP(C559,[1]EmployeeTerritories!$A$1:$B$50,2,FALSE)</f>
        <v>01581</v>
      </c>
      <c r="I559">
        <f>VLOOKUP(C559,[1]EmployeeTerritories!$A$1:$B$50,1,FALSE)</f>
        <v>2</v>
      </c>
      <c r="J559">
        <f>VLOOKUP(H559,[1]!Territories,3,FALSE)</f>
        <v>1</v>
      </c>
      <c r="K559" t="str">
        <f>VLOOKUP(J559,[1]!Region,2,FALSE)</f>
        <v>Eastern</v>
      </c>
      <c r="L559">
        <f>VLOOKUP(A559,[1]Order_Details!$A$1:$F$2156,2,FALSE)</f>
        <v>34</v>
      </c>
      <c r="M559" t="str">
        <f>VLOOKUP(L559,[1]!Products,2,FALSE)</f>
        <v>Sasquatch Ale</v>
      </c>
      <c r="N559">
        <f>VLOOKUP(L559,[1]!Products,4,FALSE)</f>
        <v>1</v>
      </c>
      <c r="O559" s="6" t="str">
        <f>VLOOKUP(N559,[1]!Categories,2,FALSE)</f>
        <v>Beverages</v>
      </c>
      <c r="P559" s="6">
        <f>VLOOKUP(A559,[1]Order_Details!$A$1:$F$2156,3,FALSE)</f>
        <v>14</v>
      </c>
      <c r="Q559">
        <f>VLOOKUP(A559,[1]Order_Details!$A$1:$F$2156,4,FALSE)</f>
        <v>10</v>
      </c>
      <c r="R559">
        <f>VLOOKUP(A559,[1]Order_Details!$A$1:$F$2156,5,FALSE)</f>
        <v>0</v>
      </c>
      <c r="S559" s="6">
        <f>VLOOKUP(A559,[1]Order_Details!$A$1:$F$2156,6,FALSE)</f>
        <v>140</v>
      </c>
      <c r="T559" s="6">
        <f>VLOOKUP(A559,[1]!Orders,8,FALSE)</f>
        <v>237.34</v>
      </c>
    </row>
    <row r="560" spans="1:20" x14ac:dyDescent="0.3">
      <c r="A560" s="2">
        <v>10806</v>
      </c>
      <c r="B560" s="2" t="s">
        <v>7</v>
      </c>
      <c r="C560" s="2">
        <v>3</v>
      </c>
      <c r="D560" s="3">
        <v>35795</v>
      </c>
      <c r="E560" t="str">
        <f>VLOOKUP(C560,[1]Employees!$A$1:$O$10,4,FALSE)</f>
        <v>Leverling Janet</v>
      </c>
      <c r="F560">
        <f>VLOOKUP(A560,[1]!Orders,7,FALSE)</f>
        <v>2</v>
      </c>
      <c r="G560" t="str">
        <f>VLOOKUP(F560,[1]!Shippers,2,FALSE)</f>
        <v>United Package</v>
      </c>
      <c r="H560" t="str">
        <f>VLOOKUP(C560,[1]EmployeeTerritories!$A$1:$B$50,2,FALSE)</f>
        <v>30346</v>
      </c>
      <c r="I560">
        <f>VLOOKUP(C560,[1]EmployeeTerritories!$A$1:$B$50,1,FALSE)</f>
        <v>3</v>
      </c>
      <c r="J560">
        <f>VLOOKUP(H560,[1]!Territories,3,FALSE)</f>
        <v>4</v>
      </c>
      <c r="K560" t="str">
        <f>VLOOKUP(J560,[1]!Region,2,FALSE)</f>
        <v>Southern</v>
      </c>
      <c r="L560">
        <f>VLOOKUP(A560,[1]Order_Details!$A$1:$F$2156,2,FALSE)</f>
        <v>2</v>
      </c>
      <c r="M560" t="str">
        <f>VLOOKUP(L560,[1]!Products,2,FALSE)</f>
        <v>Chang</v>
      </c>
      <c r="N560">
        <f>VLOOKUP(L560,[1]!Products,4,FALSE)</f>
        <v>1</v>
      </c>
      <c r="O560" s="6" t="str">
        <f>VLOOKUP(N560,[1]!Categories,2,FALSE)</f>
        <v>Beverages</v>
      </c>
      <c r="P560" s="6">
        <f>VLOOKUP(A560,[1]Order_Details!$A$1:$F$2156,3,FALSE)</f>
        <v>19</v>
      </c>
      <c r="Q560">
        <f>VLOOKUP(A560,[1]Order_Details!$A$1:$F$2156,4,FALSE)</f>
        <v>20</v>
      </c>
      <c r="R560">
        <f>VLOOKUP(A560,[1]Order_Details!$A$1:$F$2156,5,FALSE)</f>
        <v>0.25</v>
      </c>
      <c r="S560" s="6">
        <f>VLOOKUP(A560,[1]Order_Details!$A$1:$F$2156,6,FALSE)</f>
        <v>285</v>
      </c>
      <c r="T560" s="6">
        <f>VLOOKUP(A560,[1]!Orders,8,FALSE)</f>
        <v>22.11</v>
      </c>
    </row>
    <row r="561" spans="1:20" x14ac:dyDescent="0.3">
      <c r="A561" s="2">
        <v>10807</v>
      </c>
      <c r="B561" s="2" t="s">
        <v>74</v>
      </c>
      <c r="C561" s="2">
        <v>4</v>
      </c>
      <c r="D561" s="3">
        <v>35795</v>
      </c>
      <c r="E561" t="str">
        <f>VLOOKUP(C561,[1]Employees!$A$1:$O$10,4,FALSE)</f>
        <v>Peacock Margaret</v>
      </c>
      <c r="F561">
        <f>VLOOKUP(A561,[1]!Orders,7,FALSE)</f>
        <v>1</v>
      </c>
      <c r="G561" t="str">
        <f>VLOOKUP(F561,[1]!Shippers,2,FALSE)</f>
        <v>Speedy Express</v>
      </c>
      <c r="H561" t="str">
        <f>VLOOKUP(C561,[1]EmployeeTerritories!$A$1:$B$50,2,FALSE)</f>
        <v>20852</v>
      </c>
      <c r="I561">
        <f>VLOOKUP(C561,[1]EmployeeTerritories!$A$1:$B$50,1,FALSE)</f>
        <v>4</v>
      </c>
      <c r="J561">
        <f>VLOOKUP(H561,[1]!Territories,3,FALSE)</f>
        <v>1</v>
      </c>
      <c r="K561" t="str">
        <f>VLOOKUP(J561,[1]!Region,2,FALSE)</f>
        <v>Eastern</v>
      </c>
      <c r="L561">
        <f>VLOOKUP(A561,[1]Order_Details!$A$1:$F$2156,2,FALSE)</f>
        <v>40</v>
      </c>
      <c r="M561" t="str">
        <f>VLOOKUP(L561,[1]!Products,2,FALSE)</f>
        <v>Boston Crab Meat</v>
      </c>
      <c r="N561">
        <f>VLOOKUP(L561,[1]!Products,4,FALSE)</f>
        <v>8</v>
      </c>
      <c r="O561" s="6" t="str">
        <f>VLOOKUP(N561,[1]!Categories,2,FALSE)</f>
        <v>Seafood</v>
      </c>
      <c r="P561" s="6">
        <f>VLOOKUP(A561,[1]Order_Details!$A$1:$F$2156,3,FALSE)</f>
        <v>18.399999999999999</v>
      </c>
      <c r="Q561">
        <f>VLOOKUP(A561,[1]Order_Details!$A$1:$F$2156,4,FALSE)</f>
        <v>1</v>
      </c>
      <c r="R561">
        <f>VLOOKUP(A561,[1]Order_Details!$A$1:$F$2156,5,FALSE)</f>
        <v>0</v>
      </c>
      <c r="S561" s="6">
        <f>VLOOKUP(A561,[1]Order_Details!$A$1:$F$2156,6,FALSE)</f>
        <v>18.399999999999999</v>
      </c>
      <c r="T561" s="6">
        <f>VLOOKUP(A561,[1]!Orders,8,FALSE)</f>
        <v>1.36</v>
      </c>
    </row>
    <row r="562" spans="1:20" x14ac:dyDescent="0.3">
      <c r="A562" s="2">
        <v>10808</v>
      </c>
      <c r="B562" s="2" t="s">
        <v>41</v>
      </c>
      <c r="C562" s="2">
        <v>2</v>
      </c>
      <c r="D562" s="3">
        <v>35796</v>
      </c>
      <c r="E562" t="str">
        <f>VLOOKUP(C562,[1]Employees!$A$1:$O$10,4,FALSE)</f>
        <v>Fuller Andrew</v>
      </c>
      <c r="F562">
        <f>VLOOKUP(A562,[1]!Orders,7,FALSE)</f>
        <v>3</v>
      </c>
      <c r="G562" t="str">
        <f>VLOOKUP(F562,[1]!Shippers,2,FALSE)</f>
        <v>Federal Shipping</v>
      </c>
      <c r="H562" t="str">
        <f>VLOOKUP(C562,[1]EmployeeTerritories!$A$1:$B$50,2,FALSE)</f>
        <v>01581</v>
      </c>
      <c r="I562">
        <f>VLOOKUP(C562,[1]EmployeeTerritories!$A$1:$B$50,1,FALSE)</f>
        <v>2</v>
      </c>
      <c r="J562">
        <f>VLOOKUP(H562,[1]!Territories,3,FALSE)</f>
        <v>1</v>
      </c>
      <c r="K562" t="str">
        <f>VLOOKUP(J562,[1]!Region,2,FALSE)</f>
        <v>Eastern</v>
      </c>
      <c r="L562">
        <f>VLOOKUP(A562,[1]Order_Details!$A$1:$F$2156,2,FALSE)</f>
        <v>56</v>
      </c>
      <c r="M562" t="str">
        <f>VLOOKUP(L562,[1]!Products,2,FALSE)</f>
        <v>Gnocchi di nonna Alice</v>
      </c>
      <c r="N562">
        <f>VLOOKUP(L562,[1]!Products,4,FALSE)</f>
        <v>5</v>
      </c>
      <c r="O562" s="6" t="str">
        <f>VLOOKUP(N562,[1]!Categories,2,FALSE)</f>
        <v>Grains/Cereals</v>
      </c>
      <c r="P562" s="6">
        <f>VLOOKUP(A562,[1]Order_Details!$A$1:$F$2156,3,FALSE)</f>
        <v>38</v>
      </c>
      <c r="Q562">
        <f>VLOOKUP(A562,[1]Order_Details!$A$1:$F$2156,4,FALSE)</f>
        <v>20</v>
      </c>
      <c r="R562">
        <f>VLOOKUP(A562,[1]Order_Details!$A$1:$F$2156,5,FALSE)</f>
        <v>0.15000000596046448</v>
      </c>
      <c r="S562" s="6">
        <f>VLOOKUP(A562,[1]Order_Details!$A$1:$F$2156,6,FALSE)</f>
        <v>645.999995470047</v>
      </c>
      <c r="T562" s="6">
        <f>VLOOKUP(A562,[1]!Orders,8,FALSE)</f>
        <v>45.53</v>
      </c>
    </row>
    <row r="563" spans="1:20" x14ac:dyDescent="0.3">
      <c r="A563" s="2">
        <v>10809</v>
      </c>
      <c r="B563" s="2" t="s">
        <v>11</v>
      </c>
      <c r="C563" s="2">
        <v>7</v>
      </c>
      <c r="D563" s="3">
        <v>35796</v>
      </c>
      <c r="E563" t="str">
        <f>VLOOKUP(C563,[1]Employees!$A$1:$O$10,4,FALSE)</f>
        <v>King Robert</v>
      </c>
      <c r="F563">
        <f>VLOOKUP(A563,[1]!Orders,7,FALSE)</f>
        <v>1</v>
      </c>
      <c r="G563" t="str">
        <f>VLOOKUP(F563,[1]!Shippers,2,FALSE)</f>
        <v>Speedy Express</v>
      </c>
      <c r="H563" t="str">
        <f>VLOOKUP(C563,[1]EmployeeTerritories!$A$1:$B$50,2,FALSE)</f>
        <v>60179</v>
      </c>
      <c r="I563">
        <f>VLOOKUP(C563,[1]EmployeeTerritories!$A$1:$B$50,1,FALSE)</f>
        <v>7</v>
      </c>
      <c r="J563">
        <f>VLOOKUP(H563,[1]!Territories,3,FALSE)</f>
        <v>2</v>
      </c>
      <c r="K563" t="str">
        <f>VLOOKUP(J563,[1]!Region,2,FALSE)</f>
        <v>Western</v>
      </c>
      <c r="L563">
        <f>VLOOKUP(A563,[1]Order_Details!$A$1:$F$2156,2,FALSE)</f>
        <v>52</v>
      </c>
      <c r="M563" t="str">
        <f>VLOOKUP(L563,[1]!Products,2,FALSE)</f>
        <v>Filo Mix</v>
      </c>
      <c r="N563">
        <f>VLOOKUP(L563,[1]!Products,4,FALSE)</f>
        <v>5</v>
      </c>
      <c r="O563" s="6" t="str">
        <f>VLOOKUP(N563,[1]!Categories,2,FALSE)</f>
        <v>Grains/Cereals</v>
      </c>
      <c r="P563" s="6">
        <f>VLOOKUP(A563,[1]Order_Details!$A$1:$F$2156,3,FALSE)</f>
        <v>7</v>
      </c>
      <c r="Q563">
        <f>VLOOKUP(A563,[1]Order_Details!$A$1:$F$2156,4,FALSE)</f>
        <v>20</v>
      </c>
      <c r="R563">
        <f>VLOOKUP(A563,[1]Order_Details!$A$1:$F$2156,5,FALSE)</f>
        <v>0</v>
      </c>
      <c r="S563" s="6">
        <f>VLOOKUP(A563,[1]Order_Details!$A$1:$F$2156,6,FALSE)</f>
        <v>140</v>
      </c>
      <c r="T563" s="6">
        <f>VLOOKUP(A563,[1]!Orders,8,FALSE)</f>
        <v>4.87</v>
      </c>
    </row>
    <row r="564" spans="1:20" x14ac:dyDescent="0.3">
      <c r="A564" s="2">
        <v>10810</v>
      </c>
      <c r="B564" s="2" t="s">
        <v>79</v>
      </c>
      <c r="C564" s="2">
        <v>2</v>
      </c>
      <c r="D564" s="3">
        <v>35796</v>
      </c>
      <c r="E564" t="str">
        <f>VLOOKUP(C564,[1]Employees!$A$1:$O$10,4,FALSE)</f>
        <v>Fuller Andrew</v>
      </c>
      <c r="F564">
        <f>VLOOKUP(A564,[1]!Orders,7,FALSE)</f>
        <v>3</v>
      </c>
      <c r="G564" t="str">
        <f>VLOOKUP(F564,[1]!Shippers,2,FALSE)</f>
        <v>Federal Shipping</v>
      </c>
      <c r="H564" t="str">
        <f>VLOOKUP(C564,[1]EmployeeTerritories!$A$1:$B$50,2,FALSE)</f>
        <v>01581</v>
      </c>
      <c r="I564">
        <f>VLOOKUP(C564,[1]EmployeeTerritories!$A$1:$B$50,1,FALSE)</f>
        <v>2</v>
      </c>
      <c r="J564">
        <f>VLOOKUP(H564,[1]!Territories,3,FALSE)</f>
        <v>1</v>
      </c>
      <c r="K564" t="str">
        <f>VLOOKUP(J564,[1]!Region,2,FALSE)</f>
        <v>Eastern</v>
      </c>
      <c r="L564">
        <f>VLOOKUP(A564,[1]Order_Details!$A$1:$F$2156,2,FALSE)</f>
        <v>13</v>
      </c>
      <c r="M564" t="str">
        <f>VLOOKUP(L564,[1]!Products,2,FALSE)</f>
        <v>Konbu</v>
      </c>
      <c r="N564">
        <f>VLOOKUP(L564,[1]!Products,4,FALSE)</f>
        <v>8</v>
      </c>
      <c r="O564" s="6" t="str">
        <f>VLOOKUP(N564,[1]!Categories,2,FALSE)</f>
        <v>Seafood</v>
      </c>
      <c r="P564" s="6">
        <f>VLOOKUP(A564,[1]Order_Details!$A$1:$F$2156,3,FALSE)</f>
        <v>6</v>
      </c>
      <c r="Q564">
        <f>VLOOKUP(A564,[1]Order_Details!$A$1:$F$2156,4,FALSE)</f>
        <v>7</v>
      </c>
      <c r="R564">
        <f>VLOOKUP(A564,[1]Order_Details!$A$1:$F$2156,5,FALSE)</f>
        <v>0</v>
      </c>
      <c r="S564" s="6">
        <f>VLOOKUP(A564,[1]Order_Details!$A$1:$F$2156,6,FALSE)</f>
        <v>42</v>
      </c>
      <c r="T564" s="6">
        <f>VLOOKUP(A564,[1]!Orders,8,FALSE)</f>
        <v>4.33</v>
      </c>
    </row>
    <row r="565" spans="1:20" x14ac:dyDescent="0.3">
      <c r="A565" s="2">
        <v>10811</v>
      </c>
      <c r="B565" s="2" t="s">
        <v>71</v>
      </c>
      <c r="C565" s="2">
        <v>8</v>
      </c>
      <c r="D565" s="3">
        <v>35797</v>
      </c>
      <c r="E565" t="str">
        <f>VLOOKUP(C565,[1]Employees!$A$1:$O$10,4,FALSE)</f>
        <v>Callahan Laura</v>
      </c>
      <c r="F565">
        <f>VLOOKUP(A565,[1]!Orders,7,FALSE)</f>
        <v>1</v>
      </c>
      <c r="G565" t="str">
        <f>VLOOKUP(F565,[1]!Shippers,2,FALSE)</f>
        <v>Speedy Express</v>
      </c>
      <c r="H565" t="str">
        <f>VLOOKUP(C565,[1]EmployeeTerritories!$A$1:$B$50,2,FALSE)</f>
        <v>19428</v>
      </c>
      <c r="I565">
        <f>VLOOKUP(C565,[1]EmployeeTerritories!$A$1:$B$50,1,FALSE)</f>
        <v>8</v>
      </c>
      <c r="J565">
        <f>VLOOKUP(H565,[1]!Territories,3,FALSE)</f>
        <v>3</v>
      </c>
      <c r="K565" t="str">
        <f>VLOOKUP(J565,[1]!Region,2,FALSE)</f>
        <v>Northern</v>
      </c>
      <c r="L565">
        <f>VLOOKUP(A565,[1]Order_Details!$A$1:$F$2156,2,FALSE)</f>
        <v>19</v>
      </c>
      <c r="M565" t="str">
        <f>VLOOKUP(L565,[1]!Products,2,FALSE)</f>
        <v>Teatime Chocolate Biscuits</v>
      </c>
      <c r="N565">
        <f>VLOOKUP(L565,[1]!Products,4,FALSE)</f>
        <v>3</v>
      </c>
      <c r="O565" s="6" t="str">
        <f>VLOOKUP(N565,[1]!Categories,2,FALSE)</f>
        <v>Confections</v>
      </c>
      <c r="P565" s="6">
        <f>VLOOKUP(A565,[1]Order_Details!$A$1:$F$2156,3,FALSE)</f>
        <v>9.1999999999999993</v>
      </c>
      <c r="Q565">
        <f>VLOOKUP(A565,[1]Order_Details!$A$1:$F$2156,4,FALSE)</f>
        <v>15</v>
      </c>
      <c r="R565">
        <f>VLOOKUP(A565,[1]Order_Details!$A$1:$F$2156,5,FALSE)</f>
        <v>0</v>
      </c>
      <c r="S565" s="6">
        <f>VLOOKUP(A565,[1]Order_Details!$A$1:$F$2156,6,FALSE)</f>
        <v>138</v>
      </c>
      <c r="T565" s="6">
        <f>VLOOKUP(A565,[1]!Orders,8,FALSE)</f>
        <v>31.22</v>
      </c>
    </row>
    <row r="566" spans="1:20" x14ac:dyDescent="0.3">
      <c r="A566" s="2">
        <v>10812</v>
      </c>
      <c r="B566" s="2" t="s">
        <v>34</v>
      </c>
      <c r="C566" s="2">
        <v>5</v>
      </c>
      <c r="D566" s="3">
        <v>35797</v>
      </c>
      <c r="E566" t="str">
        <f>VLOOKUP(C566,[1]Employees!$A$1:$O$10,4,FALSE)</f>
        <v>Buchanan Steven</v>
      </c>
      <c r="F566">
        <f>VLOOKUP(A566,[1]!Orders,7,FALSE)</f>
        <v>1</v>
      </c>
      <c r="G566" t="str">
        <f>VLOOKUP(F566,[1]!Shippers,2,FALSE)</f>
        <v>Speedy Express</v>
      </c>
      <c r="H566" t="str">
        <f>VLOOKUP(C566,[1]EmployeeTerritories!$A$1:$B$50,2,FALSE)</f>
        <v>02903</v>
      </c>
      <c r="I566">
        <f>VLOOKUP(C566,[1]EmployeeTerritories!$A$1:$B$50,1,FALSE)</f>
        <v>5</v>
      </c>
      <c r="J566">
        <f>VLOOKUP(H566,[1]!Territories,3,FALSE)</f>
        <v>1</v>
      </c>
      <c r="K566" t="str">
        <f>VLOOKUP(J566,[1]!Region,2,FALSE)</f>
        <v>Eastern</v>
      </c>
      <c r="L566">
        <f>VLOOKUP(A566,[1]Order_Details!$A$1:$F$2156,2,FALSE)</f>
        <v>31</v>
      </c>
      <c r="M566" t="str">
        <f>VLOOKUP(L566,[1]!Products,2,FALSE)</f>
        <v>Gorgonzola Telino</v>
      </c>
      <c r="N566">
        <f>VLOOKUP(L566,[1]!Products,4,FALSE)</f>
        <v>4</v>
      </c>
      <c r="O566" s="6" t="str">
        <f>VLOOKUP(N566,[1]!Categories,2,FALSE)</f>
        <v>Dairy Products</v>
      </c>
      <c r="P566" s="6">
        <f>VLOOKUP(A566,[1]Order_Details!$A$1:$F$2156,3,FALSE)</f>
        <v>12.5</v>
      </c>
      <c r="Q566">
        <f>VLOOKUP(A566,[1]Order_Details!$A$1:$F$2156,4,FALSE)</f>
        <v>16</v>
      </c>
      <c r="R566">
        <f>VLOOKUP(A566,[1]Order_Details!$A$1:$F$2156,5,FALSE)</f>
        <v>0.10000000149011612</v>
      </c>
      <c r="S566" s="6">
        <f>VLOOKUP(A566,[1]Order_Details!$A$1:$F$2156,6,FALSE)</f>
        <v>179.99999970197678</v>
      </c>
      <c r="T566" s="6">
        <f>VLOOKUP(A566,[1]!Orders,8,FALSE)</f>
        <v>59.78</v>
      </c>
    </row>
    <row r="567" spans="1:20" x14ac:dyDescent="0.3">
      <c r="A567" s="2">
        <v>10813</v>
      </c>
      <c r="B567" s="2" t="s">
        <v>33</v>
      </c>
      <c r="C567" s="2">
        <v>1</v>
      </c>
      <c r="D567" s="3">
        <v>35800</v>
      </c>
      <c r="E567" t="str">
        <f>VLOOKUP(C567,[1]Employees!$A$1:$O$10,4,FALSE)</f>
        <v>Davolio Nancy</v>
      </c>
      <c r="F567">
        <f>VLOOKUP(A567,[1]!Orders,7,FALSE)</f>
        <v>1</v>
      </c>
      <c r="G567" t="str">
        <f>VLOOKUP(F567,[1]!Shippers,2,FALSE)</f>
        <v>Speedy Express</v>
      </c>
      <c r="H567" t="str">
        <f>VLOOKUP(C567,[1]EmployeeTerritories!$A$1:$B$50,2,FALSE)</f>
        <v>06897</v>
      </c>
      <c r="I567">
        <f>VLOOKUP(C567,[1]EmployeeTerritories!$A$1:$B$50,1,FALSE)</f>
        <v>1</v>
      </c>
      <c r="J567">
        <f>VLOOKUP(H567,[1]!Territories,3,FALSE)</f>
        <v>1</v>
      </c>
      <c r="K567" t="str">
        <f>VLOOKUP(J567,[1]!Region,2,FALSE)</f>
        <v>Eastern</v>
      </c>
      <c r="L567">
        <f>VLOOKUP(A567,[1]Order_Details!$A$1:$F$2156,2,FALSE)</f>
        <v>2</v>
      </c>
      <c r="M567" t="str">
        <f>VLOOKUP(L567,[1]!Products,2,FALSE)</f>
        <v>Chang</v>
      </c>
      <c r="N567">
        <f>VLOOKUP(L567,[1]!Products,4,FALSE)</f>
        <v>1</v>
      </c>
      <c r="O567" s="6" t="str">
        <f>VLOOKUP(N567,[1]!Categories,2,FALSE)</f>
        <v>Beverages</v>
      </c>
      <c r="P567" s="6">
        <f>VLOOKUP(A567,[1]Order_Details!$A$1:$F$2156,3,FALSE)</f>
        <v>19</v>
      </c>
      <c r="Q567">
        <f>VLOOKUP(A567,[1]Order_Details!$A$1:$F$2156,4,FALSE)</f>
        <v>12</v>
      </c>
      <c r="R567">
        <f>VLOOKUP(A567,[1]Order_Details!$A$1:$F$2156,5,FALSE)</f>
        <v>0.20000000298023224</v>
      </c>
      <c r="S567" s="6">
        <f>VLOOKUP(A567,[1]Order_Details!$A$1:$F$2156,6,FALSE)</f>
        <v>182.39999932050705</v>
      </c>
      <c r="T567" s="6">
        <f>VLOOKUP(A567,[1]!Orders,8,FALSE)</f>
        <v>47.38</v>
      </c>
    </row>
    <row r="568" spans="1:20" x14ac:dyDescent="0.3">
      <c r="A568" s="2">
        <v>10814</v>
      </c>
      <c r="B568" s="2" t="s">
        <v>7</v>
      </c>
      <c r="C568" s="2">
        <v>3</v>
      </c>
      <c r="D568" s="3">
        <v>35800</v>
      </c>
      <c r="E568" t="str">
        <f>VLOOKUP(C568,[1]Employees!$A$1:$O$10,4,FALSE)</f>
        <v>Leverling Janet</v>
      </c>
      <c r="F568">
        <f>VLOOKUP(A568,[1]!Orders,7,FALSE)</f>
        <v>3</v>
      </c>
      <c r="G568" t="str">
        <f>VLOOKUP(F568,[1]!Shippers,2,FALSE)</f>
        <v>Federal Shipping</v>
      </c>
      <c r="H568" t="str">
        <f>VLOOKUP(C568,[1]EmployeeTerritories!$A$1:$B$50,2,FALSE)</f>
        <v>30346</v>
      </c>
      <c r="I568">
        <f>VLOOKUP(C568,[1]EmployeeTerritories!$A$1:$B$50,1,FALSE)</f>
        <v>3</v>
      </c>
      <c r="J568">
        <f>VLOOKUP(H568,[1]!Territories,3,FALSE)</f>
        <v>4</v>
      </c>
      <c r="K568" t="str">
        <f>VLOOKUP(J568,[1]!Region,2,FALSE)</f>
        <v>Southern</v>
      </c>
      <c r="L568">
        <f>VLOOKUP(A568,[1]Order_Details!$A$1:$F$2156,2,FALSE)</f>
        <v>41</v>
      </c>
      <c r="M568" t="str">
        <f>VLOOKUP(L568,[1]!Products,2,FALSE)</f>
        <v>Jack's New England Clam Chowder</v>
      </c>
      <c r="N568">
        <f>VLOOKUP(L568,[1]!Products,4,FALSE)</f>
        <v>8</v>
      </c>
      <c r="O568" s="6" t="str">
        <f>VLOOKUP(N568,[1]!Categories,2,FALSE)</f>
        <v>Seafood</v>
      </c>
      <c r="P568" s="6">
        <f>VLOOKUP(A568,[1]Order_Details!$A$1:$F$2156,3,FALSE)</f>
        <v>9.65</v>
      </c>
      <c r="Q568">
        <f>VLOOKUP(A568,[1]Order_Details!$A$1:$F$2156,4,FALSE)</f>
        <v>20</v>
      </c>
      <c r="R568">
        <f>VLOOKUP(A568,[1]Order_Details!$A$1:$F$2156,5,FALSE)</f>
        <v>0</v>
      </c>
      <c r="S568" s="6">
        <f>VLOOKUP(A568,[1]Order_Details!$A$1:$F$2156,6,FALSE)</f>
        <v>193</v>
      </c>
      <c r="T568" s="6">
        <f>VLOOKUP(A568,[1]!Orders,8,FALSE)</f>
        <v>130.94</v>
      </c>
    </row>
    <row r="569" spans="1:20" x14ac:dyDescent="0.3">
      <c r="A569" s="2">
        <v>10815</v>
      </c>
      <c r="B569" s="2" t="s">
        <v>49</v>
      </c>
      <c r="C569" s="2">
        <v>2</v>
      </c>
      <c r="D569" s="3">
        <v>35800</v>
      </c>
      <c r="E569" t="str">
        <f>VLOOKUP(C569,[1]Employees!$A$1:$O$10,4,FALSE)</f>
        <v>Fuller Andrew</v>
      </c>
      <c r="F569">
        <f>VLOOKUP(A569,[1]!Orders,7,FALSE)</f>
        <v>3</v>
      </c>
      <c r="G569" t="str">
        <f>VLOOKUP(F569,[1]!Shippers,2,FALSE)</f>
        <v>Federal Shipping</v>
      </c>
      <c r="H569" t="str">
        <f>VLOOKUP(C569,[1]EmployeeTerritories!$A$1:$B$50,2,FALSE)</f>
        <v>01581</v>
      </c>
      <c r="I569">
        <f>VLOOKUP(C569,[1]EmployeeTerritories!$A$1:$B$50,1,FALSE)</f>
        <v>2</v>
      </c>
      <c r="J569">
        <f>VLOOKUP(H569,[1]!Territories,3,FALSE)</f>
        <v>1</v>
      </c>
      <c r="K569" t="str">
        <f>VLOOKUP(J569,[1]!Region,2,FALSE)</f>
        <v>Eastern</v>
      </c>
      <c r="L569">
        <f>VLOOKUP(A569,[1]Order_Details!$A$1:$F$2156,2,FALSE)</f>
        <v>33</v>
      </c>
      <c r="M569" t="str">
        <f>VLOOKUP(L569,[1]!Products,2,FALSE)</f>
        <v>Geitost</v>
      </c>
      <c r="N569">
        <f>VLOOKUP(L569,[1]!Products,4,FALSE)</f>
        <v>4</v>
      </c>
      <c r="O569" s="6" t="str">
        <f>VLOOKUP(N569,[1]!Categories,2,FALSE)</f>
        <v>Dairy Products</v>
      </c>
      <c r="P569" s="6">
        <f>VLOOKUP(A569,[1]Order_Details!$A$1:$F$2156,3,FALSE)</f>
        <v>2.5</v>
      </c>
      <c r="Q569">
        <f>VLOOKUP(A569,[1]Order_Details!$A$1:$F$2156,4,FALSE)</f>
        <v>16</v>
      </c>
      <c r="R569">
        <f>VLOOKUP(A569,[1]Order_Details!$A$1:$F$2156,5,FALSE)</f>
        <v>0</v>
      </c>
      <c r="S569" s="6">
        <f>VLOOKUP(A569,[1]Order_Details!$A$1:$F$2156,6,FALSE)</f>
        <v>40</v>
      </c>
      <c r="T569" s="6">
        <f>VLOOKUP(A569,[1]!Orders,8,FALSE)</f>
        <v>14.62</v>
      </c>
    </row>
    <row r="570" spans="1:20" x14ac:dyDescent="0.3">
      <c r="A570" s="2">
        <v>10816</v>
      </c>
      <c r="B570" s="2" t="s">
        <v>83</v>
      </c>
      <c r="C570" s="2">
        <v>4</v>
      </c>
      <c r="D570" s="3">
        <v>35801</v>
      </c>
      <c r="E570" t="str">
        <f>VLOOKUP(C570,[1]Employees!$A$1:$O$10,4,FALSE)</f>
        <v>Peacock Margaret</v>
      </c>
      <c r="F570">
        <f>VLOOKUP(A570,[1]!Orders,7,FALSE)</f>
        <v>2</v>
      </c>
      <c r="G570" t="str">
        <f>VLOOKUP(F570,[1]!Shippers,2,FALSE)</f>
        <v>United Package</v>
      </c>
      <c r="H570" t="str">
        <f>VLOOKUP(C570,[1]EmployeeTerritories!$A$1:$B$50,2,FALSE)</f>
        <v>20852</v>
      </c>
      <c r="I570">
        <f>VLOOKUP(C570,[1]EmployeeTerritories!$A$1:$B$50,1,FALSE)</f>
        <v>4</v>
      </c>
      <c r="J570">
        <f>VLOOKUP(H570,[1]!Territories,3,FALSE)</f>
        <v>1</v>
      </c>
      <c r="K570" t="str">
        <f>VLOOKUP(J570,[1]!Region,2,FALSE)</f>
        <v>Eastern</v>
      </c>
      <c r="L570">
        <f>VLOOKUP(A570,[1]Order_Details!$A$1:$F$2156,2,FALSE)</f>
        <v>38</v>
      </c>
      <c r="M570" t="str">
        <f>VLOOKUP(L570,[1]!Products,2,FALSE)</f>
        <v>Côte de Blaye</v>
      </c>
      <c r="N570">
        <f>VLOOKUP(L570,[1]!Products,4,FALSE)</f>
        <v>1</v>
      </c>
      <c r="O570" s="6" t="str">
        <f>VLOOKUP(N570,[1]!Categories,2,FALSE)</f>
        <v>Beverages</v>
      </c>
      <c r="P570" s="6">
        <f>VLOOKUP(A570,[1]Order_Details!$A$1:$F$2156,3,FALSE)</f>
        <v>263.5</v>
      </c>
      <c r="Q570">
        <f>VLOOKUP(A570,[1]Order_Details!$A$1:$F$2156,4,FALSE)</f>
        <v>30</v>
      </c>
      <c r="R570">
        <f>VLOOKUP(A570,[1]Order_Details!$A$1:$F$2156,5,FALSE)</f>
        <v>5.000000074505806E-2</v>
      </c>
      <c r="S570" s="6">
        <f>VLOOKUP(A570,[1]Order_Details!$A$1:$F$2156,6,FALSE)</f>
        <v>7509.749994110316</v>
      </c>
      <c r="T570" s="6">
        <f>VLOOKUP(A570,[1]!Orders,8,FALSE)</f>
        <v>719.78</v>
      </c>
    </row>
    <row r="571" spans="1:20" x14ac:dyDescent="0.3">
      <c r="A571" s="2">
        <v>10817</v>
      </c>
      <c r="B571" s="2" t="s">
        <v>48</v>
      </c>
      <c r="C571" s="2">
        <v>3</v>
      </c>
      <c r="D571" s="3">
        <v>35801</v>
      </c>
      <c r="E571" t="str">
        <f>VLOOKUP(C571,[1]Employees!$A$1:$O$10,4,FALSE)</f>
        <v>Leverling Janet</v>
      </c>
      <c r="F571">
        <f>VLOOKUP(A571,[1]!Orders,7,FALSE)</f>
        <v>2</v>
      </c>
      <c r="G571" t="str">
        <f>VLOOKUP(F571,[1]!Shippers,2,FALSE)</f>
        <v>United Package</v>
      </c>
      <c r="H571" t="str">
        <f>VLOOKUP(C571,[1]EmployeeTerritories!$A$1:$B$50,2,FALSE)</f>
        <v>30346</v>
      </c>
      <c r="I571">
        <f>VLOOKUP(C571,[1]EmployeeTerritories!$A$1:$B$50,1,FALSE)</f>
        <v>3</v>
      </c>
      <c r="J571">
        <f>VLOOKUP(H571,[1]!Territories,3,FALSE)</f>
        <v>4</v>
      </c>
      <c r="K571" t="str">
        <f>VLOOKUP(J571,[1]!Region,2,FALSE)</f>
        <v>Southern</v>
      </c>
      <c r="L571">
        <f>VLOOKUP(A571,[1]Order_Details!$A$1:$F$2156,2,FALSE)</f>
        <v>26</v>
      </c>
      <c r="M571" t="str">
        <f>VLOOKUP(L571,[1]!Products,2,FALSE)</f>
        <v>Gumbär Gummibärchen</v>
      </c>
      <c r="N571">
        <f>VLOOKUP(L571,[1]!Products,4,FALSE)</f>
        <v>3</v>
      </c>
      <c r="O571" s="6" t="str">
        <f>VLOOKUP(N571,[1]!Categories,2,FALSE)</f>
        <v>Confections</v>
      </c>
      <c r="P571" s="6">
        <f>VLOOKUP(A571,[1]Order_Details!$A$1:$F$2156,3,FALSE)</f>
        <v>31.23</v>
      </c>
      <c r="Q571">
        <f>VLOOKUP(A571,[1]Order_Details!$A$1:$F$2156,4,FALSE)</f>
        <v>40</v>
      </c>
      <c r="R571">
        <f>VLOOKUP(A571,[1]Order_Details!$A$1:$F$2156,5,FALSE)</f>
        <v>0.15000000596046448</v>
      </c>
      <c r="S571" s="6">
        <f>VLOOKUP(A571,[1]Order_Details!$A$1:$F$2156,6,FALSE)</f>
        <v>1061.8199925541878</v>
      </c>
      <c r="T571" s="6">
        <f>VLOOKUP(A571,[1]!Orders,8,FALSE)</f>
        <v>306.07</v>
      </c>
    </row>
    <row r="572" spans="1:20" x14ac:dyDescent="0.3">
      <c r="A572" s="2">
        <v>10818</v>
      </c>
      <c r="B572" s="2" t="s">
        <v>26</v>
      </c>
      <c r="C572" s="2">
        <v>7</v>
      </c>
      <c r="D572" s="3">
        <v>35802</v>
      </c>
      <c r="E572" t="str">
        <f>VLOOKUP(C572,[1]Employees!$A$1:$O$10,4,FALSE)</f>
        <v>King Robert</v>
      </c>
      <c r="F572">
        <f>VLOOKUP(A572,[1]!Orders,7,FALSE)</f>
        <v>3</v>
      </c>
      <c r="G572" t="str">
        <f>VLOOKUP(F572,[1]!Shippers,2,FALSE)</f>
        <v>Federal Shipping</v>
      </c>
      <c r="H572" t="str">
        <f>VLOOKUP(C572,[1]EmployeeTerritories!$A$1:$B$50,2,FALSE)</f>
        <v>60179</v>
      </c>
      <c r="I572">
        <f>VLOOKUP(C572,[1]EmployeeTerritories!$A$1:$B$50,1,FALSE)</f>
        <v>7</v>
      </c>
      <c r="J572">
        <f>VLOOKUP(H572,[1]!Territories,3,FALSE)</f>
        <v>2</v>
      </c>
      <c r="K572" t="str">
        <f>VLOOKUP(J572,[1]!Region,2,FALSE)</f>
        <v>Western</v>
      </c>
      <c r="L572">
        <f>VLOOKUP(A572,[1]Order_Details!$A$1:$F$2156,2,FALSE)</f>
        <v>32</v>
      </c>
      <c r="M572" t="str">
        <f>VLOOKUP(L572,[1]!Products,2,FALSE)</f>
        <v>Mascarpone Fabioli</v>
      </c>
      <c r="N572">
        <f>VLOOKUP(L572,[1]!Products,4,FALSE)</f>
        <v>4</v>
      </c>
      <c r="O572" s="6" t="str">
        <f>VLOOKUP(N572,[1]!Categories,2,FALSE)</f>
        <v>Dairy Products</v>
      </c>
      <c r="P572" s="6">
        <f>VLOOKUP(A572,[1]Order_Details!$A$1:$F$2156,3,FALSE)</f>
        <v>32</v>
      </c>
      <c r="Q572">
        <f>VLOOKUP(A572,[1]Order_Details!$A$1:$F$2156,4,FALSE)</f>
        <v>20</v>
      </c>
      <c r="R572">
        <f>VLOOKUP(A572,[1]Order_Details!$A$1:$F$2156,5,FALSE)</f>
        <v>0</v>
      </c>
      <c r="S572" s="6">
        <f>VLOOKUP(A572,[1]Order_Details!$A$1:$F$2156,6,FALSE)</f>
        <v>640</v>
      </c>
      <c r="T572" s="6">
        <f>VLOOKUP(A572,[1]!Orders,8,FALSE)</f>
        <v>65.48</v>
      </c>
    </row>
    <row r="573" spans="1:20" x14ac:dyDescent="0.3">
      <c r="A573" s="2">
        <v>10819</v>
      </c>
      <c r="B573" s="2" t="s">
        <v>82</v>
      </c>
      <c r="C573" s="2">
        <v>2</v>
      </c>
      <c r="D573" s="3">
        <v>35802</v>
      </c>
      <c r="E573" t="str">
        <f>VLOOKUP(C573,[1]Employees!$A$1:$O$10,4,FALSE)</f>
        <v>Fuller Andrew</v>
      </c>
      <c r="F573">
        <f>VLOOKUP(A573,[1]!Orders,7,FALSE)</f>
        <v>3</v>
      </c>
      <c r="G573" t="str">
        <f>VLOOKUP(F573,[1]!Shippers,2,FALSE)</f>
        <v>Federal Shipping</v>
      </c>
      <c r="H573" t="str">
        <f>VLOOKUP(C573,[1]EmployeeTerritories!$A$1:$B$50,2,FALSE)</f>
        <v>01581</v>
      </c>
      <c r="I573">
        <f>VLOOKUP(C573,[1]EmployeeTerritories!$A$1:$B$50,1,FALSE)</f>
        <v>2</v>
      </c>
      <c r="J573">
        <f>VLOOKUP(H573,[1]!Territories,3,FALSE)</f>
        <v>1</v>
      </c>
      <c r="K573" t="str">
        <f>VLOOKUP(J573,[1]!Region,2,FALSE)</f>
        <v>Eastern</v>
      </c>
      <c r="L573">
        <f>VLOOKUP(A573,[1]Order_Details!$A$1:$F$2156,2,FALSE)</f>
        <v>43</v>
      </c>
      <c r="M573" t="str">
        <f>VLOOKUP(L573,[1]!Products,2,FALSE)</f>
        <v>Ipoh Coffee</v>
      </c>
      <c r="N573">
        <f>VLOOKUP(L573,[1]!Products,4,FALSE)</f>
        <v>1</v>
      </c>
      <c r="O573" s="6" t="str">
        <f>VLOOKUP(N573,[1]!Categories,2,FALSE)</f>
        <v>Beverages</v>
      </c>
      <c r="P573" s="6">
        <f>VLOOKUP(A573,[1]Order_Details!$A$1:$F$2156,3,FALSE)</f>
        <v>46</v>
      </c>
      <c r="Q573">
        <f>VLOOKUP(A573,[1]Order_Details!$A$1:$F$2156,4,FALSE)</f>
        <v>7</v>
      </c>
      <c r="R573">
        <f>VLOOKUP(A573,[1]Order_Details!$A$1:$F$2156,5,FALSE)</f>
        <v>0</v>
      </c>
      <c r="S573" s="6">
        <f>VLOOKUP(A573,[1]Order_Details!$A$1:$F$2156,6,FALSE)</f>
        <v>322</v>
      </c>
      <c r="T573" s="6">
        <f>VLOOKUP(A573,[1]!Orders,8,FALSE)</f>
        <v>19.760000000000002</v>
      </c>
    </row>
    <row r="574" spans="1:20" x14ac:dyDescent="0.3">
      <c r="A574" s="2">
        <v>10820</v>
      </c>
      <c r="B574" s="2" t="s">
        <v>17</v>
      </c>
      <c r="C574" s="2">
        <v>3</v>
      </c>
      <c r="D574" s="3">
        <v>35802</v>
      </c>
      <c r="E574" t="str">
        <f>VLOOKUP(C574,[1]Employees!$A$1:$O$10,4,FALSE)</f>
        <v>Leverling Janet</v>
      </c>
      <c r="F574">
        <f>VLOOKUP(A574,[1]!Orders,7,FALSE)</f>
        <v>2</v>
      </c>
      <c r="G574" t="str">
        <f>VLOOKUP(F574,[1]!Shippers,2,FALSE)</f>
        <v>United Package</v>
      </c>
      <c r="H574" t="str">
        <f>VLOOKUP(C574,[1]EmployeeTerritories!$A$1:$B$50,2,FALSE)</f>
        <v>30346</v>
      </c>
      <c r="I574">
        <f>VLOOKUP(C574,[1]EmployeeTerritories!$A$1:$B$50,1,FALSE)</f>
        <v>3</v>
      </c>
      <c r="J574">
        <f>VLOOKUP(H574,[1]!Territories,3,FALSE)</f>
        <v>4</v>
      </c>
      <c r="K574" t="str">
        <f>VLOOKUP(J574,[1]!Region,2,FALSE)</f>
        <v>Southern</v>
      </c>
      <c r="L574">
        <f>VLOOKUP(A574,[1]Order_Details!$A$1:$F$2156,2,FALSE)</f>
        <v>56</v>
      </c>
      <c r="M574" t="str">
        <f>VLOOKUP(L574,[1]!Products,2,FALSE)</f>
        <v>Gnocchi di nonna Alice</v>
      </c>
      <c r="N574">
        <f>VLOOKUP(L574,[1]!Products,4,FALSE)</f>
        <v>5</v>
      </c>
      <c r="O574" s="6" t="str">
        <f>VLOOKUP(N574,[1]!Categories,2,FALSE)</f>
        <v>Grains/Cereals</v>
      </c>
      <c r="P574" s="6">
        <f>VLOOKUP(A574,[1]Order_Details!$A$1:$F$2156,3,FALSE)</f>
        <v>38</v>
      </c>
      <c r="Q574">
        <f>VLOOKUP(A574,[1]Order_Details!$A$1:$F$2156,4,FALSE)</f>
        <v>30</v>
      </c>
      <c r="R574">
        <f>VLOOKUP(A574,[1]Order_Details!$A$1:$F$2156,5,FALSE)</f>
        <v>0</v>
      </c>
      <c r="S574" s="6">
        <f>VLOOKUP(A574,[1]Order_Details!$A$1:$F$2156,6,FALSE)</f>
        <v>1140</v>
      </c>
      <c r="T574" s="6">
        <f>VLOOKUP(A574,[1]!Orders,8,FALSE)</f>
        <v>37.520000000000003</v>
      </c>
    </row>
    <row r="575" spans="1:20" x14ac:dyDescent="0.3">
      <c r="A575" s="2">
        <v>10821</v>
      </c>
      <c r="B575" s="2" t="s">
        <v>24</v>
      </c>
      <c r="C575" s="2">
        <v>1</v>
      </c>
      <c r="D575" s="3">
        <v>35803</v>
      </c>
      <c r="E575" t="str">
        <f>VLOOKUP(C575,[1]Employees!$A$1:$O$10,4,FALSE)</f>
        <v>Davolio Nancy</v>
      </c>
      <c r="F575">
        <f>VLOOKUP(A575,[1]!Orders,7,FALSE)</f>
        <v>1</v>
      </c>
      <c r="G575" t="str">
        <f>VLOOKUP(F575,[1]!Shippers,2,FALSE)</f>
        <v>Speedy Express</v>
      </c>
      <c r="H575" t="str">
        <f>VLOOKUP(C575,[1]EmployeeTerritories!$A$1:$B$50,2,FALSE)</f>
        <v>06897</v>
      </c>
      <c r="I575">
        <f>VLOOKUP(C575,[1]EmployeeTerritories!$A$1:$B$50,1,FALSE)</f>
        <v>1</v>
      </c>
      <c r="J575">
        <f>VLOOKUP(H575,[1]!Territories,3,FALSE)</f>
        <v>1</v>
      </c>
      <c r="K575" t="str">
        <f>VLOOKUP(J575,[1]!Region,2,FALSE)</f>
        <v>Eastern</v>
      </c>
      <c r="L575">
        <f>VLOOKUP(A575,[1]Order_Details!$A$1:$F$2156,2,FALSE)</f>
        <v>35</v>
      </c>
      <c r="M575" t="str">
        <f>VLOOKUP(L575,[1]!Products,2,FALSE)</f>
        <v>Steeleye Stout</v>
      </c>
      <c r="N575">
        <f>VLOOKUP(L575,[1]!Products,4,FALSE)</f>
        <v>1</v>
      </c>
      <c r="O575" s="6" t="str">
        <f>VLOOKUP(N575,[1]!Categories,2,FALSE)</f>
        <v>Beverages</v>
      </c>
      <c r="P575" s="6">
        <f>VLOOKUP(A575,[1]Order_Details!$A$1:$F$2156,3,FALSE)</f>
        <v>18</v>
      </c>
      <c r="Q575">
        <f>VLOOKUP(A575,[1]Order_Details!$A$1:$F$2156,4,FALSE)</f>
        <v>20</v>
      </c>
      <c r="R575">
        <f>VLOOKUP(A575,[1]Order_Details!$A$1:$F$2156,5,FALSE)</f>
        <v>0</v>
      </c>
      <c r="S575" s="6">
        <f>VLOOKUP(A575,[1]Order_Details!$A$1:$F$2156,6,FALSE)</f>
        <v>360</v>
      </c>
      <c r="T575" s="6">
        <f>VLOOKUP(A575,[1]!Orders,8,FALSE)</f>
        <v>36.68</v>
      </c>
    </row>
    <row r="576" spans="1:20" x14ac:dyDescent="0.3">
      <c r="A576" s="2">
        <v>10822</v>
      </c>
      <c r="B576" s="2" t="s">
        <v>85</v>
      </c>
      <c r="C576" s="2">
        <v>6</v>
      </c>
      <c r="D576" s="3">
        <v>35803</v>
      </c>
      <c r="E576" t="str">
        <f>VLOOKUP(C576,[1]Employees!$A$1:$O$10,4,FALSE)</f>
        <v>Suyama Michael</v>
      </c>
      <c r="F576">
        <f>VLOOKUP(A576,[1]!Orders,7,FALSE)</f>
        <v>3</v>
      </c>
      <c r="G576" t="str">
        <f>VLOOKUP(F576,[1]!Shippers,2,FALSE)</f>
        <v>Federal Shipping</v>
      </c>
      <c r="H576" t="str">
        <f>VLOOKUP(C576,[1]EmployeeTerritories!$A$1:$B$50,2,FALSE)</f>
        <v>85014</v>
      </c>
      <c r="I576">
        <f>VLOOKUP(C576,[1]EmployeeTerritories!$A$1:$B$50,1,FALSE)</f>
        <v>6</v>
      </c>
      <c r="J576">
        <f>VLOOKUP(H576,[1]!Territories,3,FALSE)</f>
        <v>2</v>
      </c>
      <c r="K576" t="str">
        <f>VLOOKUP(J576,[1]!Region,2,FALSE)</f>
        <v>Western</v>
      </c>
      <c r="L576">
        <f>VLOOKUP(A576,[1]Order_Details!$A$1:$F$2156,2,FALSE)</f>
        <v>62</v>
      </c>
      <c r="M576" t="str">
        <f>VLOOKUP(L576,[1]!Products,2,FALSE)</f>
        <v>Tarte au sucre</v>
      </c>
      <c r="N576">
        <f>VLOOKUP(L576,[1]!Products,4,FALSE)</f>
        <v>3</v>
      </c>
      <c r="O576" s="6" t="str">
        <f>VLOOKUP(N576,[1]!Categories,2,FALSE)</f>
        <v>Confections</v>
      </c>
      <c r="P576" s="6">
        <f>VLOOKUP(A576,[1]Order_Details!$A$1:$F$2156,3,FALSE)</f>
        <v>49.3</v>
      </c>
      <c r="Q576">
        <f>VLOOKUP(A576,[1]Order_Details!$A$1:$F$2156,4,FALSE)</f>
        <v>3</v>
      </c>
      <c r="R576">
        <f>VLOOKUP(A576,[1]Order_Details!$A$1:$F$2156,5,FALSE)</f>
        <v>0</v>
      </c>
      <c r="S576" s="6">
        <f>VLOOKUP(A576,[1]Order_Details!$A$1:$F$2156,6,FALSE)</f>
        <v>147.89999999999998</v>
      </c>
      <c r="T576" s="6">
        <f>VLOOKUP(A576,[1]!Orders,8,FALSE)</f>
        <v>7</v>
      </c>
    </row>
    <row r="577" spans="1:20" x14ac:dyDescent="0.3">
      <c r="A577" s="2">
        <v>10823</v>
      </c>
      <c r="B577" s="2" t="s">
        <v>32</v>
      </c>
      <c r="C577" s="2">
        <v>5</v>
      </c>
      <c r="D577" s="3">
        <v>35804</v>
      </c>
      <c r="E577" t="str">
        <f>VLOOKUP(C577,[1]Employees!$A$1:$O$10,4,FALSE)</f>
        <v>Buchanan Steven</v>
      </c>
      <c r="F577">
        <f>VLOOKUP(A577,[1]!Orders,7,FALSE)</f>
        <v>2</v>
      </c>
      <c r="G577" t="str">
        <f>VLOOKUP(F577,[1]!Shippers,2,FALSE)</f>
        <v>United Package</v>
      </c>
      <c r="H577" t="str">
        <f>VLOOKUP(C577,[1]EmployeeTerritories!$A$1:$B$50,2,FALSE)</f>
        <v>02903</v>
      </c>
      <c r="I577">
        <f>VLOOKUP(C577,[1]EmployeeTerritories!$A$1:$B$50,1,FALSE)</f>
        <v>5</v>
      </c>
      <c r="J577">
        <f>VLOOKUP(H577,[1]!Territories,3,FALSE)</f>
        <v>1</v>
      </c>
      <c r="K577" t="str">
        <f>VLOOKUP(J577,[1]!Region,2,FALSE)</f>
        <v>Eastern</v>
      </c>
      <c r="L577">
        <f>VLOOKUP(A577,[1]Order_Details!$A$1:$F$2156,2,FALSE)</f>
        <v>11</v>
      </c>
      <c r="M577" t="str">
        <f>VLOOKUP(L577,[1]!Products,2,FALSE)</f>
        <v>Queso Cabrales</v>
      </c>
      <c r="N577">
        <f>VLOOKUP(L577,[1]!Products,4,FALSE)</f>
        <v>4</v>
      </c>
      <c r="O577" s="6" t="str">
        <f>VLOOKUP(N577,[1]!Categories,2,FALSE)</f>
        <v>Dairy Products</v>
      </c>
      <c r="P577" s="6">
        <f>VLOOKUP(A577,[1]Order_Details!$A$1:$F$2156,3,FALSE)</f>
        <v>21</v>
      </c>
      <c r="Q577">
        <f>VLOOKUP(A577,[1]Order_Details!$A$1:$F$2156,4,FALSE)</f>
        <v>20</v>
      </c>
      <c r="R577">
        <f>VLOOKUP(A577,[1]Order_Details!$A$1:$F$2156,5,FALSE)</f>
        <v>0.10000000149011612</v>
      </c>
      <c r="S577" s="6">
        <f>VLOOKUP(A577,[1]Order_Details!$A$1:$F$2156,6,FALSE)</f>
        <v>377.99999937415123</v>
      </c>
      <c r="T577" s="6">
        <f>VLOOKUP(A577,[1]!Orders,8,FALSE)</f>
        <v>163.97</v>
      </c>
    </row>
    <row r="578" spans="1:20" x14ac:dyDescent="0.3">
      <c r="A578" s="2">
        <v>10824</v>
      </c>
      <c r="B578" s="2" t="s">
        <v>18</v>
      </c>
      <c r="C578" s="2">
        <v>8</v>
      </c>
      <c r="D578" s="3">
        <v>35804</v>
      </c>
      <c r="E578" t="str">
        <f>VLOOKUP(C578,[1]Employees!$A$1:$O$10,4,FALSE)</f>
        <v>Callahan Laura</v>
      </c>
      <c r="F578">
        <f>VLOOKUP(A578,[1]!Orders,7,FALSE)</f>
        <v>1</v>
      </c>
      <c r="G578" t="str">
        <f>VLOOKUP(F578,[1]!Shippers,2,FALSE)</f>
        <v>Speedy Express</v>
      </c>
      <c r="H578" t="str">
        <f>VLOOKUP(C578,[1]EmployeeTerritories!$A$1:$B$50,2,FALSE)</f>
        <v>19428</v>
      </c>
      <c r="I578">
        <f>VLOOKUP(C578,[1]EmployeeTerritories!$A$1:$B$50,1,FALSE)</f>
        <v>8</v>
      </c>
      <c r="J578">
        <f>VLOOKUP(H578,[1]!Territories,3,FALSE)</f>
        <v>3</v>
      </c>
      <c r="K578" t="str">
        <f>VLOOKUP(J578,[1]!Region,2,FALSE)</f>
        <v>Northern</v>
      </c>
      <c r="L578">
        <f>VLOOKUP(A578,[1]Order_Details!$A$1:$F$2156,2,FALSE)</f>
        <v>41</v>
      </c>
      <c r="M578" t="str">
        <f>VLOOKUP(L578,[1]!Products,2,FALSE)</f>
        <v>Jack's New England Clam Chowder</v>
      </c>
      <c r="N578">
        <f>VLOOKUP(L578,[1]!Products,4,FALSE)</f>
        <v>8</v>
      </c>
      <c r="O578" s="6" t="str">
        <f>VLOOKUP(N578,[1]!Categories,2,FALSE)</f>
        <v>Seafood</v>
      </c>
      <c r="P578" s="6">
        <f>VLOOKUP(A578,[1]Order_Details!$A$1:$F$2156,3,FALSE)</f>
        <v>9.65</v>
      </c>
      <c r="Q578">
        <f>VLOOKUP(A578,[1]Order_Details!$A$1:$F$2156,4,FALSE)</f>
        <v>12</v>
      </c>
      <c r="R578">
        <f>VLOOKUP(A578,[1]Order_Details!$A$1:$F$2156,5,FALSE)</f>
        <v>0</v>
      </c>
      <c r="S578" s="6">
        <f>VLOOKUP(A578,[1]Order_Details!$A$1:$F$2156,6,FALSE)</f>
        <v>115.80000000000001</v>
      </c>
      <c r="T578" s="6">
        <f>VLOOKUP(A578,[1]!Orders,8,FALSE)</f>
        <v>1.23</v>
      </c>
    </row>
    <row r="579" spans="1:20" x14ac:dyDescent="0.3">
      <c r="A579" s="2">
        <v>10825</v>
      </c>
      <c r="B579" s="2" t="s">
        <v>61</v>
      </c>
      <c r="C579" s="2">
        <v>1</v>
      </c>
      <c r="D579" s="3">
        <v>35804</v>
      </c>
      <c r="E579" t="str">
        <f>VLOOKUP(C579,[1]Employees!$A$1:$O$10,4,FALSE)</f>
        <v>Davolio Nancy</v>
      </c>
      <c r="F579">
        <f>VLOOKUP(A579,[1]!Orders,7,FALSE)</f>
        <v>1</v>
      </c>
      <c r="G579" t="str">
        <f>VLOOKUP(F579,[1]!Shippers,2,FALSE)</f>
        <v>Speedy Express</v>
      </c>
      <c r="H579" t="str">
        <f>VLOOKUP(C579,[1]EmployeeTerritories!$A$1:$B$50,2,FALSE)</f>
        <v>06897</v>
      </c>
      <c r="I579">
        <f>VLOOKUP(C579,[1]EmployeeTerritories!$A$1:$B$50,1,FALSE)</f>
        <v>1</v>
      </c>
      <c r="J579">
        <f>VLOOKUP(H579,[1]!Territories,3,FALSE)</f>
        <v>1</v>
      </c>
      <c r="K579" t="str">
        <f>VLOOKUP(J579,[1]!Region,2,FALSE)</f>
        <v>Eastern</v>
      </c>
      <c r="L579">
        <f>VLOOKUP(A579,[1]Order_Details!$A$1:$F$2156,2,FALSE)</f>
        <v>26</v>
      </c>
      <c r="M579" t="str">
        <f>VLOOKUP(L579,[1]!Products,2,FALSE)</f>
        <v>Gumbär Gummibärchen</v>
      </c>
      <c r="N579">
        <f>VLOOKUP(L579,[1]!Products,4,FALSE)</f>
        <v>3</v>
      </c>
      <c r="O579" s="6" t="str">
        <f>VLOOKUP(N579,[1]!Categories,2,FALSE)</f>
        <v>Confections</v>
      </c>
      <c r="P579" s="6">
        <f>VLOOKUP(A579,[1]Order_Details!$A$1:$F$2156,3,FALSE)</f>
        <v>31.23</v>
      </c>
      <c r="Q579">
        <f>VLOOKUP(A579,[1]Order_Details!$A$1:$F$2156,4,FALSE)</f>
        <v>12</v>
      </c>
      <c r="R579">
        <f>VLOOKUP(A579,[1]Order_Details!$A$1:$F$2156,5,FALSE)</f>
        <v>0</v>
      </c>
      <c r="S579" s="6">
        <f>VLOOKUP(A579,[1]Order_Details!$A$1:$F$2156,6,FALSE)</f>
        <v>374.76</v>
      </c>
      <c r="T579" s="6">
        <f>VLOOKUP(A579,[1]!Orders,8,FALSE)</f>
        <v>79.25</v>
      </c>
    </row>
    <row r="580" spans="1:20" x14ac:dyDescent="0.3">
      <c r="A580" s="2">
        <v>10826</v>
      </c>
      <c r="B580" s="2" t="s">
        <v>19</v>
      </c>
      <c r="C580" s="2">
        <v>6</v>
      </c>
      <c r="D580" s="3">
        <v>35807</v>
      </c>
      <c r="E580" t="str">
        <f>VLOOKUP(C580,[1]Employees!$A$1:$O$10,4,FALSE)</f>
        <v>Suyama Michael</v>
      </c>
      <c r="F580">
        <f>VLOOKUP(A580,[1]!Orders,7,FALSE)</f>
        <v>1</v>
      </c>
      <c r="G580" t="str">
        <f>VLOOKUP(F580,[1]!Shippers,2,FALSE)</f>
        <v>Speedy Express</v>
      </c>
      <c r="H580" t="str">
        <f>VLOOKUP(C580,[1]EmployeeTerritories!$A$1:$B$50,2,FALSE)</f>
        <v>85014</v>
      </c>
      <c r="I580">
        <f>VLOOKUP(C580,[1]EmployeeTerritories!$A$1:$B$50,1,FALSE)</f>
        <v>6</v>
      </c>
      <c r="J580">
        <f>VLOOKUP(H580,[1]!Territories,3,FALSE)</f>
        <v>2</v>
      </c>
      <c r="K580" t="str">
        <f>VLOOKUP(J580,[1]!Region,2,FALSE)</f>
        <v>Western</v>
      </c>
      <c r="L580">
        <f>VLOOKUP(A580,[1]Order_Details!$A$1:$F$2156,2,FALSE)</f>
        <v>31</v>
      </c>
      <c r="M580" t="str">
        <f>VLOOKUP(L580,[1]!Products,2,FALSE)</f>
        <v>Gorgonzola Telino</v>
      </c>
      <c r="N580">
        <f>VLOOKUP(L580,[1]!Products,4,FALSE)</f>
        <v>4</v>
      </c>
      <c r="O580" s="6" t="str">
        <f>VLOOKUP(N580,[1]!Categories,2,FALSE)</f>
        <v>Dairy Products</v>
      </c>
      <c r="P580" s="6">
        <f>VLOOKUP(A580,[1]Order_Details!$A$1:$F$2156,3,FALSE)</f>
        <v>12.5</v>
      </c>
      <c r="Q580">
        <f>VLOOKUP(A580,[1]Order_Details!$A$1:$F$2156,4,FALSE)</f>
        <v>35</v>
      </c>
      <c r="R580">
        <f>VLOOKUP(A580,[1]Order_Details!$A$1:$F$2156,5,FALSE)</f>
        <v>0</v>
      </c>
      <c r="S580" s="6">
        <f>VLOOKUP(A580,[1]Order_Details!$A$1:$F$2156,6,FALSE)</f>
        <v>437.5</v>
      </c>
      <c r="T580" s="6">
        <f>VLOOKUP(A580,[1]!Orders,8,FALSE)</f>
        <v>7.09</v>
      </c>
    </row>
    <row r="581" spans="1:20" x14ac:dyDescent="0.3">
      <c r="A581" s="2">
        <v>10827</v>
      </c>
      <c r="B581" s="2" t="s">
        <v>52</v>
      </c>
      <c r="C581" s="2">
        <v>1</v>
      </c>
      <c r="D581" s="3">
        <v>35807</v>
      </c>
      <c r="E581" t="str">
        <f>VLOOKUP(C581,[1]Employees!$A$1:$O$10,4,FALSE)</f>
        <v>Davolio Nancy</v>
      </c>
      <c r="F581">
        <f>VLOOKUP(A581,[1]!Orders,7,FALSE)</f>
        <v>2</v>
      </c>
      <c r="G581" t="str">
        <f>VLOOKUP(F581,[1]!Shippers,2,FALSE)</f>
        <v>United Package</v>
      </c>
      <c r="H581" t="str">
        <f>VLOOKUP(C581,[1]EmployeeTerritories!$A$1:$B$50,2,FALSE)</f>
        <v>06897</v>
      </c>
      <c r="I581">
        <f>VLOOKUP(C581,[1]EmployeeTerritories!$A$1:$B$50,1,FALSE)</f>
        <v>1</v>
      </c>
      <c r="J581">
        <f>VLOOKUP(H581,[1]!Territories,3,FALSE)</f>
        <v>1</v>
      </c>
      <c r="K581" t="str">
        <f>VLOOKUP(J581,[1]!Region,2,FALSE)</f>
        <v>Eastern</v>
      </c>
      <c r="L581">
        <f>VLOOKUP(A581,[1]Order_Details!$A$1:$F$2156,2,FALSE)</f>
        <v>10</v>
      </c>
      <c r="M581" t="str">
        <f>VLOOKUP(L581,[1]!Products,2,FALSE)</f>
        <v>Ikura</v>
      </c>
      <c r="N581">
        <f>VLOOKUP(L581,[1]!Products,4,FALSE)</f>
        <v>8</v>
      </c>
      <c r="O581" s="6" t="str">
        <f>VLOOKUP(N581,[1]!Categories,2,FALSE)</f>
        <v>Seafood</v>
      </c>
      <c r="P581" s="6">
        <f>VLOOKUP(A581,[1]Order_Details!$A$1:$F$2156,3,FALSE)</f>
        <v>31</v>
      </c>
      <c r="Q581">
        <f>VLOOKUP(A581,[1]Order_Details!$A$1:$F$2156,4,FALSE)</f>
        <v>15</v>
      </c>
      <c r="R581">
        <f>VLOOKUP(A581,[1]Order_Details!$A$1:$F$2156,5,FALSE)</f>
        <v>0</v>
      </c>
      <c r="S581" s="6">
        <f>VLOOKUP(A581,[1]Order_Details!$A$1:$F$2156,6,FALSE)</f>
        <v>465</v>
      </c>
      <c r="T581" s="6">
        <f>VLOOKUP(A581,[1]!Orders,8,FALSE)</f>
        <v>63.54</v>
      </c>
    </row>
    <row r="582" spans="1:20" x14ac:dyDescent="0.3">
      <c r="A582" s="2">
        <v>10828</v>
      </c>
      <c r="B582" s="2" t="s">
        <v>77</v>
      </c>
      <c r="C582" s="2">
        <v>9</v>
      </c>
      <c r="D582" s="3">
        <v>35808</v>
      </c>
      <c r="E582" t="str">
        <f>VLOOKUP(C582,[1]Employees!$A$1:$O$10,4,FALSE)</f>
        <v>Dodsworth Anne</v>
      </c>
      <c r="F582">
        <f>VLOOKUP(A582,[1]!Orders,7,FALSE)</f>
        <v>1</v>
      </c>
      <c r="G582" t="str">
        <f>VLOOKUP(F582,[1]!Shippers,2,FALSE)</f>
        <v>Speedy Express</v>
      </c>
      <c r="H582" t="str">
        <f>VLOOKUP(C582,[1]EmployeeTerritories!$A$1:$B$50,2,FALSE)</f>
        <v>03049</v>
      </c>
      <c r="I582">
        <f>VLOOKUP(C582,[1]EmployeeTerritories!$A$1:$B$50,1,FALSE)</f>
        <v>9</v>
      </c>
      <c r="J582">
        <f>VLOOKUP(H582,[1]!Territories,3,FALSE)</f>
        <v>3</v>
      </c>
      <c r="K582" t="str">
        <f>VLOOKUP(J582,[1]!Region,2,FALSE)</f>
        <v>Northern</v>
      </c>
      <c r="L582">
        <f>VLOOKUP(A582,[1]Order_Details!$A$1:$F$2156,2,FALSE)</f>
        <v>20</v>
      </c>
      <c r="M582" t="str">
        <f>VLOOKUP(L582,[1]!Products,2,FALSE)</f>
        <v>Sir Rodney's Marmalade</v>
      </c>
      <c r="N582">
        <f>VLOOKUP(L582,[1]!Products,4,FALSE)</f>
        <v>3</v>
      </c>
      <c r="O582" s="6" t="str">
        <f>VLOOKUP(N582,[1]!Categories,2,FALSE)</f>
        <v>Confections</v>
      </c>
      <c r="P582" s="6">
        <f>VLOOKUP(A582,[1]Order_Details!$A$1:$F$2156,3,FALSE)</f>
        <v>81</v>
      </c>
      <c r="Q582">
        <f>VLOOKUP(A582,[1]Order_Details!$A$1:$F$2156,4,FALSE)</f>
        <v>5</v>
      </c>
      <c r="R582">
        <f>VLOOKUP(A582,[1]Order_Details!$A$1:$F$2156,5,FALSE)</f>
        <v>0</v>
      </c>
      <c r="S582" s="6">
        <f>VLOOKUP(A582,[1]Order_Details!$A$1:$F$2156,6,FALSE)</f>
        <v>405</v>
      </c>
      <c r="T582" s="6">
        <f>VLOOKUP(A582,[1]!Orders,8,FALSE)</f>
        <v>90.85</v>
      </c>
    </row>
    <row r="583" spans="1:20" x14ac:dyDescent="0.3">
      <c r="A583" s="2">
        <v>10829</v>
      </c>
      <c r="B583" s="2" t="s">
        <v>46</v>
      </c>
      <c r="C583" s="2">
        <v>9</v>
      </c>
      <c r="D583" s="3">
        <v>35808</v>
      </c>
      <c r="E583" t="str">
        <f>VLOOKUP(C583,[1]Employees!$A$1:$O$10,4,FALSE)</f>
        <v>Dodsworth Anne</v>
      </c>
      <c r="F583">
        <f>VLOOKUP(A583,[1]!Orders,7,FALSE)</f>
        <v>1</v>
      </c>
      <c r="G583" t="str">
        <f>VLOOKUP(F583,[1]!Shippers,2,FALSE)</f>
        <v>Speedy Express</v>
      </c>
      <c r="H583" t="str">
        <f>VLOOKUP(C583,[1]EmployeeTerritories!$A$1:$B$50,2,FALSE)</f>
        <v>03049</v>
      </c>
      <c r="I583">
        <f>VLOOKUP(C583,[1]EmployeeTerritories!$A$1:$B$50,1,FALSE)</f>
        <v>9</v>
      </c>
      <c r="J583">
        <f>VLOOKUP(H583,[1]!Territories,3,FALSE)</f>
        <v>3</v>
      </c>
      <c r="K583" t="str">
        <f>VLOOKUP(J583,[1]!Region,2,FALSE)</f>
        <v>Northern</v>
      </c>
      <c r="L583">
        <f>VLOOKUP(A583,[1]Order_Details!$A$1:$F$2156,2,FALSE)</f>
        <v>2</v>
      </c>
      <c r="M583" t="str">
        <f>VLOOKUP(L583,[1]!Products,2,FALSE)</f>
        <v>Chang</v>
      </c>
      <c r="N583">
        <f>VLOOKUP(L583,[1]!Products,4,FALSE)</f>
        <v>1</v>
      </c>
      <c r="O583" s="6" t="str">
        <f>VLOOKUP(N583,[1]!Categories,2,FALSE)</f>
        <v>Beverages</v>
      </c>
      <c r="P583" s="6">
        <f>VLOOKUP(A583,[1]Order_Details!$A$1:$F$2156,3,FALSE)</f>
        <v>19</v>
      </c>
      <c r="Q583">
        <f>VLOOKUP(A583,[1]Order_Details!$A$1:$F$2156,4,FALSE)</f>
        <v>10</v>
      </c>
      <c r="R583">
        <f>VLOOKUP(A583,[1]Order_Details!$A$1:$F$2156,5,FALSE)</f>
        <v>0</v>
      </c>
      <c r="S583" s="6">
        <f>VLOOKUP(A583,[1]Order_Details!$A$1:$F$2156,6,FALSE)</f>
        <v>190</v>
      </c>
      <c r="T583" s="6">
        <f>VLOOKUP(A583,[1]!Orders,8,FALSE)</f>
        <v>154.72</v>
      </c>
    </row>
    <row r="584" spans="1:20" x14ac:dyDescent="0.3">
      <c r="A584" s="2">
        <v>10830</v>
      </c>
      <c r="B584" s="2" t="s">
        <v>37</v>
      </c>
      <c r="C584" s="2">
        <v>4</v>
      </c>
      <c r="D584" s="3">
        <v>35808</v>
      </c>
      <c r="E584" t="str">
        <f>VLOOKUP(C584,[1]Employees!$A$1:$O$10,4,FALSE)</f>
        <v>Peacock Margaret</v>
      </c>
      <c r="F584">
        <f>VLOOKUP(A584,[1]!Orders,7,FALSE)</f>
        <v>2</v>
      </c>
      <c r="G584" t="str">
        <f>VLOOKUP(F584,[1]!Shippers,2,FALSE)</f>
        <v>United Package</v>
      </c>
      <c r="H584" t="str">
        <f>VLOOKUP(C584,[1]EmployeeTerritories!$A$1:$B$50,2,FALSE)</f>
        <v>20852</v>
      </c>
      <c r="I584">
        <f>VLOOKUP(C584,[1]EmployeeTerritories!$A$1:$B$50,1,FALSE)</f>
        <v>4</v>
      </c>
      <c r="J584">
        <f>VLOOKUP(H584,[1]!Territories,3,FALSE)</f>
        <v>1</v>
      </c>
      <c r="K584" t="str">
        <f>VLOOKUP(J584,[1]!Region,2,FALSE)</f>
        <v>Eastern</v>
      </c>
      <c r="L584">
        <f>VLOOKUP(A584,[1]Order_Details!$A$1:$F$2156,2,FALSE)</f>
        <v>6</v>
      </c>
      <c r="M584" t="str">
        <f>VLOOKUP(L584,[1]!Products,2,FALSE)</f>
        <v>Grandma's Boysenberry Spread</v>
      </c>
      <c r="N584">
        <f>VLOOKUP(L584,[1]!Products,4,FALSE)</f>
        <v>2</v>
      </c>
      <c r="O584" s="6" t="str">
        <f>VLOOKUP(N584,[1]!Categories,2,FALSE)</f>
        <v>Condiments</v>
      </c>
      <c r="P584" s="6">
        <f>VLOOKUP(A584,[1]Order_Details!$A$1:$F$2156,3,FALSE)</f>
        <v>25</v>
      </c>
      <c r="Q584">
        <f>VLOOKUP(A584,[1]Order_Details!$A$1:$F$2156,4,FALSE)</f>
        <v>6</v>
      </c>
      <c r="R584">
        <f>VLOOKUP(A584,[1]Order_Details!$A$1:$F$2156,5,FALSE)</f>
        <v>0</v>
      </c>
      <c r="S584" s="6">
        <f>VLOOKUP(A584,[1]Order_Details!$A$1:$F$2156,6,FALSE)</f>
        <v>150</v>
      </c>
      <c r="T584" s="6">
        <f>VLOOKUP(A584,[1]!Orders,8,FALSE)</f>
        <v>81.83</v>
      </c>
    </row>
    <row r="585" spans="1:20" x14ac:dyDescent="0.3">
      <c r="A585" s="2">
        <v>10831</v>
      </c>
      <c r="B585" s="2" t="s">
        <v>69</v>
      </c>
      <c r="C585" s="2">
        <v>3</v>
      </c>
      <c r="D585" s="3">
        <v>35809</v>
      </c>
      <c r="E585" t="str">
        <f>VLOOKUP(C585,[1]Employees!$A$1:$O$10,4,FALSE)</f>
        <v>Leverling Janet</v>
      </c>
      <c r="F585">
        <f>VLOOKUP(A585,[1]!Orders,7,FALSE)</f>
        <v>2</v>
      </c>
      <c r="G585" t="str">
        <f>VLOOKUP(F585,[1]!Shippers,2,FALSE)</f>
        <v>United Package</v>
      </c>
      <c r="H585" t="str">
        <f>VLOOKUP(C585,[1]EmployeeTerritories!$A$1:$B$50,2,FALSE)</f>
        <v>30346</v>
      </c>
      <c r="I585">
        <f>VLOOKUP(C585,[1]EmployeeTerritories!$A$1:$B$50,1,FALSE)</f>
        <v>3</v>
      </c>
      <c r="J585">
        <f>VLOOKUP(H585,[1]!Territories,3,FALSE)</f>
        <v>4</v>
      </c>
      <c r="K585" t="str">
        <f>VLOOKUP(J585,[1]!Region,2,FALSE)</f>
        <v>Southern</v>
      </c>
      <c r="L585">
        <f>VLOOKUP(A585,[1]Order_Details!$A$1:$F$2156,2,FALSE)</f>
        <v>19</v>
      </c>
      <c r="M585" t="str">
        <f>VLOOKUP(L585,[1]!Products,2,FALSE)</f>
        <v>Teatime Chocolate Biscuits</v>
      </c>
      <c r="N585">
        <f>VLOOKUP(L585,[1]!Products,4,FALSE)</f>
        <v>3</v>
      </c>
      <c r="O585" s="6" t="str">
        <f>VLOOKUP(N585,[1]!Categories,2,FALSE)</f>
        <v>Confections</v>
      </c>
      <c r="P585" s="6">
        <f>VLOOKUP(A585,[1]Order_Details!$A$1:$F$2156,3,FALSE)</f>
        <v>9.1999999999999993</v>
      </c>
      <c r="Q585">
        <f>VLOOKUP(A585,[1]Order_Details!$A$1:$F$2156,4,FALSE)</f>
        <v>2</v>
      </c>
      <c r="R585">
        <f>VLOOKUP(A585,[1]Order_Details!$A$1:$F$2156,5,FALSE)</f>
        <v>0</v>
      </c>
      <c r="S585" s="6">
        <f>VLOOKUP(A585,[1]Order_Details!$A$1:$F$2156,6,FALSE)</f>
        <v>18.399999999999999</v>
      </c>
      <c r="T585" s="6">
        <f>VLOOKUP(A585,[1]!Orders,8,FALSE)</f>
        <v>72.19</v>
      </c>
    </row>
    <row r="586" spans="1:20" x14ac:dyDescent="0.3">
      <c r="A586" s="2">
        <v>10832</v>
      </c>
      <c r="B586" s="2" t="s">
        <v>57</v>
      </c>
      <c r="C586" s="2">
        <v>2</v>
      </c>
      <c r="D586" s="3">
        <v>35809</v>
      </c>
      <c r="E586" t="str">
        <f>VLOOKUP(C586,[1]Employees!$A$1:$O$10,4,FALSE)</f>
        <v>Fuller Andrew</v>
      </c>
      <c r="F586">
        <f>VLOOKUP(A586,[1]!Orders,7,FALSE)</f>
        <v>2</v>
      </c>
      <c r="G586" t="str">
        <f>VLOOKUP(F586,[1]!Shippers,2,FALSE)</f>
        <v>United Package</v>
      </c>
      <c r="H586" t="str">
        <f>VLOOKUP(C586,[1]EmployeeTerritories!$A$1:$B$50,2,FALSE)</f>
        <v>01581</v>
      </c>
      <c r="I586">
        <f>VLOOKUP(C586,[1]EmployeeTerritories!$A$1:$B$50,1,FALSE)</f>
        <v>2</v>
      </c>
      <c r="J586">
        <f>VLOOKUP(H586,[1]!Territories,3,FALSE)</f>
        <v>1</v>
      </c>
      <c r="K586" t="str">
        <f>VLOOKUP(J586,[1]!Region,2,FALSE)</f>
        <v>Eastern</v>
      </c>
      <c r="L586">
        <f>VLOOKUP(A586,[1]Order_Details!$A$1:$F$2156,2,FALSE)</f>
        <v>13</v>
      </c>
      <c r="M586" t="str">
        <f>VLOOKUP(L586,[1]!Products,2,FALSE)</f>
        <v>Konbu</v>
      </c>
      <c r="N586">
        <f>VLOOKUP(L586,[1]!Products,4,FALSE)</f>
        <v>8</v>
      </c>
      <c r="O586" s="6" t="str">
        <f>VLOOKUP(N586,[1]!Categories,2,FALSE)</f>
        <v>Seafood</v>
      </c>
      <c r="P586" s="6">
        <f>VLOOKUP(A586,[1]Order_Details!$A$1:$F$2156,3,FALSE)</f>
        <v>6</v>
      </c>
      <c r="Q586">
        <f>VLOOKUP(A586,[1]Order_Details!$A$1:$F$2156,4,FALSE)</f>
        <v>3</v>
      </c>
      <c r="R586">
        <f>VLOOKUP(A586,[1]Order_Details!$A$1:$F$2156,5,FALSE)</f>
        <v>0.20000000298023224</v>
      </c>
      <c r="S586" s="6">
        <f>VLOOKUP(A586,[1]Order_Details!$A$1:$F$2156,6,FALSE)</f>
        <v>14.39999994635582</v>
      </c>
      <c r="T586" s="6">
        <f>VLOOKUP(A586,[1]!Orders,8,FALSE)</f>
        <v>43.26</v>
      </c>
    </row>
    <row r="587" spans="1:20" x14ac:dyDescent="0.3">
      <c r="A587" s="2">
        <v>10833</v>
      </c>
      <c r="B587" s="2" t="s">
        <v>15</v>
      </c>
      <c r="C587" s="2">
        <v>6</v>
      </c>
      <c r="D587" s="3">
        <v>35810</v>
      </c>
      <c r="E587" t="str">
        <f>VLOOKUP(C587,[1]Employees!$A$1:$O$10,4,FALSE)</f>
        <v>Suyama Michael</v>
      </c>
      <c r="F587">
        <f>VLOOKUP(A587,[1]!Orders,7,FALSE)</f>
        <v>2</v>
      </c>
      <c r="G587" t="str">
        <f>VLOOKUP(F587,[1]!Shippers,2,FALSE)</f>
        <v>United Package</v>
      </c>
      <c r="H587" t="str">
        <f>VLOOKUP(C587,[1]EmployeeTerritories!$A$1:$B$50,2,FALSE)</f>
        <v>85014</v>
      </c>
      <c r="I587">
        <f>VLOOKUP(C587,[1]EmployeeTerritories!$A$1:$B$50,1,FALSE)</f>
        <v>6</v>
      </c>
      <c r="J587">
        <f>VLOOKUP(H587,[1]!Territories,3,FALSE)</f>
        <v>2</v>
      </c>
      <c r="K587" t="str">
        <f>VLOOKUP(J587,[1]!Region,2,FALSE)</f>
        <v>Western</v>
      </c>
      <c r="L587">
        <f>VLOOKUP(A587,[1]Order_Details!$A$1:$F$2156,2,FALSE)</f>
        <v>7</v>
      </c>
      <c r="M587" t="str">
        <f>VLOOKUP(L587,[1]!Products,2,FALSE)</f>
        <v>Uncle Bob's Organic Dried Pears</v>
      </c>
      <c r="N587">
        <f>VLOOKUP(L587,[1]!Products,4,FALSE)</f>
        <v>7</v>
      </c>
      <c r="O587" s="6" t="str">
        <f>VLOOKUP(N587,[1]!Categories,2,FALSE)</f>
        <v>Produce</v>
      </c>
      <c r="P587" s="6">
        <f>VLOOKUP(A587,[1]Order_Details!$A$1:$F$2156,3,FALSE)</f>
        <v>30</v>
      </c>
      <c r="Q587">
        <f>VLOOKUP(A587,[1]Order_Details!$A$1:$F$2156,4,FALSE)</f>
        <v>20</v>
      </c>
      <c r="R587">
        <f>VLOOKUP(A587,[1]Order_Details!$A$1:$F$2156,5,FALSE)</f>
        <v>0.10000000149011612</v>
      </c>
      <c r="S587" s="6">
        <f>VLOOKUP(A587,[1]Order_Details!$A$1:$F$2156,6,FALSE)</f>
        <v>539.99999910593033</v>
      </c>
      <c r="T587" s="6">
        <f>VLOOKUP(A587,[1]!Orders,8,FALSE)</f>
        <v>71.489999999999995</v>
      </c>
    </row>
    <row r="588" spans="1:20" x14ac:dyDescent="0.3">
      <c r="A588" s="2">
        <v>10834</v>
      </c>
      <c r="B588" s="2" t="s">
        <v>37</v>
      </c>
      <c r="C588" s="2">
        <v>1</v>
      </c>
      <c r="D588" s="3">
        <v>35810</v>
      </c>
      <c r="E588" t="str">
        <f>VLOOKUP(C588,[1]Employees!$A$1:$O$10,4,FALSE)</f>
        <v>Davolio Nancy</v>
      </c>
      <c r="F588">
        <f>VLOOKUP(A588,[1]!Orders,7,FALSE)</f>
        <v>3</v>
      </c>
      <c r="G588" t="str">
        <f>VLOOKUP(F588,[1]!Shippers,2,FALSE)</f>
        <v>Federal Shipping</v>
      </c>
      <c r="H588" t="str">
        <f>VLOOKUP(C588,[1]EmployeeTerritories!$A$1:$B$50,2,FALSE)</f>
        <v>06897</v>
      </c>
      <c r="I588">
        <f>VLOOKUP(C588,[1]EmployeeTerritories!$A$1:$B$50,1,FALSE)</f>
        <v>1</v>
      </c>
      <c r="J588">
        <f>VLOOKUP(H588,[1]!Territories,3,FALSE)</f>
        <v>1</v>
      </c>
      <c r="K588" t="str">
        <f>VLOOKUP(J588,[1]!Region,2,FALSE)</f>
        <v>Eastern</v>
      </c>
      <c r="L588">
        <f>VLOOKUP(A588,[1]Order_Details!$A$1:$F$2156,2,FALSE)</f>
        <v>29</v>
      </c>
      <c r="M588" t="str">
        <f>VLOOKUP(L588,[1]!Products,2,FALSE)</f>
        <v>Thüringer Rostbratwurst</v>
      </c>
      <c r="N588">
        <f>VLOOKUP(L588,[1]!Products,4,FALSE)</f>
        <v>6</v>
      </c>
      <c r="O588" s="6" t="str">
        <f>VLOOKUP(N588,[1]!Categories,2,FALSE)</f>
        <v>Meat/Poultry</v>
      </c>
      <c r="P588" s="6">
        <f>VLOOKUP(A588,[1]Order_Details!$A$1:$F$2156,3,FALSE)</f>
        <v>123.79</v>
      </c>
      <c r="Q588">
        <f>VLOOKUP(A588,[1]Order_Details!$A$1:$F$2156,4,FALSE)</f>
        <v>8</v>
      </c>
      <c r="R588">
        <f>VLOOKUP(A588,[1]Order_Details!$A$1:$F$2156,5,FALSE)</f>
        <v>5.000000074505806E-2</v>
      </c>
      <c r="S588" s="6">
        <f>VLOOKUP(A588,[1]Order_Details!$A$1:$F$2156,6,FALSE)</f>
        <v>940.80399926215409</v>
      </c>
      <c r="T588" s="6">
        <f>VLOOKUP(A588,[1]!Orders,8,FALSE)</f>
        <v>29.78</v>
      </c>
    </row>
    <row r="589" spans="1:20" x14ac:dyDescent="0.3">
      <c r="A589" s="2">
        <v>10835</v>
      </c>
      <c r="B589" s="2" t="s">
        <v>89</v>
      </c>
      <c r="C589" s="2">
        <v>1</v>
      </c>
      <c r="D589" s="3">
        <v>35810</v>
      </c>
      <c r="E589" t="str">
        <f>VLOOKUP(C589,[1]Employees!$A$1:$O$10,4,FALSE)</f>
        <v>Davolio Nancy</v>
      </c>
      <c r="F589">
        <f>VLOOKUP(A589,[1]!Orders,7,FALSE)</f>
        <v>3</v>
      </c>
      <c r="G589" t="str">
        <f>VLOOKUP(F589,[1]!Shippers,2,FALSE)</f>
        <v>Federal Shipping</v>
      </c>
      <c r="H589" t="str">
        <f>VLOOKUP(C589,[1]EmployeeTerritories!$A$1:$B$50,2,FALSE)</f>
        <v>06897</v>
      </c>
      <c r="I589">
        <f>VLOOKUP(C589,[1]EmployeeTerritories!$A$1:$B$50,1,FALSE)</f>
        <v>1</v>
      </c>
      <c r="J589">
        <f>VLOOKUP(H589,[1]!Territories,3,FALSE)</f>
        <v>1</v>
      </c>
      <c r="K589" t="str">
        <f>VLOOKUP(J589,[1]!Region,2,FALSE)</f>
        <v>Eastern</v>
      </c>
      <c r="L589">
        <f>VLOOKUP(A589,[1]Order_Details!$A$1:$F$2156,2,FALSE)</f>
        <v>59</v>
      </c>
      <c r="M589" t="str">
        <f>VLOOKUP(L589,[1]!Products,2,FALSE)</f>
        <v>Raclette Courdavault</v>
      </c>
      <c r="N589">
        <f>VLOOKUP(L589,[1]!Products,4,FALSE)</f>
        <v>4</v>
      </c>
      <c r="O589" s="6" t="str">
        <f>VLOOKUP(N589,[1]!Categories,2,FALSE)</f>
        <v>Dairy Products</v>
      </c>
      <c r="P589" s="6">
        <f>VLOOKUP(A589,[1]Order_Details!$A$1:$F$2156,3,FALSE)</f>
        <v>55</v>
      </c>
      <c r="Q589">
        <f>VLOOKUP(A589,[1]Order_Details!$A$1:$F$2156,4,FALSE)</f>
        <v>15</v>
      </c>
      <c r="R589">
        <f>VLOOKUP(A589,[1]Order_Details!$A$1:$F$2156,5,FALSE)</f>
        <v>0</v>
      </c>
      <c r="S589" s="6">
        <f>VLOOKUP(A589,[1]Order_Details!$A$1:$F$2156,6,FALSE)</f>
        <v>825</v>
      </c>
      <c r="T589" s="6">
        <f>VLOOKUP(A589,[1]!Orders,8,FALSE)</f>
        <v>69.53</v>
      </c>
    </row>
    <row r="590" spans="1:20" x14ac:dyDescent="0.3">
      <c r="A590" s="2">
        <v>10836</v>
      </c>
      <c r="B590" s="2" t="s">
        <v>13</v>
      </c>
      <c r="C590" s="2">
        <v>7</v>
      </c>
      <c r="D590" s="3">
        <v>35811</v>
      </c>
      <c r="E590" t="str">
        <f>VLOOKUP(C590,[1]Employees!$A$1:$O$10,4,FALSE)</f>
        <v>King Robert</v>
      </c>
      <c r="F590">
        <f>VLOOKUP(A590,[1]!Orders,7,FALSE)</f>
        <v>1</v>
      </c>
      <c r="G590" t="str">
        <f>VLOOKUP(F590,[1]!Shippers,2,FALSE)</f>
        <v>Speedy Express</v>
      </c>
      <c r="H590" t="str">
        <f>VLOOKUP(C590,[1]EmployeeTerritories!$A$1:$B$50,2,FALSE)</f>
        <v>60179</v>
      </c>
      <c r="I590">
        <f>VLOOKUP(C590,[1]EmployeeTerritories!$A$1:$B$50,1,FALSE)</f>
        <v>7</v>
      </c>
      <c r="J590">
        <f>VLOOKUP(H590,[1]!Territories,3,FALSE)</f>
        <v>2</v>
      </c>
      <c r="K590" t="str">
        <f>VLOOKUP(J590,[1]!Region,2,FALSE)</f>
        <v>Western</v>
      </c>
      <c r="L590">
        <f>VLOOKUP(A590,[1]Order_Details!$A$1:$F$2156,2,FALSE)</f>
        <v>22</v>
      </c>
      <c r="M590" t="str">
        <f>VLOOKUP(L590,[1]!Products,2,FALSE)</f>
        <v>Gustaf's Knäckebröd</v>
      </c>
      <c r="N590">
        <f>VLOOKUP(L590,[1]!Products,4,FALSE)</f>
        <v>5</v>
      </c>
      <c r="O590" s="6" t="str">
        <f>VLOOKUP(N590,[1]!Categories,2,FALSE)</f>
        <v>Grains/Cereals</v>
      </c>
      <c r="P590" s="6">
        <f>VLOOKUP(A590,[1]Order_Details!$A$1:$F$2156,3,FALSE)</f>
        <v>21</v>
      </c>
      <c r="Q590">
        <f>VLOOKUP(A590,[1]Order_Details!$A$1:$F$2156,4,FALSE)</f>
        <v>52</v>
      </c>
      <c r="R590">
        <f>VLOOKUP(A590,[1]Order_Details!$A$1:$F$2156,5,FALSE)</f>
        <v>0</v>
      </c>
      <c r="S590" s="6">
        <f>VLOOKUP(A590,[1]Order_Details!$A$1:$F$2156,6,FALSE)</f>
        <v>1092</v>
      </c>
      <c r="T590" s="6">
        <f>VLOOKUP(A590,[1]!Orders,8,FALSE)</f>
        <v>411.88</v>
      </c>
    </row>
    <row r="591" spans="1:20" x14ac:dyDescent="0.3">
      <c r="A591" s="2">
        <v>10837</v>
      </c>
      <c r="B591" s="2" t="s">
        <v>29</v>
      </c>
      <c r="C591" s="2">
        <v>9</v>
      </c>
      <c r="D591" s="3">
        <v>35811</v>
      </c>
      <c r="E591" t="str">
        <f>VLOOKUP(C591,[1]Employees!$A$1:$O$10,4,FALSE)</f>
        <v>Dodsworth Anne</v>
      </c>
      <c r="F591">
        <f>VLOOKUP(A591,[1]!Orders,7,FALSE)</f>
        <v>3</v>
      </c>
      <c r="G591" t="str">
        <f>VLOOKUP(F591,[1]!Shippers,2,FALSE)</f>
        <v>Federal Shipping</v>
      </c>
      <c r="H591" t="str">
        <f>VLOOKUP(C591,[1]EmployeeTerritories!$A$1:$B$50,2,FALSE)</f>
        <v>03049</v>
      </c>
      <c r="I591">
        <f>VLOOKUP(C591,[1]EmployeeTerritories!$A$1:$B$50,1,FALSE)</f>
        <v>9</v>
      </c>
      <c r="J591">
        <f>VLOOKUP(H591,[1]!Territories,3,FALSE)</f>
        <v>3</v>
      </c>
      <c r="K591" t="str">
        <f>VLOOKUP(J591,[1]!Region,2,FALSE)</f>
        <v>Northern</v>
      </c>
      <c r="L591">
        <f>VLOOKUP(A591,[1]Order_Details!$A$1:$F$2156,2,FALSE)</f>
        <v>13</v>
      </c>
      <c r="M591" t="str">
        <f>VLOOKUP(L591,[1]!Products,2,FALSE)</f>
        <v>Konbu</v>
      </c>
      <c r="N591">
        <f>VLOOKUP(L591,[1]!Products,4,FALSE)</f>
        <v>8</v>
      </c>
      <c r="O591" s="6" t="str">
        <f>VLOOKUP(N591,[1]!Categories,2,FALSE)</f>
        <v>Seafood</v>
      </c>
      <c r="P591" s="6">
        <f>VLOOKUP(A591,[1]Order_Details!$A$1:$F$2156,3,FALSE)</f>
        <v>6</v>
      </c>
      <c r="Q591">
        <f>VLOOKUP(A591,[1]Order_Details!$A$1:$F$2156,4,FALSE)</f>
        <v>6</v>
      </c>
      <c r="R591">
        <f>VLOOKUP(A591,[1]Order_Details!$A$1:$F$2156,5,FALSE)</f>
        <v>0</v>
      </c>
      <c r="S591" s="6">
        <f>VLOOKUP(A591,[1]Order_Details!$A$1:$F$2156,6,FALSE)</f>
        <v>36</v>
      </c>
      <c r="T591" s="6">
        <f>VLOOKUP(A591,[1]!Orders,8,FALSE)</f>
        <v>13.32</v>
      </c>
    </row>
    <row r="592" spans="1:20" x14ac:dyDescent="0.3">
      <c r="A592" s="2">
        <v>10838</v>
      </c>
      <c r="B592" s="2" t="s">
        <v>71</v>
      </c>
      <c r="C592" s="2">
        <v>3</v>
      </c>
      <c r="D592" s="3">
        <v>35814</v>
      </c>
      <c r="E592" t="str">
        <f>VLOOKUP(C592,[1]Employees!$A$1:$O$10,4,FALSE)</f>
        <v>Leverling Janet</v>
      </c>
      <c r="F592">
        <f>VLOOKUP(A592,[1]!Orders,7,FALSE)</f>
        <v>3</v>
      </c>
      <c r="G592" t="str">
        <f>VLOOKUP(F592,[1]!Shippers,2,FALSE)</f>
        <v>Federal Shipping</v>
      </c>
      <c r="H592" t="str">
        <f>VLOOKUP(C592,[1]EmployeeTerritories!$A$1:$B$50,2,FALSE)</f>
        <v>30346</v>
      </c>
      <c r="I592">
        <f>VLOOKUP(C592,[1]EmployeeTerritories!$A$1:$B$50,1,FALSE)</f>
        <v>3</v>
      </c>
      <c r="J592">
        <f>VLOOKUP(H592,[1]!Territories,3,FALSE)</f>
        <v>4</v>
      </c>
      <c r="K592" t="str">
        <f>VLOOKUP(J592,[1]!Region,2,FALSE)</f>
        <v>Southern</v>
      </c>
      <c r="L592">
        <f>VLOOKUP(A592,[1]Order_Details!$A$1:$F$2156,2,FALSE)</f>
        <v>1</v>
      </c>
      <c r="M592" t="str">
        <f>VLOOKUP(L592,[1]!Products,2,FALSE)</f>
        <v>Chai</v>
      </c>
      <c r="N592">
        <f>VLOOKUP(L592,[1]!Products,4,FALSE)</f>
        <v>1</v>
      </c>
      <c r="O592" s="6" t="str">
        <f>VLOOKUP(N592,[1]!Categories,2,FALSE)</f>
        <v>Beverages</v>
      </c>
      <c r="P592" s="6">
        <f>VLOOKUP(A592,[1]Order_Details!$A$1:$F$2156,3,FALSE)</f>
        <v>18</v>
      </c>
      <c r="Q592">
        <f>VLOOKUP(A592,[1]Order_Details!$A$1:$F$2156,4,FALSE)</f>
        <v>4</v>
      </c>
      <c r="R592">
        <f>VLOOKUP(A592,[1]Order_Details!$A$1:$F$2156,5,FALSE)</f>
        <v>0.25</v>
      </c>
      <c r="S592" s="6">
        <f>VLOOKUP(A592,[1]Order_Details!$A$1:$F$2156,6,FALSE)</f>
        <v>54</v>
      </c>
      <c r="T592" s="6">
        <f>VLOOKUP(A592,[1]!Orders,8,FALSE)</f>
        <v>59.28</v>
      </c>
    </row>
    <row r="593" spans="1:20" x14ac:dyDescent="0.3">
      <c r="A593" s="2">
        <v>10839</v>
      </c>
      <c r="B593" s="2" t="s">
        <v>37</v>
      </c>
      <c r="C593" s="2">
        <v>3</v>
      </c>
      <c r="D593" s="3">
        <v>35814</v>
      </c>
      <c r="E593" t="str">
        <f>VLOOKUP(C593,[1]Employees!$A$1:$O$10,4,FALSE)</f>
        <v>Leverling Janet</v>
      </c>
      <c r="F593">
        <f>VLOOKUP(A593,[1]!Orders,7,FALSE)</f>
        <v>3</v>
      </c>
      <c r="G593" t="str">
        <f>VLOOKUP(F593,[1]!Shippers,2,FALSE)</f>
        <v>Federal Shipping</v>
      </c>
      <c r="H593" t="str">
        <f>VLOOKUP(C593,[1]EmployeeTerritories!$A$1:$B$50,2,FALSE)</f>
        <v>30346</v>
      </c>
      <c r="I593">
        <f>VLOOKUP(C593,[1]EmployeeTerritories!$A$1:$B$50,1,FALSE)</f>
        <v>3</v>
      </c>
      <c r="J593">
        <f>VLOOKUP(H593,[1]!Territories,3,FALSE)</f>
        <v>4</v>
      </c>
      <c r="K593" t="str">
        <f>VLOOKUP(J593,[1]!Region,2,FALSE)</f>
        <v>Southern</v>
      </c>
      <c r="L593">
        <f>VLOOKUP(A593,[1]Order_Details!$A$1:$F$2156,2,FALSE)</f>
        <v>58</v>
      </c>
      <c r="M593" t="str">
        <f>VLOOKUP(L593,[1]!Products,2,FALSE)</f>
        <v>Escargots de Bourgogne</v>
      </c>
      <c r="N593">
        <f>VLOOKUP(L593,[1]!Products,4,FALSE)</f>
        <v>8</v>
      </c>
      <c r="O593" s="6" t="str">
        <f>VLOOKUP(N593,[1]!Categories,2,FALSE)</f>
        <v>Seafood</v>
      </c>
      <c r="P593" s="6">
        <f>VLOOKUP(A593,[1]Order_Details!$A$1:$F$2156,3,FALSE)</f>
        <v>13.25</v>
      </c>
      <c r="Q593">
        <f>VLOOKUP(A593,[1]Order_Details!$A$1:$F$2156,4,FALSE)</f>
        <v>30</v>
      </c>
      <c r="R593">
        <f>VLOOKUP(A593,[1]Order_Details!$A$1:$F$2156,5,FALSE)</f>
        <v>0.10000000149011612</v>
      </c>
      <c r="S593" s="6">
        <f>VLOOKUP(A593,[1]Order_Details!$A$1:$F$2156,6,FALSE)</f>
        <v>357.74999940767884</v>
      </c>
      <c r="T593" s="6">
        <f>VLOOKUP(A593,[1]!Orders,8,FALSE)</f>
        <v>35.43</v>
      </c>
    </row>
    <row r="594" spans="1:20" x14ac:dyDescent="0.3">
      <c r="A594" s="2">
        <v>10840</v>
      </c>
      <c r="B594" s="2" t="s">
        <v>71</v>
      </c>
      <c r="C594" s="2">
        <v>4</v>
      </c>
      <c r="D594" s="3">
        <v>35814</v>
      </c>
      <c r="E594" t="str">
        <f>VLOOKUP(C594,[1]Employees!$A$1:$O$10,4,FALSE)</f>
        <v>Peacock Margaret</v>
      </c>
      <c r="F594">
        <f>VLOOKUP(A594,[1]!Orders,7,FALSE)</f>
        <v>2</v>
      </c>
      <c r="G594" t="str">
        <f>VLOOKUP(F594,[1]!Shippers,2,FALSE)</f>
        <v>United Package</v>
      </c>
      <c r="H594" t="str">
        <f>VLOOKUP(C594,[1]EmployeeTerritories!$A$1:$B$50,2,FALSE)</f>
        <v>20852</v>
      </c>
      <c r="I594">
        <f>VLOOKUP(C594,[1]EmployeeTerritories!$A$1:$B$50,1,FALSE)</f>
        <v>4</v>
      </c>
      <c r="J594">
        <f>VLOOKUP(H594,[1]!Territories,3,FALSE)</f>
        <v>1</v>
      </c>
      <c r="K594" t="str">
        <f>VLOOKUP(J594,[1]!Region,2,FALSE)</f>
        <v>Eastern</v>
      </c>
      <c r="L594">
        <f>VLOOKUP(A594,[1]Order_Details!$A$1:$F$2156,2,FALSE)</f>
        <v>25</v>
      </c>
      <c r="M594" t="str">
        <f>VLOOKUP(L594,[1]!Products,2,FALSE)</f>
        <v>NuNuCa Nuß-Nougat-Creme</v>
      </c>
      <c r="N594">
        <f>VLOOKUP(L594,[1]!Products,4,FALSE)</f>
        <v>3</v>
      </c>
      <c r="O594" s="6" t="str">
        <f>VLOOKUP(N594,[1]!Categories,2,FALSE)</f>
        <v>Confections</v>
      </c>
      <c r="P594" s="6">
        <f>VLOOKUP(A594,[1]Order_Details!$A$1:$F$2156,3,FALSE)</f>
        <v>14</v>
      </c>
      <c r="Q594">
        <f>VLOOKUP(A594,[1]Order_Details!$A$1:$F$2156,4,FALSE)</f>
        <v>6</v>
      </c>
      <c r="R594">
        <f>VLOOKUP(A594,[1]Order_Details!$A$1:$F$2156,5,FALSE)</f>
        <v>0.20000000298023224</v>
      </c>
      <c r="S594" s="6">
        <f>VLOOKUP(A594,[1]Order_Details!$A$1:$F$2156,6,FALSE)</f>
        <v>67.199999749660492</v>
      </c>
      <c r="T594" s="6">
        <f>VLOOKUP(A594,[1]!Orders,8,FALSE)</f>
        <v>2.71</v>
      </c>
    </row>
    <row r="595" spans="1:20" x14ac:dyDescent="0.3">
      <c r="A595" s="2">
        <v>10841</v>
      </c>
      <c r="B595" s="2" t="s">
        <v>8</v>
      </c>
      <c r="C595" s="2">
        <v>5</v>
      </c>
      <c r="D595" s="3">
        <v>35815</v>
      </c>
      <c r="E595" t="str">
        <f>VLOOKUP(C595,[1]Employees!$A$1:$O$10,4,FALSE)</f>
        <v>Buchanan Steven</v>
      </c>
      <c r="F595">
        <f>VLOOKUP(A595,[1]!Orders,7,FALSE)</f>
        <v>2</v>
      </c>
      <c r="G595" t="str">
        <f>VLOOKUP(F595,[1]!Shippers,2,FALSE)</f>
        <v>United Package</v>
      </c>
      <c r="H595" t="str">
        <f>VLOOKUP(C595,[1]EmployeeTerritories!$A$1:$B$50,2,FALSE)</f>
        <v>02903</v>
      </c>
      <c r="I595">
        <f>VLOOKUP(C595,[1]EmployeeTerritories!$A$1:$B$50,1,FALSE)</f>
        <v>5</v>
      </c>
      <c r="J595">
        <f>VLOOKUP(H595,[1]!Territories,3,FALSE)</f>
        <v>1</v>
      </c>
      <c r="K595" t="str">
        <f>VLOOKUP(J595,[1]!Region,2,FALSE)</f>
        <v>Eastern</v>
      </c>
      <c r="L595">
        <f>VLOOKUP(A595,[1]Order_Details!$A$1:$F$2156,2,FALSE)</f>
        <v>10</v>
      </c>
      <c r="M595" t="str">
        <f>VLOOKUP(L595,[1]!Products,2,FALSE)</f>
        <v>Ikura</v>
      </c>
      <c r="N595">
        <f>VLOOKUP(L595,[1]!Products,4,FALSE)</f>
        <v>8</v>
      </c>
      <c r="O595" s="6" t="str">
        <f>VLOOKUP(N595,[1]!Categories,2,FALSE)</f>
        <v>Seafood</v>
      </c>
      <c r="P595" s="6">
        <f>VLOOKUP(A595,[1]Order_Details!$A$1:$F$2156,3,FALSE)</f>
        <v>31</v>
      </c>
      <c r="Q595">
        <f>VLOOKUP(A595,[1]Order_Details!$A$1:$F$2156,4,FALSE)</f>
        <v>16</v>
      </c>
      <c r="R595">
        <f>VLOOKUP(A595,[1]Order_Details!$A$1:$F$2156,5,FALSE)</f>
        <v>0</v>
      </c>
      <c r="S595" s="6">
        <f>VLOOKUP(A595,[1]Order_Details!$A$1:$F$2156,6,FALSE)</f>
        <v>496</v>
      </c>
      <c r="T595" s="6">
        <f>VLOOKUP(A595,[1]!Orders,8,FALSE)</f>
        <v>424.3</v>
      </c>
    </row>
    <row r="596" spans="1:20" x14ac:dyDescent="0.3">
      <c r="A596" s="2">
        <v>10842</v>
      </c>
      <c r="B596" s="2" t="s">
        <v>27</v>
      </c>
      <c r="C596" s="2">
        <v>1</v>
      </c>
      <c r="D596" s="3">
        <v>35815</v>
      </c>
      <c r="E596" t="str">
        <f>VLOOKUP(C596,[1]Employees!$A$1:$O$10,4,FALSE)</f>
        <v>Davolio Nancy</v>
      </c>
      <c r="F596">
        <f>VLOOKUP(A596,[1]!Orders,7,FALSE)</f>
        <v>3</v>
      </c>
      <c r="G596" t="str">
        <f>VLOOKUP(F596,[1]!Shippers,2,FALSE)</f>
        <v>Federal Shipping</v>
      </c>
      <c r="H596" t="str">
        <f>VLOOKUP(C596,[1]EmployeeTerritories!$A$1:$B$50,2,FALSE)</f>
        <v>06897</v>
      </c>
      <c r="I596">
        <f>VLOOKUP(C596,[1]EmployeeTerritories!$A$1:$B$50,1,FALSE)</f>
        <v>1</v>
      </c>
      <c r="J596">
        <f>VLOOKUP(H596,[1]!Territories,3,FALSE)</f>
        <v>1</v>
      </c>
      <c r="K596" t="str">
        <f>VLOOKUP(J596,[1]!Region,2,FALSE)</f>
        <v>Eastern</v>
      </c>
      <c r="L596">
        <f>VLOOKUP(A596,[1]Order_Details!$A$1:$F$2156,2,FALSE)</f>
        <v>11</v>
      </c>
      <c r="M596" t="str">
        <f>VLOOKUP(L596,[1]!Products,2,FALSE)</f>
        <v>Queso Cabrales</v>
      </c>
      <c r="N596">
        <f>VLOOKUP(L596,[1]!Products,4,FALSE)</f>
        <v>4</v>
      </c>
      <c r="O596" s="6" t="str">
        <f>VLOOKUP(N596,[1]!Categories,2,FALSE)</f>
        <v>Dairy Products</v>
      </c>
      <c r="P596" s="6">
        <f>VLOOKUP(A596,[1]Order_Details!$A$1:$F$2156,3,FALSE)</f>
        <v>21</v>
      </c>
      <c r="Q596">
        <f>VLOOKUP(A596,[1]Order_Details!$A$1:$F$2156,4,FALSE)</f>
        <v>15</v>
      </c>
      <c r="R596">
        <f>VLOOKUP(A596,[1]Order_Details!$A$1:$F$2156,5,FALSE)</f>
        <v>0</v>
      </c>
      <c r="S596" s="6">
        <f>VLOOKUP(A596,[1]Order_Details!$A$1:$F$2156,6,FALSE)</f>
        <v>315</v>
      </c>
      <c r="T596" s="6">
        <f>VLOOKUP(A596,[1]!Orders,8,FALSE)</f>
        <v>54.42</v>
      </c>
    </row>
    <row r="597" spans="1:20" x14ac:dyDescent="0.3">
      <c r="A597" s="2">
        <v>10843</v>
      </c>
      <c r="B597" s="2" t="s">
        <v>7</v>
      </c>
      <c r="C597" s="2">
        <v>4</v>
      </c>
      <c r="D597" s="3">
        <v>35816</v>
      </c>
      <c r="E597" t="str">
        <f>VLOOKUP(C597,[1]Employees!$A$1:$O$10,4,FALSE)</f>
        <v>Peacock Margaret</v>
      </c>
      <c r="F597">
        <f>VLOOKUP(A597,[1]!Orders,7,FALSE)</f>
        <v>2</v>
      </c>
      <c r="G597" t="str">
        <f>VLOOKUP(F597,[1]!Shippers,2,FALSE)</f>
        <v>United Package</v>
      </c>
      <c r="H597" t="str">
        <f>VLOOKUP(C597,[1]EmployeeTerritories!$A$1:$B$50,2,FALSE)</f>
        <v>20852</v>
      </c>
      <c r="I597">
        <f>VLOOKUP(C597,[1]EmployeeTerritories!$A$1:$B$50,1,FALSE)</f>
        <v>4</v>
      </c>
      <c r="J597">
        <f>VLOOKUP(H597,[1]!Territories,3,FALSE)</f>
        <v>1</v>
      </c>
      <c r="K597" t="str">
        <f>VLOOKUP(J597,[1]!Region,2,FALSE)</f>
        <v>Eastern</v>
      </c>
      <c r="L597">
        <f>VLOOKUP(A597,[1]Order_Details!$A$1:$F$2156,2,FALSE)</f>
        <v>51</v>
      </c>
      <c r="M597" t="str">
        <f>VLOOKUP(L597,[1]!Products,2,FALSE)</f>
        <v>Manjimup Dried Apples</v>
      </c>
      <c r="N597">
        <f>VLOOKUP(L597,[1]!Products,4,FALSE)</f>
        <v>7</v>
      </c>
      <c r="O597" s="6" t="str">
        <f>VLOOKUP(N597,[1]!Categories,2,FALSE)</f>
        <v>Produce</v>
      </c>
      <c r="P597" s="6">
        <f>VLOOKUP(A597,[1]Order_Details!$A$1:$F$2156,3,FALSE)</f>
        <v>53</v>
      </c>
      <c r="Q597">
        <f>VLOOKUP(A597,[1]Order_Details!$A$1:$F$2156,4,FALSE)</f>
        <v>4</v>
      </c>
      <c r="R597">
        <f>VLOOKUP(A597,[1]Order_Details!$A$1:$F$2156,5,FALSE)</f>
        <v>0.25</v>
      </c>
      <c r="S597" s="6">
        <f>VLOOKUP(A597,[1]Order_Details!$A$1:$F$2156,6,FALSE)</f>
        <v>159</v>
      </c>
      <c r="T597" s="6">
        <f>VLOOKUP(A597,[1]!Orders,8,FALSE)</f>
        <v>9.26</v>
      </c>
    </row>
    <row r="598" spans="1:20" x14ac:dyDescent="0.3">
      <c r="A598" s="2">
        <v>10844</v>
      </c>
      <c r="B598" s="2" t="s">
        <v>58</v>
      </c>
      <c r="C598" s="2">
        <v>8</v>
      </c>
      <c r="D598" s="3">
        <v>35816</v>
      </c>
      <c r="E598" t="str">
        <f>VLOOKUP(C598,[1]Employees!$A$1:$O$10,4,FALSE)</f>
        <v>Callahan Laura</v>
      </c>
      <c r="F598">
        <f>VLOOKUP(A598,[1]!Orders,7,FALSE)</f>
        <v>2</v>
      </c>
      <c r="G598" t="str">
        <f>VLOOKUP(F598,[1]!Shippers,2,FALSE)</f>
        <v>United Package</v>
      </c>
      <c r="H598" t="str">
        <f>VLOOKUP(C598,[1]EmployeeTerritories!$A$1:$B$50,2,FALSE)</f>
        <v>19428</v>
      </c>
      <c r="I598">
        <f>VLOOKUP(C598,[1]EmployeeTerritories!$A$1:$B$50,1,FALSE)</f>
        <v>8</v>
      </c>
      <c r="J598">
        <f>VLOOKUP(H598,[1]!Territories,3,FALSE)</f>
        <v>3</v>
      </c>
      <c r="K598" t="str">
        <f>VLOOKUP(J598,[1]!Region,2,FALSE)</f>
        <v>Northern</v>
      </c>
      <c r="L598">
        <f>VLOOKUP(A598,[1]Order_Details!$A$1:$F$2156,2,FALSE)</f>
        <v>22</v>
      </c>
      <c r="M598" t="str">
        <f>VLOOKUP(L598,[1]!Products,2,FALSE)</f>
        <v>Gustaf's Knäckebröd</v>
      </c>
      <c r="N598">
        <f>VLOOKUP(L598,[1]!Products,4,FALSE)</f>
        <v>5</v>
      </c>
      <c r="O598" s="6" t="str">
        <f>VLOOKUP(N598,[1]!Categories,2,FALSE)</f>
        <v>Grains/Cereals</v>
      </c>
      <c r="P598" s="6">
        <f>VLOOKUP(A598,[1]Order_Details!$A$1:$F$2156,3,FALSE)</f>
        <v>21</v>
      </c>
      <c r="Q598">
        <f>VLOOKUP(A598,[1]Order_Details!$A$1:$F$2156,4,FALSE)</f>
        <v>35</v>
      </c>
      <c r="R598">
        <f>VLOOKUP(A598,[1]Order_Details!$A$1:$F$2156,5,FALSE)</f>
        <v>0</v>
      </c>
      <c r="S598" s="6">
        <f>VLOOKUP(A598,[1]Order_Details!$A$1:$F$2156,6,FALSE)</f>
        <v>735</v>
      </c>
      <c r="T598" s="6">
        <f>VLOOKUP(A598,[1]!Orders,8,FALSE)</f>
        <v>25.22</v>
      </c>
    </row>
    <row r="599" spans="1:20" x14ac:dyDescent="0.3">
      <c r="A599" s="2">
        <v>10845</v>
      </c>
      <c r="B599" s="2" t="s">
        <v>25</v>
      </c>
      <c r="C599" s="2">
        <v>8</v>
      </c>
      <c r="D599" s="3">
        <v>35816</v>
      </c>
      <c r="E599" t="str">
        <f>VLOOKUP(C599,[1]Employees!$A$1:$O$10,4,FALSE)</f>
        <v>Callahan Laura</v>
      </c>
      <c r="F599">
        <f>VLOOKUP(A599,[1]!Orders,7,FALSE)</f>
        <v>1</v>
      </c>
      <c r="G599" t="str">
        <f>VLOOKUP(F599,[1]!Shippers,2,FALSE)</f>
        <v>Speedy Express</v>
      </c>
      <c r="H599" t="str">
        <f>VLOOKUP(C599,[1]EmployeeTerritories!$A$1:$B$50,2,FALSE)</f>
        <v>19428</v>
      </c>
      <c r="I599">
        <f>VLOOKUP(C599,[1]EmployeeTerritories!$A$1:$B$50,1,FALSE)</f>
        <v>8</v>
      </c>
      <c r="J599">
        <f>VLOOKUP(H599,[1]!Territories,3,FALSE)</f>
        <v>3</v>
      </c>
      <c r="K599" t="str">
        <f>VLOOKUP(J599,[1]!Region,2,FALSE)</f>
        <v>Northern</v>
      </c>
      <c r="L599">
        <f>VLOOKUP(A599,[1]Order_Details!$A$1:$F$2156,2,FALSE)</f>
        <v>23</v>
      </c>
      <c r="M599" t="str">
        <f>VLOOKUP(L599,[1]!Products,2,FALSE)</f>
        <v>Tunnbröd</v>
      </c>
      <c r="N599">
        <f>VLOOKUP(L599,[1]!Products,4,FALSE)</f>
        <v>5</v>
      </c>
      <c r="O599" s="6" t="str">
        <f>VLOOKUP(N599,[1]!Categories,2,FALSE)</f>
        <v>Grains/Cereals</v>
      </c>
      <c r="P599" s="6">
        <f>VLOOKUP(A599,[1]Order_Details!$A$1:$F$2156,3,FALSE)</f>
        <v>9</v>
      </c>
      <c r="Q599">
        <f>VLOOKUP(A599,[1]Order_Details!$A$1:$F$2156,4,FALSE)</f>
        <v>70</v>
      </c>
      <c r="R599">
        <f>VLOOKUP(A599,[1]Order_Details!$A$1:$F$2156,5,FALSE)</f>
        <v>0.10000000149011612</v>
      </c>
      <c r="S599" s="6">
        <f>VLOOKUP(A599,[1]Order_Details!$A$1:$F$2156,6,FALSE)</f>
        <v>566.99999906122684</v>
      </c>
      <c r="T599" s="6">
        <f>VLOOKUP(A599,[1]!Orders,8,FALSE)</f>
        <v>212.98</v>
      </c>
    </row>
    <row r="600" spans="1:20" x14ac:dyDescent="0.3">
      <c r="A600" s="2">
        <v>10846</v>
      </c>
      <c r="B600" s="2" t="s">
        <v>8</v>
      </c>
      <c r="C600" s="2">
        <v>2</v>
      </c>
      <c r="D600" s="3">
        <v>35817</v>
      </c>
      <c r="E600" t="str">
        <f>VLOOKUP(C600,[1]Employees!$A$1:$O$10,4,FALSE)</f>
        <v>Fuller Andrew</v>
      </c>
      <c r="F600">
        <f>VLOOKUP(A600,[1]!Orders,7,FALSE)</f>
        <v>3</v>
      </c>
      <c r="G600" t="str">
        <f>VLOOKUP(F600,[1]!Shippers,2,FALSE)</f>
        <v>Federal Shipping</v>
      </c>
      <c r="H600" t="str">
        <f>VLOOKUP(C600,[1]EmployeeTerritories!$A$1:$B$50,2,FALSE)</f>
        <v>01581</v>
      </c>
      <c r="I600">
        <f>VLOOKUP(C600,[1]EmployeeTerritories!$A$1:$B$50,1,FALSE)</f>
        <v>2</v>
      </c>
      <c r="J600">
        <f>VLOOKUP(H600,[1]!Territories,3,FALSE)</f>
        <v>1</v>
      </c>
      <c r="K600" t="str">
        <f>VLOOKUP(J600,[1]!Region,2,FALSE)</f>
        <v>Eastern</v>
      </c>
      <c r="L600">
        <f>VLOOKUP(A600,[1]Order_Details!$A$1:$F$2156,2,FALSE)</f>
        <v>4</v>
      </c>
      <c r="M600" t="str">
        <f>VLOOKUP(L600,[1]!Products,2,FALSE)</f>
        <v>Chef Anton's Cajun Seasoning</v>
      </c>
      <c r="N600">
        <f>VLOOKUP(L600,[1]!Products,4,FALSE)</f>
        <v>2</v>
      </c>
      <c r="O600" s="6" t="str">
        <f>VLOOKUP(N600,[1]!Categories,2,FALSE)</f>
        <v>Condiments</v>
      </c>
      <c r="P600" s="6">
        <f>VLOOKUP(A600,[1]Order_Details!$A$1:$F$2156,3,FALSE)</f>
        <v>22</v>
      </c>
      <c r="Q600">
        <f>VLOOKUP(A600,[1]Order_Details!$A$1:$F$2156,4,FALSE)</f>
        <v>21</v>
      </c>
      <c r="R600">
        <f>VLOOKUP(A600,[1]Order_Details!$A$1:$F$2156,5,FALSE)</f>
        <v>0</v>
      </c>
      <c r="S600" s="6">
        <f>VLOOKUP(A600,[1]Order_Details!$A$1:$F$2156,6,FALSE)</f>
        <v>462</v>
      </c>
      <c r="T600" s="6">
        <f>VLOOKUP(A600,[1]!Orders,8,FALSE)</f>
        <v>56.46</v>
      </c>
    </row>
    <row r="601" spans="1:20" x14ac:dyDescent="0.3">
      <c r="A601" s="2">
        <v>10847</v>
      </c>
      <c r="B601" s="2" t="s">
        <v>49</v>
      </c>
      <c r="C601" s="2">
        <v>4</v>
      </c>
      <c r="D601" s="3">
        <v>35817</v>
      </c>
      <c r="E601" t="str">
        <f>VLOOKUP(C601,[1]Employees!$A$1:$O$10,4,FALSE)</f>
        <v>Peacock Margaret</v>
      </c>
      <c r="F601">
        <f>VLOOKUP(A601,[1]!Orders,7,FALSE)</f>
        <v>3</v>
      </c>
      <c r="G601" t="str">
        <f>VLOOKUP(F601,[1]!Shippers,2,FALSE)</f>
        <v>Federal Shipping</v>
      </c>
      <c r="H601" t="str">
        <f>VLOOKUP(C601,[1]EmployeeTerritories!$A$1:$B$50,2,FALSE)</f>
        <v>20852</v>
      </c>
      <c r="I601">
        <f>VLOOKUP(C601,[1]EmployeeTerritories!$A$1:$B$50,1,FALSE)</f>
        <v>4</v>
      </c>
      <c r="J601">
        <f>VLOOKUP(H601,[1]!Territories,3,FALSE)</f>
        <v>1</v>
      </c>
      <c r="K601" t="str">
        <f>VLOOKUP(J601,[1]!Region,2,FALSE)</f>
        <v>Eastern</v>
      </c>
      <c r="L601">
        <f>VLOOKUP(A601,[1]Order_Details!$A$1:$F$2156,2,FALSE)</f>
        <v>1</v>
      </c>
      <c r="M601" t="str">
        <f>VLOOKUP(L601,[1]!Products,2,FALSE)</f>
        <v>Chai</v>
      </c>
      <c r="N601">
        <f>VLOOKUP(L601,[1]!Products,4,FALSE)</f>
        <v>1</v>
      </c>
      <c r="O601" s="6" t="str">
        <f>VLOOKUP(N601,[1]!Categories,2,FALSE)</f>
        <v>Beverages</v>
      </c>
      <c r="P601" s="6">
        <f>VLOOKUP(A601,[1]Order_Details!$A$1:$F$2156,3,FALSE)</f>
        <v>18</v>
      </c>
      <c r="Q601">
        <f>VLOOKUP(A601,[1]Order_Details!$A$1:$F$2156,4,FALSE)</f>
        <v>80</v>
      </c>
      <c r="R601">
        <f>VLOOKUP(A601,[1]Order_Details!$A$1:$F$2156,5,FALSE)</f>
        <v>0.20000000298023224</v>
      </c>
      <c r="S601" s="6">
        <f>VLOOKUP(A601,[1]Order_Details!$A$1:$F$2156,6,FALSE)</f>
        <v>1151.9999957084656</v>
      </c>
      <c r="T601" s="6">
        <f>VLOOKUP(A601,[1]!Orders,8,FALSE)</f>
        <v>487.57</v>
      </c>
    </row>
    <row r="602" spans="1:20" x14ac:dyDescent="0.3">
      <c r="A602" s="2">
        <v>10848</v>
      </c>
      <c r="B602" s="2" t="s">
        <v>76</v>
      </c>
      <c r="C602" s="2">
        <v>7</v>
      </c>
      <c r="D602" s="3">
        <v>35818</v>
      </c>
      <c r="E602" t="str">
        <f>VLOOKUP(C602,[1]Employees!$A$1:$O$10,4,FALSE)</f>
        <v>King Robert</v>
      </c>
      <c r="F602">
        <f>VLOOKUP(A602,[1]!Orders,7,FALSE)</f>
        <v>2</v>
      </c>
      <c r="G602" t="str">
        <f>VLOOKUP(F602,[1]!Shippers,2,FALSE)</f>
        <v>United Package</v>
      </c>
      <c r="H602" t="str">
        <f>VLOOKUP(C602,[1]EmployeeTerritories!$A$1:$B$50,2,FALSE)</f>
        <v>60179</v>
      </c>
      <c r="I602">
        <f>VLOOKUP(C602,[1]EmployeeTerritories!$A$1:$B$50,1,FALSE)</f>
        <v>7</v>
      </c>
      <c r="J602">
        <f>VLOOKUP(H602,[1]!Territories,3,FALSE)</f>
        <v>2</v>
      </c>
      <c r="K602" t="str">
        <f>VLOOKUP(J602,[1]!Region,2,FALSE)</f>
        <v>Western</v>
      </c>
      <c r="L602">
        <f>VLOOKUP(A602,[1]Order_Details!$A$1:$F$2156,2,FALSE)</f>
        <v>5</v>
      </c>
      <c r="M602" t="str">
        <f>VLOOKUP(L602,[1]!Products,2,FALSE)</f>
        <v>Chef Anton's Gumbo Mix</v>
      </c>
      <c r="N602">
        <f>VLOOKUP(L602,[1]!Products,4,FALSE)</f>
        <v>2</v>
      </c>
      <c r="O602" s="6" t="str">
        <f>VLOOKUP(N602,[1]!Categories,2,FALSE)</f>
        <v>Condiments</v>
      </c>
      <c r="P602" s="6">
        <f>VLOOKUP(A602,[1]Order_Details!$A$1:$F$2156,3,FALSE)</f>
        <v>21.35</v>
      </c>
      <c r="Q602">
        <f>VLOOKUP(A602,[1]Order_Details!$A$1:$F$2156,4,FALSE)</f>
        <v>30</v>
      </c>
      <c r="R602">
        <f>VLOOKUP(A602,[1]Order_Details!$A$1:$F$2156,5,FALSE)</f>
        <v>0</v>
      </c>
      <c r="S602" s="6">
        <f>VLOOKUP(A602,[1]Order_Details!$A$1:$F$2156,6,FALSE)</f>
        <v>640.5</v>
      </c>
      <c r="T602" s="6">
        <f>VLOOKUP(A602,[1]!Orders,8,FALSE)</f>
        <v>38.24</v>
      </c>
    </row>
    <row r="603" spans="1:20" x14ac:dyDescent="0.3">
      <c r="A603" s="2">
        <v>10849</v>
      </c>
      <c r="B603" s="2" t="s">
        <v>48</v>
      </c>
      <c r="C603" s="2">
        <v>9</v>
      </c>
      <c r="D603" s="3">
        <v>35818</v>
      </c>
      <c r="E603" t="str">
        <f>VLOOKUP(C603,[1]Employees!$A$1:$O$10,4,FALSE)</f>
        <v>Dodsworth Anne</v>
      </c>
      <c r="F603">
        <f>VLOOKUP(A603,[1]!Orders,7,FALSE)</f>
        <v>2</v>
      </c>
      <c r="G603" t="str">
        <f>VLOOKUP(F603,[1]!Shippers,2,FALSE)</f>
        <v>United Package</v>
      </c>
      <c r="H603" t="str">
        <f>VLOOKUP(C603,[1]EmployeeTerritories!$A$1:$B$50,2,FALSE)</f>
        <v>03049</v>
      </c>
      <c r="I603">
        <f>VLOOKUP(C603,[1]EmployeeTerritories!$A$1:$B$50,1,FALSE)</f>
        <v>9</v>
      </c>
      <c r="J603">
        <f>VLOOKUP(H603,[1]!Territories,3,FALSE)</f>
        <v>3</v>
      </c>
      <c r="K603" t="str">
        <f>VLOOKUP(J603,[1]!Region,2,FALSE)</f>
        <v>Northern</v>
      </c>
      <c r="L603">
        <f>VLOOKUP(A603,[1]Order_Details!$A$1:$F$2156,2,FALSE)</f>
        <v>3</v>
      </c>
      <c r="M603" t="str">
        <f>VLOOKUP(L603,[1]!Products,2,FALSE)</f>
        <v>Aniseed Syrup</v>
      </c>
      <c r="N603">
        <f>VLOOKUP(L603,[1]!Products,4,FALSE)</f>
        <v>2</v>
      </c>
      <c r="O603" s="6" t="str">
        <f>VLOOKUP(N603,[1]!Categories,2,FALSE)</f>
        <v>Condiments</v>
      </c>
      <c r="P603" s="6">
        <f>VLOOKUP(A603,[1]Order_Details!$A$1:$F$2156,3,FALSE)</f>
        <v>10</v>
      </c>
      <c r="Q603">
        <f>VLOOKUP(A603,[1]Order_Details!$A$1:$F$2156,4,FALSE)</f>
        <v>49</v>
      </c>
      <c r="R603">
        <f>VLOOKUP(A603,[1]Order_Details!$A$1:$F$2156,5,FALSE)</f>
        <v>0</v>
      </c>
      <c r="S603" s="6">
        <f>VLOOKUP(A603,[1]Order_Details!$A$1:$F$2156,6,FALSE)</f>
        <v>490</v>
      </c>
      <c r="T603" s="6">
        <f>VLOOKUP(A603,[1]!Orders,8,FALSE)</f>
        <v>0.56000000000000005</v>
      </c>
    </row>
    <row r="604" spans="1:20" x14ac:dyDescent="0.3">
      <c r="A604" s="2">
        <v>10850</v>
      </c>
      <c r="B604" s="2" t="s">
        <v>7</v>
      </c>
      <c r="C604" s="2">
        <v>1</v>
      </c>
      <c r="D604" s="3">
        <v>35818</v>
      </c>
      <c r="E604" t="str">
        <f>VLOOKUP(C604,[1]Employees!$A$1:$O$10,4,FALSE)</f>
        <v>Davolio Nancy</v>
      </c>
      <c r="F604">
        <f>VLOOKUP(A604,[1]!Orders,7,FALSE)</f>
        <v>1</v>
      </c>
      <c r="G604" t="str">
        <f>VLOOKUP(F604,[1]!Shippers,2,FALSE)</f>
        <v>Speedy Express</v>
      </c>
      <c r="H604" t="str">
        <f>VLOOKUP(C604,[1]EmployeeTerritories!$A$1:$B$50,2,FALSE)</f>
        <v>06897</v>
      </c>
      <c r="I604">
        <f>VLOOKUP(C604,[1]EmployeeTerritories!$A$1:$B$50,1,FALSE)</f>
        <v>1</v>
      </c>
      <c r="J604">
        <f>VLOOKUP(H604,[1]!Territories,3,FALSE)</f>
        <v>1</v>
      </c>
      <c r="K604" t="str">
        <f>VLOOKUP(J604,[1]!Region,2,FALSE)</f>
        <v>Eastern</v>
      </c>
      <c r="L604">
        <f>VLOOKUP(A604,[1]Order_Details!$A$1:$F$2156,2,FALSE)</f>
        <v>25</v>
      </c>
      <c r="M604" t="str">
        <f>VLOOKUP(L604,[1]!Products,2,FALSE)</f>
        <v>NuNuCa Nuß-Nougat-Creme</v>
      </c>
      <c r="N604">
        <f>VLOOKUP(L604,[1]!Products,4,FALSE)</f>
        <v>3</v>
      </c>
      <c r="O604" s="6" t="str">
        <f>VLOOKUP(N604,[1]!Categories,2,FALSE)</f>
        <v>Confections</v>
      </c>
      <c r="P604" s="6">
        <f>VLOOKUP(A604,[1]Order_Details!$A$1:$F$2156,3,FALSE)</f>
        <v>14</v>
      </c>
      <c r="Q604">
        <f>VLOOKUP(A604,[1]Order_Details!$A$1:$F$2156,4,FALSE)</f>
        <v>20</v>
      </c>
      <c r="R604">
        <f>VLOOKUP(A604,[1]Order_Details!$A$1:$F$2156,5,FALSE)</f>
        <v>0.15000000596046448</v>
      </c>
      <c r="S604" s="6">
        <f>VLOOKUP(A604,[1]Order_Details!$A$1:$F$2156,6,FALSE)</f>
        <v>237.99999833106995</v>
      </c>
      <c r="T604" s="6">
        <f>VLOOKUP(A604,[1]!Orders,8,FALSE)</f>
        <v>49.19</v>
      </c>
    </row>
    <row r="605" spans="1:20" x14ac:dyDescent="0.3">
      <c r="A605" s="2">
        <v>10851</v>
      </c>
      <c r="B605" s="2" t="s">
        <v>33</v>
      </c>
      <c r="C605" s="2">
        <v>5</v>
      </c>
      <c r="D605" s="3">
        <v>35821</v>
      </c>
      <c r="E605" t="str">
        <f>VLOOKUP(C605,[1]Employees!$A$1:$O$10,4,FALSE)</f>
        <v>Buchanan Steven</v>
      </c>
      <c r="F605">
        <f>VLOOKUP(A605,[1]!Orders,7,FALSE)</f>
        <v>1</v>
      </c>
      <c r="G605" t="str">
        <f>VLOOKUP(F605,[1]!Shippers,2,FALSE)</f>
        <v>Speedy Express</v>
      </c>
      <c r="H605" t="str">
        <f>VLOOKUP(C605,[1]EmployeeTerritories!$A$1:$B$50,2,FALSE)</f>
        <v>02903</v>
      </c>
      <c r="I605">
        <f>VLOOKUP(C605,[1]EmployeeTerritories!$A$1:$B$50,1,FALSE)</f>
        <v>5</v>
      </c>
      <c r="J605">
        <f>VLOOKUP(H605,[1]!Territories,3,FALSE)</f>
        <v>1</v>
      </c>
      <c r="K605" t="str">
        <f>VLOOKUP(J605,[1]!Region,2,FALSE)</f>
        <v>Eastern</v>
      </c>
      <c r="L605">
        <f>VLOOKUP(A605,[1]Order_Details!$A$1:$F$2156,2,FALSE)</f>
        <v>2</v>
      </c>
      <c r="M605" t="str">
        <f>VLOOKUP(L605,[1]!Products,2,FALSE)</f>
        <v>Chang</v>
      </c>
      <c r="N605">
        <f>VLOOKUP(L605,[1]!Products,4,FALSE)</f>
        <v>1</v>
      </c>
      <c r="O605" s="6" t="str">
        <f>VLOOKUP(N605,[1]!Categories,2,FALSE)</f>
        <v>Beverages</v>
      </c>
      <c r="P605" s="6">
        <f>VLOOKUP(A605,[1]Order_Details!$A$1:$F$2156,3,FALSE)</f>
        <v>19</v>
      </c>
      <c r="Q605">
        <f>VLOOKUP(A605,[1]Order_Details!$A$1:$F$2156,4,FALSE)</f>
        <v>5</v>
      </c>
      <c r="R605">
        <f>VLOOKUP(A605,[1]Order_Details!$A$1:$F$2156,5,FALSE)</f>
        <v>5.000000074505806E-2</v>
      </c>
      <c r="S605" s="6">
        <f>VLOOKUP(A605,[1]Order_Details!$A$1:$F$2156,6,FALSE)</f>
        <v>90.249999929219484</v>
      </c>
      <c r="T605" s="6">
        <f>VLOOKUP(A605,[1]!Orders,8,FALSE)</f>
        <v>160.55000000000001</v>
      </c>
    </row>
    <row r="606" spans="1:20" x14ac:dyDescent="0.3">
      <c r="A606" s="2">
        <v>10852</v>
      </c>
      <c r="B606" s="2" t="s">
        <v>17</v>
      </c>
      <c r="C606" s="2">
        <v>8</v>
      </c>
      <c r="D606" s="3">
        <v>35821</v>
      </c>
      <c r="E606" t="str">
        <f>VLOOKUP(C606,[1]Employees!$A$1:$O$10,4,FALSE)</f>
        <v>Callahan Laura</v>
      </c>
      <c r="F606">
        <f>VLOOKUP(A606,[1]!Orders,7,FALSE)</f>
        <v>1</v>
      </c>
      <c r="G606" t="str">
        <f>VLOOKUP(F606,[1]!Shippers,2,FALSE)</f>
        <v>Speedy Express</v>
      </c>
      <c r="H606" t="str">
        <f>VLOOKUP(C606,[1]EmployeeTerritories!$A$1:$B$50,2,FALSE)</f>
        <v>19428</v>
      </c>
      <c r="I606">
        <f>VLOOKUP(C606,[1]EmployeeTerritories!$A$1:$B$50,1,FALSE)</f>
        <v>8</v>
      </c>
      <c r="J606">
        <f>VLOOKUP(H606,[1]!Territories,3,FALSE)</f>
        <v>3</v>
      </c>
      <c r="K606" t="str">
        <f>VLOOKUP(J606,[1]!Region,2,FALSE)</f>
        <v>Northern</v>
      </c>
      <c r="L606">
        <f>VLOOKUP(A606,[1]Order_Details!$A$1:$F$2156,2,FALSE)</f>
        <v>2</v>
      </c>
      <c r="M606" t="str">
        <f>VLOOKUP(L606,[1]!Products,2,FALSE)</f>
        <v>Chang</v>
      </c>
      <c r="N606">
        <f>VLOOKUP(L606,[1]!Products,4,FALSE)</f>
        <v>1</v>
      </c>
      <c r="O606" s="6" t="str">
        <f>VLOOKUP(N606,[1]!Categories,2,FALSE)</f>
        <v>Beverages</v>
      </c>
      <c r="P606" s="6">
        <f>VLOOKUP(A606,[1]Order_Details!$A$1:$F$2156,3,FALSE)</f>
        <v>19</v>
      </c>
      <c r="Q606">
        <f>VLOOKUP(A606,[1]Order_Details!$A$1:$F$2156,4,FALSE)</f>
        <v>15</v>
      </c>
      <c r="R606">
        <f>VLOOKUP(A606,[1]Order_Details!$A$1:$F$2156,5,FALSE)</f>
        <v>0</v>
      </c>
      <c r="S606" s="6">
        <f>VLOOKUP(A606,[1]Order_Details!$A$1:$F$2156,6,FALSE)</f>
        <v>285</v>
      </c>
      <c r="T606" s="6">
        <f>VLOOKUP(A606,[1]!Orders,8,FALSE)</f>
        <v>174.05</v>
      </c>
    </row>
    <row r="607" spans="1:20" x14ac:dyDescent="0.3">
      <c r="A607" s="2">
        <v>10853</v>
      </c>
      <c r="B607" s="2" t="s">
        <v>80</v>
      </c>
      <c r="C607" s="2">
        <v>9</v>
      </c>
      <c r="D607" s="3">
        <v>35822</v>
      </c>
      <c r="E607" t="str">
        <f>VLOOKUP(C607,[1]Employees!$A$1:$O$10,4,FALSE)</f>
        <v>Dodsworth Anne</v>
      </c>
      <c r="F607">
        <f>VLOOKUP(A607,[1]!Orders,7,FALSE)</f>
        <v>2</v>
      </c>
      <c r="G607" t="str">
        <f>VLOOKUP(F607,[1]!Shippers,2,FALSE)</f>
        <v>United Package</v>
      </c>
      <c r="H607" t="str">
        <f>VLOOKUP(C607,[1]EmployeeTerritories!$A$1:$B$50,2,FALSE)</f>
        <v>03049</v>
      </c>
      <c r="I607">
        <f>VLOOKUP(C607,[1]EmployeeTerritories!$A$1:$B$50,1,FALSE)</f>
        <v>9</v>
      </c>
      <c r="J607">
        <f>VLOOKUP(H607,[1]!Territories,3,FALSE)</f>
        <v>3</v>
      </c>
      <c r="K607" t="str">
        <f>VLOOKUP(J607,[1]!Region,2,FALSE)</f>
        <v>Northern</v>
      </c>
      <c r="L607">
        <f>VLOOKUP(A607,[1]Order_Details!$A$1:$F$2156,2,FALSE)</f>
        <v>18</v>
      </c>
      <c r="M607" t="str">
        <f>VLOOKUP(L607,[1]!Products,2,FALSE)</f>
        <v>Carnarvon Tigers</v>
      </c>
      <c r="N607">
        <f>VLOOKUP(L607,[1]!Products,4,FALSE)</f>
        <v>8</v>
      </c>
      <c r="O607" s="6" t="str">
        <f>VLOOKUP(N607,[1]!Categories,2,FALSE)</f>
        <v>Seafood</v>
      </c>
      <c r="P607" s="6">
        <f>VLOOKUP(A607,[1]Order_Details!$A$1:$F$2156,3,FALSE)</f>
        <v>62.5</v>
      </c>
      <c r="Q607">
        <f>VLOOKUP(A607,[1]Order_Details!$A$1:$F$2156,4,FALSE)</f>
        <v>10</v>
      </c>
      <c r="R607">
        <f>VLOOKUP(A607,[1]Order_Details!$A$1:$F$2156,5,FALSE)</f>
        <v>0</v>
      </c>
      <c r="S607" s="6">
        <f>VLOOKUP(A607,[1]Order_Details!$A$1:$F$2156,6,FALSE)</f>
        <v>625</v>
      </c>
      <c r="T607" s="6">
        <f>VLOOKUP(A607,[1]!Orders,8,FALSE)</f>
        <v>53.83</v>
      </c>
    </row>
    <row r="608" spans="1:20" x14ac:dyDescent="0.3">
      <c r="A608" s="2">
        <v>10854</v>
      </c>
      <c r="B608" s="2" t="s">
        <v>13</v>
      </c>
      <c r="C608" s="2">
        <v>3</v>
      </c>
      <c r="D608" s="3">
        <v>35822</v>
      </c>
      <c r="E608" t="str">
        <f>VLOOKUP(C608,[1]Employees!$A$1:$O$10,4,FALSE)</f>
        <v>Leverling Janet</v>
      </c>
      <c r="F608">
        <f>VLOOKUP(A608,[1]!Orders,7,FALSE)</f>
        <v>2</v>
      </c>
      <c r="G608" t="str">
        <f>VLOOKUP(F608,[1]!Shippers,2,FALSE)</f>
        <v>United Package</v>
      </c>
      <c r="H608" t="str">
        <f>VLOOKUP(C608,[1]EmployeeTerritories!$A$1:$B$50,2,FALSE)</f>
        <v>30346</v>
      </c>
      <c r="I608">
        <f>VLOOKUP(C608,[1]EmployeeTerritories!$A$1:$B$50,1,FALSE)</f>
        <v>3</v>
      </c>
      <c r="J608">
        <f>VLOOKUP(H608,[1]!Territories,3,FALSE)</f>
        <v>4</v>
      </c>
      <c r="K608" t="str">
        <f>VLOOKUP(J608,[1]!Region,2,FALSE)</f>
        <v>Southern</v>
      </c>
      <c r="L608">
        <f>VLOOKUP(A608,[1]Order_Details!$A$1:$F$2156,2,FALSE)</f>
        <v>10</v>
      </c>
      <c r="M608" t="str">
        <f>VLOOKUP(L608,[1]!Products,2,FALSE)</f>
        <v>Ikura</v>
      </c>
      <c r="N608">
        <f>VLOOKUP(L608,[1]!Products,4,FALSE)</f>
        <v>8</v>
      </c>
      <c r="O608" s="6" t="str">
        <f>VLOOKUP(N608,[1]!Categories,2,FALSE)</f>
        <v>Seafood</v>
      </c>
      <c r="P608" s="6">
        <f>VLOOKUP(A608,[1]Order_Details!$A$1:$F$2156,3,FALSE)</f>
        <v>31</v>
      </c>
      <c r="Q608">
        <f>VLOOKUP(A608,[1]Order_Details!$A$1:$F$2156,4,FALSE)</f>
        <v>100</v>
      </c>
      <c r="R608">
        <f>VLOOKUP(A608,[1]Order_Details!$A$1:$F$2156,5,FALSE)</f>
        <v>0.15000000596046448</v>
      </c>
      <c r="S608" s="6">
        <f>VLOOKUP(A608,[1]Order_Details!$A$1:$F$2156,6,FALSE)</f>
        <v>2634.9999815225601</v>
      </c>
      <c r="T608" s="6">
        <f>VLOOKUP(A608,[1]!Orders,8,FALSE)</f>
        <v>100.22</v>
      </c>
    </row>
    <row r="609" spans="1:20" x14ac:dyDescent="0.3">
      <c r="A609" s="2">
        <v>10855</v>
      </c>
      <c r="B609" s="2" t="s">
        <v>41</v>
      </c>
      <c r="C609" s="2">
        <v>3</v>
      </c>
      <c r="D609" s="3">
        <v>35822</v>
      </c>
      <c r="E609" t="str">
        <f>VLOOKUP(C609,[1]Employees!$A$1:$O$10,4,FALSE)</f>
        <v>Leverling Janet</v>
      </c>
      <c r="F609">
        <f>VLOOKUP(A609,[1]!Orders,7,FALSE)</f>
        <v>1</v>
      </c>
      <c r="G609" t="str">
        <f>VLOOKUP(F609,[1]!Shippers,2,FALSE)</f>
        <v>Speedy Express</v>
      </c>
      <c r="H609" t="str">
        <f>VLOOKUP(C609,[1]EmployeeTerritories!$A$1:$B$50,2,FALSE)</f>
        <v>30346</v>
      </c>
      <c r="I609">
        <f>VLOOKUP(C609,[1]EmployeeTerritories!$A$1:$B$50,1,FALSE)</f>
        <v>3</v>
      </c>
      <c r="J609">
        <f>VLOOKUP(H609,[1]!Territories,3,FALSE)</f>
        <v>4</v>
      </c>
      <c r="K609" t="str">
        <f>VLOOKUP(J609,[1]!Region,2,FALSE)</f>
        <v>Southern</v>
      </c>
      <c r="L609">
        <f>VLOOKUP(A609,[1]Order_Details!$A$1:$F$2156,2,FALSE)</f>
        <v>16</v>
      </c>
      <c r="M609" t="str">
        <f>VLOOKUP(L609,[1]!Products,2,FALSE)</f>
        <v>Pavlova</v>
      </c>
      <c r="N609">
        <f>VLOOKUP(L609,[1]!Products,4,FALSE)</f>
        <v>3</v>
      </c>
      <c r="O609" s="6" t="str">
        <f>VLOOKUP(N609,[1]!Categories,2,FALSE)</f>
        <v>Confections</v>
      </c>
      <c r="P609" s="6">
        <f>VLOOKUP(A609,[1]Order_Details!$A$1:$F$2156,3,FALSE)</f>
        <v>17.45</v>
      </c>
      <c r="Q609">
        <f>VLOOKUP(A609,[1]Order_Details!$A$1:$F$2156,4,FALSE)</f>
        <v>50</v>
      </c>
      <c r="R609">
        <f>VLOOKUP(A609,[1]Order_Details!$A$1:$F$2156,5,FALSE)</f>
        <v>0</v>
      </c>
      <c r="S609" s="6">
        <f>VLOOKUP(A609,[1]Order_Details!$A$1:$F$2156,6,FALSE)</f>
        <v>872.5</v>
      </c>
      <c r="T609" s="6">
        <f>VLOOKUP(A609,[1]!Orders,8,FALSE)</f>
        <v>170.97</v>
      </c>
    </row>
    <row r="610" spans="1:20" x14ac:dyDescent="0.3">
      <c r="A610" s="2">
        <v>10856</v>
      </c>
      <c r="B610" s="2" t="s">
        <v>63</v>
      </c>
      <c r="C610" s="2">
        <v>3</v>
      </c>
      <c r="D610" s="3">
        <v>35823</v>
      </c>
      <c r="E610" t="str">
        <f>VLOOKUP(C610,[1]Employees!$A$1:$O$10,4,FALSE)</f>
        <v>Leverling Janet</v>
      </c>
      <c r="F610">
        <f>VLOOKUP(A610,[1]!Orders,7,FALSE)</f>
        <v>2</v>
      </c>
      <c r="G610" t="str">
        <f>VLOOKUP(F610,[1]!Shippers,2,FALSE)</f>
        <v>United Package</v>
      </c>
      <c r="H610" t="str">
        <f>VLOOKUP(C610,[1]EmployeeTerritories!$A$1:$B$50,2,FALSE)</f>
        <v>30346</v>
      </c>
      <c r="I610">
        <f>VLOOKUP(C610,[1]EmployeeTerritories!$A$1:$B$50,1,FALSE)</f>
        <v>3</v>
      </c>
      <c r="J610">
        <f>VLOOKUP(H610,[1]!Territories,3,FALSE)</f>
        <v>4</v>
      </c>
      <c r="K610" t="str">
        <f>VLOOKUP(J610,[1]!Region,2,FALSE)</f>
        <v>Southern</v>
      </c>
      <c r="L610">
        <f>VLOOKUP(A610,[1]Order_Details!$A$1:$F$2156,2,FALSE)</f>
        <v>2</v>
      </c>
      <c r="M610" t="str">
        <f>VLOOKUP(L610,[1]!Products,2,FALSE)</f>
        <v>Chang</v>
      </c>
      <c r="N610">
        <f>VLOOKUP(L610,[1]!Products,4,FALSE)</f>
        <v>1</v>
      </c>
      <c r="O610" s="6" t="str">
        <f>VLOOKUP(N610,[1]!Categories,2,FALSE)</f>
        <v>Beverages</v>
      </c>
      <c r="P610" s="6">
        <f>VLOOKUP(A610,[1]Order_Details!$A$1:$F$2156,3,FALSE)</f>
        <v>19</v>
      </c>
      <c r="Q610">
        <f>VLOOKUP(A610,[1]Order_Details!$A$1:$F$2156,4,FALSE)</f>
        <v>20</v>
      </c>
      <c r="R610">
        <f>VLOOKUP(A610,[1]Order_Details!$A$1:$F$2156,5,FALSE)</f>
        <v>0</v>
      </c>
      <c r="S610" s="6">
        <f>VLOOKUP(A610,[1]Order_Details!$A$1:$F$2156,6,FALSE)</f>
        <v>380</v>
      </c>
      <c r="T610" s="6">
        <f>VLOOKUP(A610,[1]!Orders,8,FALSE)</f>
        <v>58.43</v>
      </c>
    </row>
    <row r="611" spans="1:20" x14ac:dyDescent="0.3">
      <c r="A611" s="2">
        <v>10857</v>
      </c>
      <c r="B611" s="2" t="s">
        <v>29</v>
      </c>
      <c r="C611" s="2">
        <v>8</v>
      </c>
      <c r="D611" s="3">
        <v>35823</v>
      </c>
      <c r="E611" t="str">
        <f>VLOOKUP(C611,[1]Employees!$A$1:$O$10,4,FALSE)</f>
        <v>Callahan Laura</v>
      </c>
      <c r="F611">
        <f>VLOOKUP(A611,[1]!Orders,7,FALSE)</f>
        <v>2</v>
      </c>
      <c r="G611" t="str">
        <f>VLOOKUP(F611,[1]!Shippers,2,FALSE)</f>
        <v>United Package</v>
      </c>
      <c r="H611" t="str">
        <f>VLOOKUP(C611,[1]EmployeeTerritories!$A$1:$B$50,2,FALSE)</f>
        <v>19428</v>
      </c>
      <c r="I611">
        <f>VLOOKUP(C611,[1]EmployeeTerritories!$A$1:$B$50,1,FALSE)</f>
        <v>8</v>
      </c>
      <c r="J611">
        <f>VLOOKUP(H611,[1]!Territories,3,FALSE)</f>
        <v>3</v>
      </c>
      <c r="K611" t="str">
        <f>VLOOKUP(J611,[1]!Region,2,FALSE)</f>
        <v>Northern</v>
      </c>
      <c r="L611">
        <f>VLOOKUP(A611,[1]Order_Details!$A$1:$F$2156,2,FALSE)</f>
        <v>3</v>
      </c>
      <c r="M611" t="str">
        <f>VLOOKUP(L611,[1]!Products,2,FALSE)</f>
        <v>Aniseed Syrup</v>
      </c>
      <c r="N611">
        <f>VLOOKUP(L611,[1]!Products,4,FALSE)</f>
        <v>2</v>
      </c>
      <c r="O611" s="6" t="str">
        <f>VLOOKUP(N611,[1]!Categories,2,FALSE)</f>
        <v>Condiments</v>
      </c>
      <c r="P611" s="6">
        <f>VLOOKUP(A611,[1]Order_Details!$A$1:$F$2156,3,FALSE)</f>
        <v>10</v>
      </c>
      <c r="Q611">
        <f>VLOOKUP(A611,[1]Order_Details!$A$1:$F$2156,4,FALSE)</f>
        <v>30</v>
      </c>
      <c r="R611">
        <f>VLOOKUP(A611,[1]Order_Details!$A$1:$F$2156,5,FALSE)</f>
        <v>0</v>
      </c>
      <c r="S611" s="6">
        <f>VLOOKUP(A611,[1]Order_Details!$A$1:$F$2156,6,FALSE)</f>
        <v>300</v>
      </c>
      <c r="T611" s="6">
        <f>VLOOKUP(A611,[1]!Orders,8,FALSE)</f>
        <v>188.85</v>
      </c>
    </row>
    <row r="612" spans="1:20" x14ac:dyDescent="0.3">
      <c r="A612" s="2">
        <v>10858</v>
      </c>
      <c r="B612" s="2" t="s">
        <v>92</v>
      </c>
      <c r="C612" s="2">
        <v>2</v>
      </c>
      <c r="D612" s="3">
        <v>35824</v>
      </c>
      <c r="E612" t="str">
        <f>VLOOKUP(C612,[1]Employees!$A$1:$O$10,4,FALSE)</f>
        <v>Fuller Andrew</v>
      </c>
      <c r="F612">
        <f>VLOOKUP(A612,[1]!Orders,7,FALSE)</f>
        <v>1</v>
      </c>
      <c r="G612" t="str">
        <f>VLOOKUP(F612,[1]!Shippers,2,FALSE)</f>
        <v>Speedy Express</v>
      </c>
      <c r="H612" t="str">
        <f>VLOOKUP(C612,[1]EmployeeTerritories!$A$1:$B$50,2,FALSE)</f>
        <v>01581</v>
      </c>
      <c r="I612">
        <f>VLOOKUP(C612,[1]EmployeeTerritories!$A$1:$B$50,1,FALSE)</f>
        <v>2</v>
      </c>
      <c r="J612">
        <f>VLOOKUP(H612,[1]!Territories,3,FALSE)</f>
        <v>1</v>
      </c>
      <c r="K612" t="str">
        <f>VLOOKUP(J612,[1]!Region,2,FALSE)</f>
        <v>Eastern</v>
      </c>
      <c r="L612">
        <f>VLOOKUP(A612,[1]Order_Details!$A$1:$F$2156,2,FALSE)</f>
        <v>7</v>
      </c>
      <c r="M612" t="str">
        <f>VLOOKUP(L612,[1]!Products,2,FALSE)</f>
        <v>Uncle Bob's Organic Dried Pears</v>
      </c>
      <c r="N612">
        <f>VLOOKUP(L612,[1]!Products,4,FALSE)</f>
        <v>7</v>
      </c>
      <c r="O612" s="6" t="str">
        <f>VLOOKUP(N612,[1]!Categories,2,FALSE)</f>
        <v>Produce</v>
      </c>
      <c r="P612" s="6">
        <f>VLOOKUP(A612,[1]Order_Details!$A$1:$F$2156,3,FALSE)</f>
        <v>30</v>
      </c>
      <c r="Q612">
        <f>VLOOKUP(A612,[1]Order_Details!$A$1:$F$2156,4,FALSE)</f>
        <v>5</v>
      </c>
      <c r="R612">
        <f>VLOOKUP(A612,[1]Order_Details!$A$1:$F$2156,5,FALSE)</f>
        <v>0</v>
      </c>
      <c r="S612" s="6">
        <f>VLOOKUP(A612,[1]Order_Details!$A$1:$F$2156,6,FALSE)</f>
        <v>150</v>
      </c>
      <c r="T612" s="6">
        <f>VLOOKUP(A612,[1]!Orders,8,FALSE)</f>
        <v>52.51</v>
      </c>
    </row>
    <row r="613" spans="1:20" x14ac:dyDescent="0.3">
      <c r="A613" s="2">
        <v>10859</v>
      </c>
      <c r="B613" s="2" t="s">
        <v>21</v>
      </c>
      <c r="C613" s="2">
        <v>1</v>
      </c>
      <c r="D613" s="3">
        <v>35824</v>
      </c>
      <c r="E613" t="str">
        <f>VLOOKUP(C613,[1]Employees!$A$1:$O$10,4,FALSE)</f>
        <v>Davolio Nancy</v>
      </c>
      <c r="F613">
        <f>VLOOKUP(A613,[1]!Orders,7,FALSE)</f>
        <v>2</v>
      </c>
      <c r="G613" t="str">
        <f>VLOOKUP(F613,[1]!Shippers,2,FALSE)</f>
        <v>United Package</v>
      </c>
      <c r="H613" t="str">
        <f>VLOOKUP(C613,[1]EmployeeTerritories!$A$1:$B$50,2,FALSE)</f>
        <v>06897</v>
      </c>
      <c r="I613">
        <f>VLOOKUP(C613,[1]EmployeeTerritories!$A$1:$B$50,1,FALSE)</f>
        <v>1</v>
      </c>
      <c r="J613">
        <f>VLOOKUP(H613,[1]!Territories,3,FALSE)</f>
        <v>1</v>
      </c>
      <c r="K613" t="str">
        <f>VLOOKUP(J613,[1]!Region,2,FALSE)</f>
        <v>Eastern</v>
      </c>
      <c r="L613">
        <f>VLOOKUP(A613,[1]Order_Details!$A$1:$F$2156,2,FALSE)</f>
        <v>24</v>
      </c>
      <c r="M613" t="str">
        <f>VLOOKUP(L613,[1]!Products,2,FALSE)</f>
        <v>Guaraná Fantástica</v>
      </c>
      <c r="N613">
        <f>VLOOKUP(L613,[1]!Products,4,FALSE)</f>
        <v>1</v>
      </c>
      <c r="O613" s="6" t="str">
        <f>VLOOKUP(N613,[1]!Categories,2,FALSE)</f>
        <v>Beverages</v>
      </c>
      <c r="P613" s="6">
        <f>VLOOKUP(A613,[1]Order_Details!$A$1:$F$2156,3,FALSE)</f>
        <v>4.5</v>
      </c>
      <c r="Q613">
        <f>VLOOKUP(A613,[1]Order_Details!$A$1:$F$2156,4,FALSE)</f>
        <v>40</v>
      </c>
      <c r="R613">
        <f>VLOOKUP(A613,[1]Order_Details!$A$1:$F$2156,5,FALSE)</f>
        <v>0.25</v>
      </c>
      <c r="S613" s="6">
        <f>VLOOKUP(A613,[1]Order_Details!$A$1:$F$2156,6,FALSE)</f>
        <v>135</v>
      </c>
      <c r="T613" s="6">
        <f>VLOOKUP(A613,[1]!Orders,8,FALSE)</f>
        <v>76.099999999999994</v>
      </c>
    </row>
    <row r="614" spans="1:20" x14ac:dyDescent="0.3">
      <c r="A614" s="2">
        <v>10860</v>
      </c>
      <c r="B614" s="2" t="s">
        <v>90</v>
      </c>
      <c r="C614" s="2">
        <v>3</v>
      </c>
      <c r="D614" s="3">
        <v>35824</v>
      </c>
      <c r="E614" t="str">
        <f>VLOOKUP(C614,[1]Employees!$A$1:$O$10,4,FALSE)</f>
        <v>Leverling Janet</v>
      </c>
      <c r="F614">
        <f>VLOOKUP(A614,[1]!Orders,7,FALSE)</f>
        <v>3</v>
      </c>
      <c r="G614" t="str">
        <f>VLOOKUP(F614,[1]!Shippers,2,FALSE)</f>
        <v>Federal Shipping</v>
      </c>
      <c r="H614" t="str">
        <f>VLOOKUP(C614,[1]EmployeeTerritories!$A$1:$B$50,2,FALSE)</f>
        <v>30346</v>
      </c>
      <c r="I614">
        <f>VLOOKUP(C614,[1]EmployeeTerritories!$A$1:$B$50,1,FALSE)</f>
        <v>3</v>
      </c>
      <c r="J614">
        <f>VLOOKUP(H614,[1]!Territories,3,FALSE)</f>
        <v>4</v>
      </c>
      <c r="K614" t="str">
        <f>VLOOKUP(J614,[1]!Region,2,FALSE)</f>
        <v>Southern</v>
      </c>
      <c r="L614">
        <f>VLOOKUP(A614,[1]Order_Details!$A$1:$F$2156,2,FALSE)</f>
        <v>51</v>
      </c>
      <c r="M614" t="str">
        <f>VLOOKUP(L614,[1]!Products,2,FALSE)</f>
        <v>Manjimup Dried Apples</v>
      </c>
      <c r="N614">
        <f>VLOOKUP(L614,[1]!Products,4,FALSE)</f>
        <v>7</v>
      </c>
      <c r="O614" s="6" t="str">
        <f>VLOOKUP(N614,[1]!Categories,2,FALSE)</f>
        <v>Produce</v>
      </c>
      <c r="P614" s="6">
        <f>VLOOKUP(A614,[1]Order_Details!$A$1:$F$2156,3,FALSE)</f>
        <v>53</v>
      </c>
      <c r="Q614">
        <f>VLOOKUP(A614,[1]Order_Details!$A$1:$F$2156,4,FALSE)</f>
        <v>3</v>
      </c>
      <c r="R614">
        <f>VLOOKUP(A614,[1]Order_Details!$A$1:$F$2156,5,FALSE)</f>
        <v>0</v>
      </c>
      <c r="S614" s="6">
        <f>VLOOKUP(A614,[1]Order_Details!$A$1:$F$2156,6,FALSE)</f>
        <v>159</v>
      </c>
      <c r="T614" s="6">
        <f>VLOOKUP(A614,[1]!Orders,8,FALSE)</f>
        <v>19.260000000000002</v>
      </c>
    </row>
    <row r="615" spans="1:20" x14ac:dyDescent="0.3">
      <c r="A615" s="2">
        <v>10861</v>
      </c>
      <c r="B615" s="2" t="s">
        <v>23</v>
      </c>
      <c r="C615" s="2">
        <v>4</v>
      </c>
      <c r="D615" s="3">
        <v>35825</v>
      </c>
      <c r="E615" t="str">
        <f>VLOOKUP(C615,[1]Employees!$A$1:$O$10,4,FALSE)</f>
        <v>Peacock Margaret</v>
      </c>
      <c r="F615">
        <f>VLOOKUP(A615,[1]!Orders,7,FALSE)</f>
        <v>2</v>
      </c>
      <c r="G615" t="str">
        <f>VLOOKUP(F615,[1]!Shippers,2,FALSE)</f>
        <v>United Package</v>
      </c>
      <c r="H615" t="str">
        <f>VLOOKUP(C615,[1]EmployeeTerritories!$A$1:$B$50,2,FALSE)</f>
        <v>20852</v>
      </c>
      <c r="I615">
        <f>VLOOKUP(C615,[1]EmployeeTerritories!$A$1:$B$50,1,FALSE)</f>
        <v>4</v>
      </c>
      <c r="J615">
        <f>VLOOKUP(H615,[1]!Territories,3,FALSE)</f>
        <v>1</v>
      </c>
      <c r="K615" t="str">
        <f>VLOOKUP(J615,[1]!Region,2,FALSE)</f>
        <v>Eastern</v>
      </c>
      <c r="L615">
        <f>VLOOKUP(A615,[1]Order_Details!$A$1:$F$2156,2,FALSE)</f>
        <v>17</v>
      </c>
      <c r="M615" t="str">
        <f>VLOOKUP(L615,[1]!Products,2,FALSE)</f>
        <v>Alice Mutton</v>
      </c>
      <c r="N615">
        <f>VLOOKUP(L615,[1]!Products,4,FALSE)</f>
        <v>6</v>
      </c>
      <c r="O615" s="6" t="str">
        <f>VLOOKUP(N615,[1]!Categories,2,FALSE)</f>
        <v>Meat/Poultry</v>
      </c>
      <c r="P615" s="6">
        <f>VLOOKUP(A615,[1]Order_Details!$A$1:$F$2156,3,FALSE)</f>
        <v>39</v>
      </c>
      <c r="Q615">
        <f>VLOOKUP(A615,[1]Order_Details!$A$1:$F$2156,4,FALSE)</f>
        <v>42</v>
      </c>
      <c r="R615">
        <f>VLOOKUP(A615,[1]Order_Details!$A$1:$F$2156,5,FALSE)</f>
        <v>0</v>
      </c>
      <c r="S615" s="6">
        <f>VLOOKUP(A615,[1]Order_Details!$A$1:$F$2156,6,FALSE)</f>
        <v>1638</v>
      </c>
      <c r="T615" s="6">
        <f>VLOOKUP(A615,[1]!Orders,8,FALSE)</f>
        <v>14.93</v>
      </c>
    </row>
    <row r="616" spans="1:20" x14ac:dyDescent="0.3">
      <c r="A616" s="2">
        <v>10862</v>
      </c>
      <c r="B616" s="2" t="s">
        <v>30</v>
      </c>
      <c r="C616" s="2">
        <v>8</v>
      </c>
      <c r="D616" s="3">
        <v>35825</v>
      </c>
      <c r="E616" t="str">
        <f>VLOOKUP(C616,[1]Employees!$A$1:$O$10,4,FALSE)</f>
        <v>Callahan Laura</v>
      </c>
      <c r="F616">
        <f>VLOOKUP(A616,[1]!Orders,7,FALSE)</f>
        <v>2</v>
      </c>
      <c r="G616" t="str">
        <f>VLOOKUP(F616,[1]!Shippers,2,FALSE)</f>
        <v>United Package</v>
      </c>
      <c r="H616" t="str">
        <f>VLOOKUP(C616,[1]EmployeeTerritories!$A$1:$B$50,2,FALSE)</f>
        <v>19428</v>
      </c>
      <c r="I616">
        <f>VLOOKUP(C616,[1]EmployeeTerritories!$A$1:$B$50,1,FALSE)</f>
        <v>8</v>
      </c>
      <c r="J616">
        <f>VLOOKUP(H616,[1]!Territories,3,FALSE)</f>
        <v>3</v>
      </c>
      <c r="K616" t="str">
        <f>VLOOKUP(J616,[1]!Region,2,FALSE)</f>
        <v>Northern</v>
      </c>
      <c r="L616">
        <f>VLOOKUP(A616,[1]Order_Details!$A$1:$F$2156,2,FALSE)</f>
        <v>11</v>
      </c>
      <c r="M616" t="str">
        <f>VLOOKUP(L616,[1]!Products,2,FALSE)</f>
        <v>Queso Cabrales</v>
      </c>
      <c r="N616">
        <f>VLOOKUP(L616,[1]!Products,4,FALSE)</f>
        <v>4</v>
      </c>
      <c r="O616" s="6" t="str">
        <f>VLOOKUP(N616,[1]!Categories,2,FALSE)</f>
        <v>Dairy Products</v>
      </c>
      <c r="P616" s="6">
        <f>VLOOKUP(A616,[1]Order_Details!$A$1:$F$2156,3,FALSE)</f>
        <v>21</v>
      </c>
      <c r="Q616">
        <f>VLOOKUP(A616,[1]Order_Details!$A$1:$F$2156,4,FALSE)</f>
        <v>25</v>
      </c>
      <c r="R616">
        <f>VLOOKUP(A616,[1]Order_Details!$A$1:$F$2156,5,FALSE)</f>
        <v>0</v>
      </c>
      <c r="S616" s="6">
        <f>VLOOKUP(A616,[1]Order_Details!$A$1:$F$2156,6,FALSE)</f>
        <v>525</v>
      </c>
      <c r="T616" s="6">
        <f>VLOOKUP(A616,[1]!Orders,8,FALSE)</f>
        <v>53.23</v>
      </c>
    </row>
    <row r="617" spans="1:20" x14ac:dyDescent="0.3">
      <c r="A617" s="2">
        <v>10863</v>
      </c>
      <c r="B617" s="2" t="s">
        <v>12</v>
      </c>
      <c r="C617" s="2">
        <v>4</v>
      </c>
      <c r="D617" s="3">
        <v>35828</v>
      </c>
      <c r="E617" t="str">
        <f>VLOOKUP(C617,[1]Employees!$A$1:$O$10,4,FALSE)</f>
        <v>Peacock Margaret</v>
      </c>
      <c r="F617">
        <f>VLOOKUP(A617,[1]!Orders,7,FALSE)</f>
        <v>2</v>
      </c>
      <c r="G617" t="str">
        <f>VLOOKUP(F617,[1]!Shippers,2,FALSE)</f>
        <v>United Package</v>
      </c>
      <c r="H617" t="str">
        <f>VLOOKUP(C617,[1]EmployeeTerritories!$A$1:$B$50,2,FALSE)</f>
        <v>20852</v>
      </c>
      <c r="I617">
        <f>VLOOKUP(C617,[1]EmployeeTerritories!$A$1:$B$50,1,FALSE)</f>
        <v>4</v>
      </c>
      <c r="J617">
        <f>VLOOKUP(H617,[1]!Territories,3,FALSE)</f>
        <v>1</v>
      </c>
      <c r="K617" t="str">
        <f>VLOOKUP(J617,[1]!Region,2,FALSE)</f>
        <v>Eastern</v>
      </c>
      <c r="L617">
        <f>VLOOKUP(A617,[1]Order_Details!$A$1:$F$2156,2,FALSE)</f>
        <v>1</v>
      </c>
      <c r="M617" t="str">
        <f>VLOOKUP(L617,[1]!Products,2,FALSE)</f>
        <v>Chai</v>
      </c>
      <c r="N617">
        <f>VLOOKUP(L617,[1]!Products,4,FALSE)</f>
        <v>1</v>
      </c>
      <c r="O617" s="6" t="str">
        <f>VLOOKUP(N617,[1]!Categories,2,FALSE)</f>
        <v>Beverages</v>
      </c>
      <c r="P617" s="6">
        <f>VLOOKUP(A617,[1]Order_Details!$A$1:$F$2156,3,FALSE)</f>
        <v>18</v>
      </c>
      <c r="Q617">
        <f>VLOOKUP(A617,[1]Order_Details!$A$1:$F$2156,4,FALSE)</f>
        <v>20</v>
      </c>
      <c r="R617">
        <f>VLOOKUP(A617,[1]Order_Details!$A$1:$F$2156,5,FALSE)</f>
        <v>0.15000000596046448</v>
      </c>
      <c r="S617" s="6">
        <f>VLOOKUP(A617,[1]Order_Details!$A$1:$F$2156,6,FALSE)</f>
        <v>305.99999785423279</v>
      </c>
      <c r="T617" s="6">
        <f>VLOOKUP(A617,[1]!Orders,8,FALSE)</f>
        <v>30.26</v>
      </c>
    </row>
    <row r="618" spans="1:20" x14ac:dyDescent="0.3">
      <c r="A618" s="2">
        <v>10864</v>
      </c>
      <c r="B618" s="2" t="s">
        <v>59</v>
      </c>
      <c r="C618" s="2">
        <v>4</v>
      </c>
      <c r="D618" s="3">
        <v>35828</v>
      </c>
      <c r="E618" t="str">
        <f>VLOOKUP(C618,[1]Employees!$A$1:$O$10,4,FALSE)</f>
        <v>Peacock Margaret</v>
      </c>
      <c r="F618">
        <f>VLOOKUP(A618,[1]!Orders,7,FALSE)</f>
        <v>2</v>
      </c>
      <c r="G618" t="str">
        <f>VLOOKUP(F618,[1]!Shippers,2,FALSE)</f>
        <v>United Package</v>
      </c>
      <c r="H618" t="str">
        <f>VLOOKUP(C618,[1]EmployeeTerritories!$A$1:$B$50,2,FALSE)</f>
        <v>20852</v>
      </c>
      <c r="I618">
        <f>VLOOKUP(C618,[1]EmployeeTerritories!$A$1:$B$50,1,FALSE)</f>
        <v>4</v>
      </c>
      <c r="J618">
        <f>VLOOKUP(H618,[1]!Territories,3,FALSE)</f>
        <v>1</v>
      </c>
      <c r="K618" t="str">
        <f>VLOOKUP(J618,[1]!Region,2,FALSE)</f>
        <v>Eastern</v>
      </c>
      <c r="L618">
        <f>VLOOKUP(A618,[1]Order_Details!$A$1:$F$2156,2,FALSE)</f>
        <v>35</v>
      </c>
      <c r="M618" t="str">
        <f>VLOOKUP(L618,[1]!Products,2,FALSE)</f>
        <v>Steeleye Stout</v>
      </c>
      <c r="N618">
        <f>VLOOKUP(L618,[1]!Products,4,FALSE)</f>
        <v>1</v>
      </c>
      <c r="O618" s="6" t="str">
        <f>VLOOKUP(N618,[1]!Categories,2,FALSE)</f>
        <v>Beverages</v>
      </c>
      <c r="P618" s="6">
        <f>VLOOKUP(A618,[1]Order_Details!$A$1:$F$2156,3,FALSE)</f>
        <v>18</v>
      </c>
      <c r="Q618">
        <f>VLOOKUP(A618,[1]Order_Details!$A$1:$F$2156,4,FALSE)</f>
        <v>4</v>
      </c>
      <c r="R618">
        <f>VLOOKUP(A618,[1]Order_Details!$A$1:$F$2156,5,FALSE)</f>
        <v>0</v>
      </c>
      <c r="S618" s="6">
        <f>VLOOKUP(A618,[1]Order_Details!$A$1:$F$2156,6,FALSE)</f>
        <v>72</v>
      </c>
      <c r="T618" s="6">
        <f>VLOOKUP(A618,[1]!Orders,8,FALSE)</f>
        <v>3.04</v>
      </c>
    </row>
    <row r="619" spans="1:20" x14ac:dyDescent="0.3">
      <c r="A619" s="2">
        <v>10865</v>
      </c>
      <c r="B619" s="2" t="s">
        <v>25</v>
      </c>
      <c r="C619" s="2">
        <v>2</v>
      </c>
      <c r="D619" s="3">
        <v>35828</v>
      </c>
      <c r="E619" t="str">
        <f>VLOOKUP(C619,[1]Employees!$A$1:$O$10,4,FALSE)</f>
        <v>Fuller Andrew</v>
      </c>
      <c r="F619">
        <f>VLOOKUP(A619,[1]!Orders,7,FALSE)</f>
        <v>1</v>
      </c>
      <c r="G619" t="str">
        <f>VLOOKUP(F619,[1]!Shippers,2,FALSE)</f>
        <v>Speedy Express</v>
      </c>
      <c r="H619" t="str">
        <f>VLOOKUP(C619,[1]EmployeeTerritories!$A$1:$B$50,2,FALSE)</f>
        <v>01581</v>
      </c>
      <c r="I619">
        <f>VLOOKUP(C619,[1]EmployeeTerritories!$A$1:$B$50,1,FALSE)</f>
        <v>2</v>
      </c>
      <c r="J619">
        <f>VLOOKUP(H619,[1]!Territories,3,FALSE)</f>
        <v>1</v>
      </c>
      <c r="K619" t="str">
        <f>VLOOKUP(J619,[1]!Region,2,FALSE)</f>
        <v>Eastern</v>
      </c>
      <c r="L619">
        <f>VLOOKUP(A619,[1]Order_Details!$A$1:$F$2156,2,FALSE)</f>
        <v>38</v>
      </c>
      <c r="M619" t="str">
        <f>VLOOKUP(L619,[1]!Products,2,FALSE)</f>
        <v>Côte de Blaye</v>
      </c>
      <c r="N619">
        <f>VLOOKUP(L619,[1]!Products,4,FALSE)</f>
        <v>1</v>
      </c>
      <c r="O619" s="6" t="str">
        <f>VLOOKUP(N619,[1]!Categories,2,FALSE)</f>
        <v>Beverages</v>
      </c>
      <c r="P619" s="6">
        <f>VLOOKUP(A619,[1]Order_Details!$A$1:$F$2156,3,FALSE)</f>
        <v>263.5</v>
      </c>
      <c r="Q619">
        <f>VLOOKUP(A619,[1]Order_Details!$A$1:$F$2156,4,FALSE)</f>
        <v>60</v>
      </c>
      <c r="R619">
        <f>VLOOKUP(A619,[1]Order_Details!$A$1:$F$2156,5,FALSE)</f>
        <v>5.000000074505806E-2</v>
      </c>
      <c r="S619" s="6">
        <f>VLOOKUP(A619,[1]Order_Details!$A$1:$F$2156,6,FALSE)</f>
        <v>15019.499988220632</v>
      </c>
      <c r="T619" s="6">
        <f>VLOOKUP(A619,[1]!Orders,8,FALSE)</f>
        <v>348.14</v>
      </c>
    </row>
    <row r="620" spans="1:20" x14ac:dyDescent="0.3">
      <c r="A620" s="2">
        <v>10866</v>
      </c>
      <c r="B620" s="2" t="s">
        <v>29</v>
      </c>
      <c r="C620" s="2">
        <v>5</v>
      </c>
      <c r="D620" s="3">
        <v>35829</v>
      </c>
      <c r="E620" t="str">
        <f>VLOOKUP(C620,[1]Employees!$A$1:$O$10,4,FALSE)</f>
        <v>Buchanan Steven</v>
      </c>
      <c r="F620">
        <f>VLOOKUP(A620,[1]!Orders,7,FALSE)</f>
        <v>1</v>
      </c>
      <c r="G620" t="str">
        <f>VLOOKUP(F620,[1]!Shippers,2,FALSE)</f>
        <v>Speedy Express</v>
      </c>
      <c r="H620" t="str">
        <f>VLOOKUP(C620,[1]EmployeeTerritories!$A$1:$B$50,2,FALSE)</f>
        <v>02903</v>
      </c>
      <c r="I620">
        <f>VLOOKUP(C620,[1]EmployeeTerritories!$A$1:$B$50,1,FALSE)</f>
        <v>5</v>
      </c>
      <c r="J620">
        <f>VLOOKUP(H620,[1]!Territories,3,FALSE)</f>
        <v>1</v>
      </c>
      <c r="K620" t="str">
        <f>VLOOKUP(J620,[1]!Region,2,FALSE)</f>
        <v>Eastern</v>
      </c>
      <c r="L620">
        <f>VLOOKUP(A620,[1]Order_Details!$A$1:$F$2156,2,FALSE)</f>
        <v>2</v>
      </c>
      <c r="M620" t="str">
        <f>VLOOKUP(L620,[1]!Products,2,FALSE)</f>
        <v>Chang</v>
      </c>
      <c r="N620">
        <f>VLOOKUP(L620,[1]!Products,4,FALSE)</f>
        <v>1</v>
      </c>
      <c r="O620" s="6" t="str">
        <f>VLOOKUP(N620,[1]!Categories,2,FALSE)</f>
        <v>Beverages</v>
      </c>
      <c r="P620" s="6">
        <f>VLOOKUP(A620,[1]Order_Details!$A$1:$F$2156,3,FALSE)</f>
        <v>19</v>
      </c>
      <c r="Q620">
        <f>VLOOKUP(A620,[1]Order_Details!$A$1:$F$2156,4,FALSE)</f>
        <v>21</v>
      </c>
      <c r="R620">
        <f>VLOOKUP(A620,[1]Order_Details!$A$1:$F$2156,5,FALSE)</f>
        <v>0.25</v>
      </c>
      <c r="S620" s="6">
        <f>VLOOKUP(A620,[1]Order_Details!$A$1:$F$2156,6,FALSE)</f>
        <v>299.25</v>
      </c>
      <c r="T620" s="6">
        <f>VLOOKUP(A620,[1]!Orders,8,FALSE)</f>
        <v>109.11</v>
      </c>
    </row>
    <row r="621" spans="1:20" x14ac:dyDescent="0.3">
      <c r="A621" s="2">
        <v>10867</v>
      </c>
      <c r="B621" s="2" t="s">
        <v>42</v>
      </c>
      <c r="C621" s="2">
        <v>6</v>
      </c>
      <c r="D621" s="3">
        <v>35829</v>
      </c>
      <c r="E621" t="str">
        <f>VLOOKUP(C621,[1]Employees!$A$1:$O$10,4,FALSE)</f>
        <v>Suyama Michael</v>
      </c>
      <c r="F621">
        <f>VLOOKUP(A621,[1]!Orders,7,FALSE)</f>
        <v>1</v>
      </c>
      <c r="G621" t="str">
        <f>VLOOKUP(F621,[1]!Shippers,2,FALSE)</f>
        <v>Speedy Express</v>
      </c>
      <c r="H621" t="str">
        <f>VLOOKUP(C621,[1]EmployeeTerritories!$A$1:$B$50,2,FALSE)</f>
        <v>85014</v>
      </c>
      <c r="I621">
        <f>VLOOKUP(C621,[1]EmployeeTerritories!$A$1:$B$50,1,FALSE)</f>
        <v>6</v>
      </c>
      <c r="J621">
        <f>VLOOKUP(H621,[1]!Territories,3,FALSE)</f>
        <v>2</v>
      </c>
      <c r="K621" t="str">
        <f>VLOOKUP(J621,[1]!Region,2,FALSE)</f>
        <v>Western</v>
      </c>
      <c r="L621">
        <f>VLOOKUP(A621,[1]Order_Details!$A$1:$F$2156,2,FALSE)</f>
        <v>53</v>
      </c>
      <c r="M621" t="str">
        <f>VLOOKUP(L621,[1]!Products,2,FALSE)</f>
        <v>Perth Pasties</v>
      </c>
      <c r="N621">
        <f>VLOOKUP(L621,[1]!Products,4,FALSE)</f>
        <v>6</v>
      </c>
      <c r="O621" s="6" t="str">
        <f>VLOOKUP(N621,[1]!Categories,2,FALSE)</f>
        <v>Meat/Poultry</v>
      </c>
      <c r="P621" s="6">
        <f>VLOOKUP(A621,[1]Order_Details!$A$1:$F$2156,3,FALSE)</f>
        <v>32.799999999999997</v>
      </c>
      <c r="Q621">
        <f>VLOOKUP(A621,[1]Order_Details!$A$1:$F$2156,4,FALSE)</f>
        <v>3</v>
      </c>
      <c r="R621">
        <f>VLOOKUP(A621,[1]Order_Details!$A$1:$F$2156,5,FALSE)</f>
        <v>0</v>
      </c>
      <c r="S621" s="6">
        <f>VLOOKUP(A621,[1]Order_Details!$A$1:$F$2156,6,FALSE)</f>
        <v>98.399999999999991</v>
      </c>
      <c r="T621" s="6">
        <f>VLOOKUP(A621,[1]!Orders,8,FALSE)</f>
        <v>1.93</v>
      </c>
    </row>
    <row r="622" spans="1:20" x14ac:dyDescent="0.3">
      <c r="A622" s="2">
        <v>10868</v>
      </c>
      <c r="B622" s="2" t="s">
        <v>66</v>
      </c>
      <c r="C622" s="2">
        <v>7</v>
      </c>
      <c r="D622" s="3">
        <v>35830</v>
      </c>
      <c r="E622" t="str">
        <f>VLOOKUP(C622,[1]Employees!$A$1:$O$10,4,FALSE)</f>
        <v>King Robert</v>
      </c>
      <c r="F622">
        <f>VLOOKUP(A622,[1]!Orders,7,FALSE)</f>
        <v>2</v>
      </c>
      <c r="G622" t="str">
        <f>VLOOKUP(F622,[1]!Shippers,2,FALSE)</f>
        <v>United Package</v>
      </c>
      <c r="H622" t="str">
        <f>VLOOKUP(C622,[1]EmployeeTerritories!$A$1:$B$50,2,FALSE)</f>
        <v>60179</v>
      </c>
      <c r="I622">
        <f>VLOOKUP(C622,[1]EmployeeTerritories!$A$1:$B$50,1,FALSE)</f>
        <v>7</v>
      </c>
      <c r="J622">
        <f>VLOOKUP(H622,[1]!Territories,3,FALSE)</f>
        <v>2</v>
      </c>
      <c r="K622" t="str">
        <f>VLOOKUP(J622,[1]!Region,2,FALSE)</f>
        <v>Western</v>
      </c>
      <c r="L622">
        <f>VLOOKUP(A622,[1]Order_Details!$A$1:$F$2156,2,FALSE)</f>
        <v>26</v>
      </c>
      <c r="M622" t="str">
        <f>VLOOKUP(L622,[1]!Products,2,FALSE)</f>
        <v>Gumbär Gummibärchen</v>
      </c>
      <c r="N622">
        <f>VLOOKUP(L622,[1]!Products,4,FALSE)</f>
        <v>3</v>
      </c>
      <c r="O622" s="6" t="str">
        <f>VLOOKUP(N622,[1]!Categories,2,FALSE)</f>
        <v>Confections</v>
      </c>
      <c r="P622" s="6">
        <f>VLOOKUP(A622,[1]Order_Details!$A$1:$F$2156,3,FALSE)</f>
        <v>31.23</v>
      </c>
      <c r="Q622">
        <f>VLOOKUP(A622,[1]Order_Details!$A$1:$F$2156,4,FALSE)</f>
        <v>20</v>
      </c>
      <c r="R622">
        <f>VLOOKUP(A622,[1]Order_Details!$A$1:$F$2156,5,FALSE)</f>
        <v>0</v>
      </c>
      <c r="S622" s="6">
        <f>VLOOKUP(A622,[1]Order_Details!$A$1:$F$2156,6,FALSE)</f>
        <v>624.6</v>
      </c>
      <c r="T622" s="6">
        <f>VLOOKUP(A622,[1]!Orders,8,FALSE)</f>
        <v>191.27</v>
      </c>
    </row>
    <row r="623" spans="1:20" x14ac:dyDescent="0.3">
      <c r="A623" s="2">
        <v>10869</v>
      </c>
      <c r="B623" s="2" t="s">
        <v>60</v>
      </c>
      <c r="C623" s="2">
        <v>5</v>
      </c>
      <c r="D623" s="3">
        <v>35830</v>
      </c>
      <c r="E623" t="str">
        <f>VLOOKUP(C623,[1]Employees!$A$1:$O$10,4,FALSE)</f>
        <v>Buchanan Steven</v>
      </c>
      <c r="F623">
        <f>VLOOKUP(A623,[1]!Orders,7,FALSE)</f>
        <v>1</v>
      </c>
      <c r="G623" t="str">
        <f>VLOOKUP(F623,[1]!Shippers,2,FALSE)</f>
        <v>Speedy Express</v>
      </c>
      <c r="H623" t="str">
        <f>VLOOKUP(C623,[1]EmployeeTerritories!$A$1:$B$50,2,FALSE)</f>
        <v>02903</v>
      </c>
      <c r="I623">
        <f>VLOOKUP(C623,[1]EmployeeTerritories!$A$1:$B$50,1,FALSE)</f>
        <v>5</v>
      </c>
      <c r="J623">
        <f>VLOOKUP(H623,[1]!Territories,3,FALSE)</f>
        <v>1</v>
      </c>
      <c r="K623" t="str">
        <f>VLOOKUP(J623,[1]!Region,2,FALSE)</f>
        <v>Eastern</v>
      </c>
      <c r="L623">
        <f>VLOOKUP(A623,[1]Order_Details!$A$1:$F$2156,2,FALSE)</f>
        <v>1</v>
      </c>
      <c r="M623" t="str">
        <f>VLOOKUP(L623,[1]!Products,2,FALSE)</f>
        <v>Chai</v>
      </c>
      <c r="N623">
        <f>VLOOKUP(L623,[1]!Products,4,FALSE)</f>
        <v>1</v>
      </c>
      <c r="O623" s="6" t="str">
        <f>VLOOKUP(N623,[1]!Categories,2,FALSE)</f>
        <v>Beverages</v>
      </c>
      <c r="P623" s="6">
        <f>VLOOKUP(A623,[1]Order_Details!$A$1:$F$2156,3,FALSE)</f>
        <v>18</v>
      </c>
      <c r="Q623">
        <f>VLOOKUP(A623,[1]Order_Details!$A$1:$F$2156,4,FALSE)</f>
        <v>40</v>
      </c>
      <c r="R623">
        <f>VLOOKUP(A623,[1]Order_Details!$A$1:$F$2156,5,FALSE)</f>
        <v>0</v>
      </c>
      <c r="S623" s="6">
        <f>VLOOKUP(A623,[1]Order_Details!$A$1:$F$2156,6,FALSE)</f>
        <v>720</v>
      </c>
      <c r="T623" s="6">
        <f>VLOOKUP(A623,[1]!Orders,8,FALSE)</f>
        <v>143.28</v>
      </c>
    </row>
    <row r="624" spans="1:20" x14ac:dyDescent="0.3">
      <c r="A624" s="2">
        <v>10870</v>
      </c>
      <c r="B624" s="2" t="s">
        <v>67</v>
      </c>
      <c r="C624" s="2">
        <v>5</v>
      </c>
      <c r="D624" s="3">
        <v>35830</v>
      </c>
      <c r="E624" t="str">
        <f>VLOOKUP(C624,[1]Employees!$A$1:$O$10,4,FALSE)</f>
        <v>Buchanan Steven</v>
      </c>
      <c r="F624">
        <f>VLOOKUP(A624,[1]!Orders,7,FALSE)</f>
        <v>3</v>
      </c>
      <c r="G624" t="str">
        <f>VLOOKUP(F624,[1]!Shippers,2,FALSE)</f>
        <v>Federal Shipping</v>
      </c>
      <c r="H624" t="str">
        <f>VLOOKUP(C624,[1]EmployeeTerritories!$A$1:$B$50,2,FALSE)</f>
        <v>02903</v>
      </c>
      <c r="I624">
        <f>VLOOKUP(C624,[1]EmployeeTerritories!$A$1:$B$50,1,FALSE)</f>
        <v>5</v>
      </c>
      <c r="J624">
        <f>VLOOKUP(H624,[1]!Territories,3,FALSE)</f>
        <v>1</v>
      </c>
      <c r="K624" t="str">
        <f>VLOOKUP(J624,[1]!Region,2,FALSE)</f>
        <v>Eastern</v>
      </c>
      <c r="L624">
        <f>VLOOKUP(A624,[1]Order_Details!$A$1:$F$2156,2,FALSE)</f>
        <v>35</v>
      </c>
      <c r="M624" t="str">
        <f>VLOOKUP(L624,[1]!Products,2,FALSE)</f>
        <v>Steeleye Stout</v>
      </c>
      <c r="N624">
        <f>VLOOKUP(L624,[1]!Products,4,FALSE)</f>
        <v>1</v>
      </c>
      <c r="O624" s="6" t="str">
        <f>VLOOKUP(N624,[1]!Categories,2,FALSE)</f>
        <v>Beverages</v>
      </c>
      <c r="P624" s="6">
        <f>VLOOKUP(A624,[1]Order_Details!$A$1:$F$2156,3,FALSE)</f>
        <v>18</v>
      </c>
      <c r="Q624">
        <f>VLOOKUP(A624,[1]Order_Details!$A$1:$F$2156,4,FALSE)</f>
        <v>3</v>
      </c>
      <c r="R624">
        <f>VLOOKUP(A624,[1]Order_Details!$A$1:$F$2156,5,FALSE)</f>
        <v>0</v>
      </c>
      <c r="S624" s="6">
        <f>VLOOKUP(A624,[1]Order_Details!$A$1:$F$2156,6,FALSE)</f>
        <v>54</v>
      </c>
      <c r="T624" s="6">
        <f>VLOOKUP(A624,[1]!Orders,8,FALSE)</f>
        <v>12.04</v>
      </c>
    </row>
    <row r="625" spans="1:20" x14ac:dyDescent="0.3">
      <c r="A625" s="2">
        <v>10871</v>
      </c>
      <c r="B625" s="2" t="s">
        <v>52</v>
      </c>
      <c r="C625" s="2">
        <v>9</v>
      </c>
      <c r="D625" s="3">
        <v>35831</v>
      </c>
      <c r="E625" t="str">
        <f>VLOOKUP(C625,[1]Employees!$A$1:$O$10,4,FALSE)</f>
        <v>Dodsworth Anne</v>
      </c>
      <c r="F625">
        <f>VLOOKUP(A625,[1]!Orders,7,FALSE)</f>
        <v>2</v>
      </c>
      <c r="G625" t="str">
        <f>VLOOKUP(F625,[1]!Shippers,2,FALSE)</f>
        <v>United Package</v>
      </c>
      <c r="H625" t="str">
        <f>VLOOKUP(C625,[1]EmployeeTerritories!$A$1:$B$50,2,FALSE)</f>
        <v>03049</v>
      </c>
      <c r="I625">
        <f>VLOOKUP(C625,[1]EmployeeTerritories!$A$1:$B$50,1,FALSE)</f>
        <v>9</v>
      </c>
      <c r="J625">
        <f>VLOOKUP(H625,[1]!Territories,3,FALSE)</f>
        <v>3</v>
      </c>
      <c r="K625" t="str">
        <f>VLOOKUP(J625,[1]!Region,2,FALSE)</f>
        <v>Northern</v>
      </c>
      <c r="L625">
        <f>VLOOKUP(A625,[1]Order_Details!$A$1:$F$2156,2,FALSE)</f>
        <v>6</v>
      </c>
      <c r="M625" t="str">
        <f>VLOOKUP(L625,[1]!Products,2,FALSE)</f>
        <v>Grandma's Boysenberry Spread</v>
      </c>
      <c r="N625">
        <f>VLOOKUP(L625,[1]!Products,4,FALSE)</f>
        <v>2</v>
      </c>
      <c r="O625" s="6" t="str">
        <f>VLOOKUP(N625,[1]!Categories,2,FALSE)</f>
        <v>Condiments</v>
      </c>
      <c r="P625" s="6">
        <f>VLOOKUP(A625,[1]Order_Details!$A$1:$F$2156,3,FALSE)</f>
        <v>25</v>
      </c>
      <c r="Q625">
        <f>VLOOKUP(A625,[1]Order_Details!$A$1:$F$2156,4,FALSE)</f>
        <v>50</v>
      </c>
      <c r="R625">
        <f>VLOOKUP(A625,[1]Order_Details!$A$1:$F$2156,5,FALSE)</f>
        <v>5.000000074505806E-2</v>
      </c>
      <c r="S625" s="6">
        <f>VLOOKUP(A625,[1]Order_Details!$A$1:$F$2156,6,FALSE)</f>
        <v>1187.4999990686774</v>
      </c>
      <c r="T625" s="6">
        <f>VLOOKUP(A625,[1]!Orders,8,FALSE)</f>
        <v>112.27</v>
      </c>
    </row>
    <row r="626" spans="1:20" x14ac:dyDescent="0.3">
      <c r="A626" s="2">
        <v>10872</v>
      </c>
      <c r="B626" s="2" t="s">
        <v>40</v>
      </c>
      <c r="C626" s="2">
        <v>5</v>
      </c>
      <c r="D626" s="3">
        <v>35831</v>
      </c>
      <c r="E626" t="str">
        <f>VLOOKUP(C626,[1]Employees!$A$1:$O$10,4,FALSE)</f>
        <v>Buchanan Steven</v>
      </c>
      <c r="F626">
        <f>VLOOKUP(A626,[1]!Orders,7,FALSE)</f>
        <v>2</v>
      </c>
      <c r="G626" t="str">
        <f>VLOOKUP(F626,[1]!Shippers,2,FALSE)</f>
        <v>United Package</v>
      </c>
      <c r="H626" t="str">
        <f>VLOOKUP(C626,[1]EmployeeTerritories!$A$1:$B$50,2,FALSE)</f>
        <v>02903</v>
      </c>
      <c r="I626">
        <f>VLOOKUP(C626,[1]EmployeeTerritories!$A$1:$B$50,1,FALSE)</f>
        <v>5</v>
      </c>
      <c r="J626">
        <f>VLOOKUP(H626,[1]!Territories,3,FALSE)</f>
        <v>1</v>
      </c>
      <c r="K626" t="str">
        <f>VLOOKUP(J626,[1]!Region,2,FALSE)</f>
        <v>Eastern</v>
      </c>
      <c r="L626">
        <f>VLOOKUP(A626,[1]Order_Details!$A$1:$F$2156,2,FALSE)</f>
        <v>55</v>
      </c>
      <c r="M626" t="str">
        <f>VLOOKUP(L626,[1]!Products,2,FALSE)</f>
        <v>Pâté chinois</v>
      </c>
      <c r="N626">
        <f>VLOOKUP(L626,[1]!Products,4,FALSE)</f>
        <v>6</v>
      </c>
      <c r="O626" s="6" t="str">
        <f>VLOOKUP(N626,[1]!Categories,2,FALSE)</f>
        <v>Meat/Poultry</v>
      </c>
      <c r="P626" s="6">
        <f>VLOOKUP(A626,[1]Order_Details!$A$1:$F$2156,3,FALSE)</f>
        <v>24</v>
      </c>
      <c r="Q626">
        <f>VLOOKUP(A626,[1]Order_Details!$A$1:$F$2156,4,FALSE)</f>
        <v>10</v>
      </c>
      <c r="R626">
        <f>VLOOKUP(A626,[1]Order_Details!$A$1:$F$2156,5,FALSE)</f>
        <v>5.000000074505806E-2</v>
      </c>
      <c r="S626" s="6">
        <f>VLOOKUP(A626,[1]Order_Details!$A$1:$F$2156,6,FALSE)</f>
        <v>227.99999982118607</v>
      </c>
      <c r="T626" s="6">
        <f>VLOOKUP(A626,[1]!Orders,8,FALSE)</f>
        <v>175.32</v>
      </c>
    </row>
    <row r="627" spans="1:20" x14ac:dyDescent="0.3">
      <c r="A627" s="2">
        <v>10873</v>
      </c>
      <c r="B627" s="2" t="s">
        <v>87</v>
      </c>
      <c r="C627" s="2">
        <v>4</v>
      </c>
      <c r="D627" s="3">
        <v>35832</v>
      </c>
      <c r="E627" t="str">
        <f>VLOOKUP(C627,[1]Employees!$A$1:$O$10,4,FALSE)</f>
        <v>Peacock Margaret</v>
      </c>
      <c r="F627">
        <f>VLOOKUP(A627,[1]!Orders,7,FALSE)</f>
        <v>1</v>
      </c>
      <c r="G627" t="str">
        <f>VLOOKUP(F627,[1]!Shippers,2,FALSE)</f>
        <v>Speedy Express</v>
      </c>
      <c r="H627" t="str">
        <f>VLOOKUP(C627,[1]EmployeeTerritories!$A$1:$B$50,2,FALSE)</f>
        <v>20852</v>
      </c>
      <c r="I627">
        <f>VLOOKUP(C627,[1]EmployeeTerritories!$A$1:$B$50,1,FALSE)</f>
        <v>4</v>
      </c>
      <c r="J627">
        <f>VLOOKUP(H627,[1]!Territories,3,FALSE)</f>
        <v>1</v>
      </c>
      <c r="K627" t="str">
        <f>VLOOKUP(J627,[1]!Region,2,FALSE)</f>
        <v>Eastern</v>
      </c>
      <c r="L627">
        <f>VLOOKUP(A627,[1]Order_Details!$A$1:$F$2156,2,FALSE)</f>
        <v>21</v>
      </c>
      <c r="M627" t="str">
        <f>VLOOKUP(L627,[1]!Products,2,FALSE)</f>
        <v>Sir Rodney's Scones</v>
      </c>
      <c r="N627">
        <f>VLOOKUP(L627,[1]!Products,4,FALSE)</f>
        <v>3</v>
      </c>
      <c r="O627" s="6" t="str">
        <f>VLOOKUP(N627,[1]!Categories,2,FALSE)</f>
        <v>Confections</v>
      </c>
      <c r="P627" s="6">
        <f>VLOOKUP(A627,[1]Order_Details!$A$1:$F$2156,3,FALSE)</f>
        <v>10</v>
      </c>
      <c r="Q627">
        <f>VLOOKUP(A627,[1]Order_Details!$A$1:$F$2156,4,FALSE)</f>
        <v>20</v>
      </c>
      <c r="R627">
        <f>VLOOKUP(A627,[1]Order_Details!$A$1:$F$2156,5,FALSE)</f>
        <v>0</v>
      </c>
      <c r="S627" s="6">
        <f>VLOOKUP(A627,[1]Order_Details!$A$1:$F$2156,6,FALSE)</f>
        <v>200</v>
      </c>
      <c r="T627" s="6">
        <f>VLOOKUP(A627,[1]!Orders,8,FALSE)</f>
        <v>0.82</v>
      </c>
    </row>
    <row r="628" spans="1:20" x14ac:dyDescent="0.3">
      <c r="A628" s="2">
        <v>10874</v>
      </c>
      <c r="B628" s="2" t="s">
        <v>40</v>
      </c>
      <c r="C628" s="2">
        <v>5</v>
      </c>
      <c r="D628" s="3">
        <v>35832</v>
      </c>
      <c r="E628" t="str">
        <f>VLOOKUP(C628,[1]Employees!$A$1:$O$10,4,FALSE)</f>
        <v>Buchanan Steven</v>
      </c>
      <c r="F628">
        <f>VLOOKUP(A628,[1]!Orders,7,FALSE)</f>
        <v>2</v>
      </c>
      <c r="G628" t="str">
        <f>VLOOKUP(F628,[1]!Shippers,2,FALSE)</f>
        <v>United Package</v>
      </c>
      <c r="H628" t="str">
        <f>VLOOKUP(C628,[1]EmployeeTerritories!$A$1:$B$50,2,FALSE)</f>
        <v>02903</v>
      </c>
      <c r="I628">
        <f>VLOOKUP(C628,[1]EmployeeTerritories!$A$1:$B$50,1,FALSE)</f>
        <v>5</v>
      </c>
      <c r="J628">
        <f>VLOOKUP(H628,[1]!Territories,3,FALSE)</f>
        <v>1</v>
      </c>
      <c r="K628" t="str">
        <f>VLOOKUP(J628,[1]!Region,2,FALSE)</f>
        <v>Eastern</v>
      </c>
      <c r="L628">
        <f>VLOOKUP(A628,[1]Order_Details!$A$1:$F$2156,2,FALSE)</f>
        <v>10</v>
      </c>
      <c r="M628" t="str">
        <f>VLOOKUP(L628,[1]!Products,2,FALSE)</f>
        <v>Ikura</v>
      </c>
      <c r="N628">
        <f>VLOOKUP(L628,[1]!Products,4,FALSE)</f>
        <v>8</v>
      </c>
      <c r="O628" s="6" t="str">
        <f>VLOOKUP(N628,[1]!Categories,2,FALSE)</f>
        <v>Seafood</v>
      </c>
      <c r="P628" s="6">
        <f>VLOOKUP(A628,[1]Order_Details!$A$1:$F$2156,3,FALSE)</f>
        <v>31</v>
      </c>
      <c r="Q628">
        <f>VLOOKUP(A628,[1]Order_Details!$A$1:$F$2156,4,FALSE)</f>
        <v>10</v>
      </c>
      <c r="R628">
        <f>VLOOKUP(A628,[1]Order_Details!$A$1:$F$2156,5,FALSE)</f>
        <v>0</v>
      </c>
      <c r="S628" s="6">
        <f>VLOOKUP(A628,[1]Order_Details!$A$1:$F$2156,6,FALSE)</f>
        <v>310</v>
      </c>
      <c r="T628" s="6">
        <f>VLOOKUP(A628,[1]!Orders,8,FALSE)</f>
        <v>19.579999999999998</v>
      </c>
    </row>
    <row r="629" spans="1:20" x14ac:dyDescent="0.3">
      <c r="A629" s="2">
        <v>10875</v>
      </c>
      <c r="B629" s="2" t="s">
        <v>29</v>
      </c>
      <c r="C629" s="2">
        <v>4</v>
      </c>
      <c r="D629" s="3">
        <v>35832</v>
      </c>
      <c r="E629" t="str">
        <f>VLOOKUP(C629,[1]Employees!$A$1:$O$10,4,FALSE)</f>
        <v>Peacock Margaret</v>
      </c>
      <c r="F629">
        <f>VLOOKUP(A629,[1]!Orders,7,FALSE)</f>
        <v>2</v>
      </c>
      <c r="G629" t="str">
        <f>VLOOKUP(F629,[1]!Shippers,2,FALSE)</f>
        <v>United Package</v>
      </c>
      <c r="H629" t="str">
        <f>VLOOKUP(C629,[1]EmployeeTerritories!$A$1:$B$50,2,FALSE)</f>
        <v>20852</v>
      </c>
      <c r="I629">
        <f>VLOOKUP(C629,[1]EmployeeTerritories!$A$1:$B$50,1,FALSE)</f>
        <v>4</v>
      </c>
      <c r="J629">
        <f>VLOOKUP(H629,[1]!Territories,3,FALSE)</f>
        <v>1</v>
      </c>
      <c r="K629" t="str">
        <f>VLOOKUP(J629,[1]!Region,2,FALSE)</f>
        <v>Eastern</v>
      </c>
      <c r="L629">
        <f>VLOOKUP(A629,[1]Order_Details!$A$1:$F$2156,2,FALSE)</f>
        <v>19</v>
      </c>
      <c r="M629" t="str">
        <f>VLOOKUP(L629,[1]!Products,2,FALSE)</f>
        <v>Teatime Chocolate Biscuits</v>
      </c>
      <c r="N629">
        <f>VLOOKUP(L629,[1]!Products,4,FALSE)</f>
        <v>3</v>
      </c>
      <c r="O629" s="6" t="str">
        <f>VLOOKUP(N629,[1]!Categories,2,FALSE)</f>
        <v>Confections</v>
      </c>
      <c r="P629" s="6">
        <f>VLOOKUP(A629,[1]Order_Details!$A$1:$F$2156,3,FALSE)</f>
        <v>9.1999999999999993</v>
      </c>
      <c r="Q629">
        <f>VLOOKUP(A629,[1]Order_Details!$A$1:$F$2156,4,FALSE)</f>
        <v>25</v>
      </c>
      <c r="R629">
        <f>VLOOKUP(A629,[1]Order_Details!$A$1:$F$2156,5,FALSE)</f>
        <v>0</v>
      </c>
      <c r="S629" s="6">
        <f>VLOOKUP(A629,[1]Order_Details!$A$1:$F$2156,6,FALSE)</f>
        <v>229.99999999999997</v>
      </c>
      <c r="T629" s="6">
        <f>VLOOKUP(A629,[1]!Orders,8,FALSE)</f>
        <v>32.369999999999997</v>
      </c>
    </row>
    <row r="630" spans="1:20" x14ac:dyDescent="0.3">
      <c r="A630" s="2">
        <v>10876</v>
      </c>
      <c r="B630" s="2" t="s">
        <v>52</v>
      </c>
      <c r="C630" s="2">
        <v>7</v>
      </c>
      <c r="D630" s="3">
        <v>35835</v>
      </c>
      <c r="E630" t="str">
        <f>VLOOKUP(C630,[1]Employees!$A$1:$O$10,4,FALSE)</f>
        <v>King Robert</v>
      </c>
      <c r="F630">
        <f>VLOOKUP(A630,[1]!Orders,7,FALSE)</f>
        <v>3</v>
      </c>
      <c r="G630" t="str">
        <f>VLOOKUP(F630,[1]!Shippers,2,FALSE)</f>
        <v>Federal Shipping</v>
      </c>
      <c r="H630" t="str">
        <f>VLOOKUP(C630,[1]EmployeeTerritories!$A$1:$B$50,2,FALSE)</f>
        <v>60179</v>
      </c>
      <c r="I630">
        <f>VLOOKUP(C630,[1]EmployeeTerritories!$A$1:$B$50,1,FALSE)</f>
        <v>7</v>
      </c>
      <c r="J630">
        <f>VLOOKUP(H630,[1]!Territories,3,FALSE)</f>
        <v>2</v>
      </c>
      <c r="K630" t="str">
        <f>VLOOKUP(J630,[1]!Region,2,FALSE)</f>
        <v>Western</v>
      </c>
      <c r="L630">
        <f>VLOOKUP(A630,[1]Order_Details!$A$1:$F$2156,2,FALSE)</f>
        <v>46</v>
      </c>
      <c r="M630" t="str">
        <f>VLOOKUP(L630,[1]!Products,2,FALSE)</f>
        <v>Spegesild</v>
      </c>
      <c r="N630">
        <f>VLOOKUP(L630,[1]!Products,4,FALSE)</f>
        <v>8</v>
      </c>
      <c r="O630" s="6" t="str">
        <f>VLOOKUP(N630,[1]!Categories,2,FALSE)</f>
        <v>Seafood</v>
      </c>
      <c r="P630" s="6">
        <f>VLOOKUP(A630,[1]Order_Details!$A$1:$F$2156,3,FALSE)</f>
        <v>12</v>
      </c>
      <c r="Q630">
        <f>VLOOKUP(A630,[1]Order_Details!$A$1:$F$2156,4,FALSE)</f>
        <v>21</v>
      </c>
      <c r="R630">
        <f>VLOOKUP(A630,[1]Order_Details!$A$1:$F$2156,5,FALSE)</f>
        <v>0</v>
      </c>
      <c r="S630" s="6">
        <f>VLOOKUP(A630,[1]Order_Details!$A$1:$F$2156,6,FALSE)</f>
        <v>252</v>
      </c>
      <c r="T630" s="6">
        <f>VLOOKUP(A630,[1]!Orders,8,FALSE)</f>
        <v>60.42</v>
      </c>
    </row>
    <row r="631" spans="1:20" x14ac:dyDescent="0.3">
      <c r="A631" s="2">
        <v>10877</v>
      </c>
      <c r="B631" s="2" t="s">
        <v>33</v>
      </c>
      <c r="C631" s="2">
        <v>1</v>
      </c>
      <c r="D631" s="3">
        <v>35835</v>
      </c>
      <c r="E631" t="str">
        <f>VLOOKUP(C631,[1]Employees!$A$1:$O$10,4,FALSE)</f>
        <v>Davolio Nancy</v>
      </c>
      <c r="F631">
        <f>VLOOKUP(A631,[1]!Orders,7,FALSE)</f>
        <v>1</v>
      </c>
      <c r="G631" t="str">
        <f>VLOOKUP(F631,[1]!Shippers,2,FALSE)</f>
        <v>Speedy Express</v>
      </c>
      <c r="H631" t="str">
        <f>VLOOKUP(C631,[1]EmployeeTerritories!$A$1:$B$50,2,FALSE)</f>
        <v>06897</v>
      </c>
      <c r="I631">
        <f>VLOOKUP(C631,[1]EmployeeTerritories!$A$1:$B$50,1,FALSE)</f>
        <v>1</v>
      </c>
      <c r="J631">
        <f>VLOOKUP(H631,[1]!Territories,3,FALSE)</f>
        <v>1</v>
      </c>
      <c r="K631" t="str">
        <f>VLOOKUP(J631,[1]!Region,2,FALSE)</f>
        <v>Eastern</v>
      </c>
      <c r="L631">
        <f>VLOOKUP(A631,[1]Order_Details!$A$1:$F$2156,2,FALSE)</f>
        <v>16</v>
      </c>
      <c r="M631" t="str">
        <f>VLOOKUP(L631,[1]!Products,2,FALSE)</f>
        <v>Pavlova</v>
      </c>
      <c r="N631">
        <f>VLOOKUP(L631,[1]!Products,4,FALSE)</f>
        <v>3</v>
      </c>
      <c r="O631" s="6" t="str">
        <f>VLOOKUP(N631,[1]!Categories,2,FALSE)</f>
        <v>Confections</v>
      </c>
      <c r="P631" s="6">
        <f>VLOOKUP(A631,[1]Order_Details!$A$1:$F$2156,3,FALSE)</f>
        <v>17.45</v>
      </c>
      <c r="Q631">
        <f>VLOOKUP(A631,[1]Order_Details!$A$1:$F$2156,4,FALSE)</f>
        <v>30</v>
      </c>
      <c r="R631">
        <f>VLOOKUP(A631,[1]Order_Details!$A$1:$F$2156,5,FALSE)</f>
        <v>0.25</v>
      </c>
      <c r="S631" s="6">
        <f>VLOOKUP(A631,[1]Order_Details!$A$1:$F$2156,6,FALSE)</f>
        <v>392.625</v>
      </c>
      <c r="T631" s="6">
        <f>VLOOKUP(A631,[1]!Orders,8,FALSE)</f>
        <v>38.06</v>
      </c>
    </row>
    <row r="632" spans="1:20" x14ac:dyDescent="0.3">
      <c r="A632" s="2">
        <v>10878</v>
      </c>
      <c r="B632" s="2" t="s">
        <v>25</v>
      </c>
      <c r="C632" s="2">
        <v>4</v>
      </c>
      <c r="D632" s="3">
        <v>35836</v>
      </c>
      <c r="E632" t="str">
        <f>VLOOKUP(C632,[1]Employees!$A$1:$O$10,4,FALSE)</f>
        <v>Peacock Margaret</v>
      </c>
      <c r="F632">
        <f>VLOOKUP(A632,[1]!Orders,7,FALSE)</f>
        <v>1</v>
      </c>
      <c r="G632" t="str">
        <f>VLOOKUP(F632,[1]!Shippers,2,FALSE)</f>
        <v>Speedy Express</v>
      </c>
      <c r="H632" t="str">
        <f>VLOOKUP(C632,[1]EmployeeTerritories!$A$1:$B$50,2,FALSE)</f>
        <v>20852</v>
      </c>
      <c r="I632">
        <f>VLOOKUP(C632,[1]EmployeeTerritories!$A$1:$B$50,1,FALSE)</f>
        <v>4</v>
      </c>
      <c r="J632">
        <f>VLOOKUP(H632,[1]!Territories,3,FALSE)</f>
        <v>1</v>
      </c>
      <c r="K632" t="str">
        <f>VLOOKUP(J632,[1]!Region,2,FALSE)</f>
        <v>Eastern</v>
      </c>
      <c r="L632">
        <f>VLOOKUP(A632,[1]Order_Details!$A$1:$F$2156,2,FALSE)</f>
        <v>20</v>
      </c>
      <c r="M632" t="str">
        <f>VLOOKUP(L632,[1]!Products,2,FALSE)</f>
        <v>Sir Rodney's Marmalade</v>
      </c>
      <c r="N632">
        <f>VLOOKUP(L632,[1]!Products,4,FALSE)</f>
        <v>3</v>
      </c>
      <c r="O632" s="6" t="str">
        <f>VLOOKUP(N632,[1]!Categories,2,FALSE)</f>
        <v>Confections</v>
      </c>
      <c r="P632" s="6">
        <f>VLOOKUP(A632,[1]Order_Details!$A$1:$F$2156,3,FALSE)</f>
        <v>81</v>
      </c>
      <c r="Q632">
        <f>VLOOKUP(A632,[1]Order_Details!$A$1:$F$2156,4,FALSE)</f>
        <v>20</v>
      </c>
      <c r="R632">
        <f>VLOOKUP(A632,[1]Order_Details!$A$1:$F$2156,5,FALSE)</f>
        <v>5.000000074505806E-2</v>
      </c>
      <c r="S632" s="6">
        <f>VLOOKUP(A632,[1]Order_Details!$A$1:$F$2156,6,FALSE)</f>
        <v>1538.9999987930059</v>
      </c>
      <c r="T632" s="6">
        <f>VLOOKUP(A632,[1]!Orders,8,FALSE)</f>
        <v>46.69</v>
      </c>
    </row>
    <row r="633" spans="1:20" x14ac:dyDescent="0.3">
      <c r="A633" s="2">
        <v>10879</v>
      </c>
      <c r="B633" s="2" t="s">
        <v>87</v>
      </c>
      <c r="C633" s="2">
        <v>3</v>
      </c>
      <c r="D633" s="3">
        <v>35836</v>
      </c>
      <c r="E633" t="str">
        <f>VLOOKUP(C633,[1]Employees!$A$1:$O$10,4,FALSE)</f>
        <v>Leverling Janet</v>
      </c>
      <c r="F633">
        <f>VLOOKUP(A633,[1]!Orders,7,FALSE)</f>
        <v>3</v>
      </c>
      <c r="G633" t="str">
        <f>VLOOKUP(F633,[1]!Shippers,2,FALSE)</f>
        <v>Federal Shipping</v>
      </c>
      <c r="H633" t="str">
        <f>VLOOKUP(C633,[1]EmployeeTerritories!$A$1:$B$50,2,FALSE)</f>
        <v>30346</v>
      </c>
      <c r="I633">
        <f>VLOOKUP(C633,[1]EmployeeTerritories!$A$1:$B$50,1,FALSE)</f>
        <v>3</v>
      </c>
      <c r="J633">
        <f>VLOOKUP(H633,[1]!Territories,3,FALSE)</f>
        <v>4</v>
      </c>
      <c r="K633" t="str">
        <f>VLOOKUP(J633,[1]!Region,2,FALSE)</f>
        <v>Southern</v>
      </c>
      <c r="L633">
        <f>VLOOKUP(A633,[1]Order_Details!$A$1:$F$2156,2,FALSE)</f>
        <v>40</v>
      </c>
      <c r="M633" t="str">
        <f>VLOOKUP(L633,[1]!Products,2,FALSE)</f>
        <v>Boston Crab Meat</v>
      </c>
      <c r="N633">
        <f>VLOOKUP(L633,[1]!Products,4,FALSE)</f>
        <v>8</v>
      </c>
      <c r="O633" s="6" t="str">
        <f>VLOOKUP(N633,[1]!Categories,2,FALSE)</f>
        <v>Seafood</v>
      </c>
      <c r="P633" s="6">
        <f>VLOOKUP(A633,[1]Order_Details!$A$1:$F$2156,3,FALSE)</f>
        <v>18.399999999999999</v>
      </c>
      <c r="Q633">
        <f>VLOOKUP(A633,[1]Order_Details!$A$1:$F$2156,4,FALSE)</f>
        <v>12</v>
      </c>
      <c r="R633">
        <f>VLOOKUP(A633,[1]Order_Details!$A$1:$F$2156,5,FALSE)</f>
        <v>0</v>
      </c>
      <c r="S633" s="6">
        <f>VLOOKUP(A633,[1]Order_Details!$A$1:$F$2156,6,FALSE)</f>
        <v>220.79999999999998</v>
      </c>
      <c r="T633" s="6">
        <f>VLOOKUP(A633,[1]!Orders,8,FALSE)</f>
        <v>8.5</v>
      </c>
    </row>
    <row r="634" spans="1:20" x14ac:dyDescent="0.3">
      <c r="A634" s="2">
        <v>10880</v>
      </c>
      <c r="B634" s="2" t="s">
        <v>18</v>
      </c>
      <c r="C634" s="2">
        <v>7</v>
      </c>
      <c r="D634" s="3">
        <v>35836</v>
      </c>
      <c r="E634" t="str">
        <f>VLOOKUP(C634,[1]Employees!$A$1:$O$10,4,FALSE)</f>
        <v>King Robert</v>
      </c>
      <c r="F634">
        <f>VLOOKUP(A634,[1]!Orders,7,FALSE)</f>
        <v>1</v>
      </c>
      <c r="G634" t="str">
        <f>VLOOKUP(F634,[1]!Shippers,2,FALSE)</f>
        <v>Speedy Express</v>
      </c>
      <c r="H634" t="str">
        <f>VLOOKUP(C634,[1]EmployeeTerritories!$A$1:$B$50,2,FALSE)</f>
        <v>60179</v>
      </c>
      <c r="I634">
        <f>VLOOKUP(C634,[1]EmployeeTerritories!$A$1:$B$50,1,FALSE)</f>
        <v>7</v>
      </c>
      <c r="J634">
        <f>VLOOKUP(H634,[1]!Territories,3,FALSE)</f>
        <v>2</v>
      </c>
      <c r="K634" t="str">
        <f>VLOOKUP(J634,[1]!Region,2,FALSE)</f>
        <v>Western</v>
      </c>
      <c r="L634">
        <f>VLOOKUP(A634,[1]Order_Details!$A$1:$F$2156,2,FALSE)</f>
        <v>23</v>
      </c>
      <c r="M634" t="str">
        <f>VLOOKUP(L634,[1]!Products,2,FALSE)</f>
        <v>Tunnbröd</v>
      </c>
      <c r="N634">
        <f>VLOOKUP(L634,[1]!Products,4,FALSE)</f>
        <v>5</v>
      </c>
      <c r="O634" s="6" t="str">
        <f>VLOOKUP(N634,[1]!Categories,2,FALSE)</f>
        <v>Grains/Cereals</v>
      </c>
      <c r="P634" s="6">
        <f>VLOOKUP(A634,[1]Order_Details!$A$1:$F$2156,3,FALSE)</f>
        <v>9</v>
      </c>
      <c r="Q634">
        <f>VLOOKUP(A634,[1]Order_Details!$A$1:$F$2156,4,FALSE)</f>
        <v>30</v>
      </c>
      <c r="R634">
        <f>VLOOKUP(A634,[1]Order_Details!$A$1:$F$2156,5,FALSE)</f>
        <v>0.20000000298023224</v>
      </c>
      <c r="S634" s="6">
        <f>VLOOKUP(A634,[1]Order_Details!$A$1:$F$2156,6,FALSE)</f>
        <v>215.9999991953373</v>
      </c>
      <c r="T634" s="6">
        <f>VLOOKUP(A634,[1]!Orders,8,FALSE)</f>
        <v>88.01</v>
      </c>
    </row>
    <row r="635" spans="1:20" x14ac:dyDescent="0.3">
      <c r="A635" s="2">
        <v>10881</v>
      </c>
      <c r="B635" s="2" t="s">
        <v>82</v>
      </c>
      <c r="C635" s="2">
        <v>4</v>
      </c>
      <c r="D635" s="3">
        <v>35837</v>
      </c>
      <c r="E635" t="str">
        <f>VLOOKUP(C635,[1]Employees!$A$1:$O$10,4,FALSE)</f>
        <v>Peacock Margaret</v>
      </c>
      <c r="F635">
        <f>VLOOKUP(A635,[1]!Orders,7,FALSE)</f>
        <v>1</v>
      </c>
      <c r="G635" t="str">
        <f>VLOOKUP(F635,[1]!Shippers,2,FALSE)</f>
        <v>Speedy Express</v>
      </c>
      <c r="H635" t="str">
        <f>VLOOKUP(C635,[1]EmployeeTerritories!$A$1:$B$50,2,FALSE)</f>
        <v>20852</v>
      </c>
      <c r="I635">
        <f>VLOOKUP(C635,[1]EmployeeTerritories!$A$1:$B$50,1,FALSE)</f>
        <v>4</v>
      </c>
      <c r="J635">
        <f>VLOOKUP(H635,[1]!Territories,3,FALSE)</f>
        <v>1</v>
      </c>
      <c r="K635" t="str">
        <f>VLOOKUP(J635,[1]!Region,2,FALSE)</f>
        <v>Eastern</v>
      </c>
      <c r="L635">
        <f>VLOOKUP(A635,[1]Order_Details!$A$1:$F$2156,2,FALSE)</f>
        <v>73</v>
      </c>
      <c r="M635" t="str">
        <f>VLOOKUP(L635,[1]!Products,2,FALSE)</f>
        <v>Röd Kaviar</v>
      </c>
      <c r="N635">
        <f>VLOOKUP(L635,[1]!Products,4,FALSE)</f>
        <v>8</v>
      </c>
      <c r="O635" s="6" t="str">
        <f>VLOOKUP(N635,[1]!Categories,2,FALSE)</f>
        <v>Seafood</v>
      </c>
      <c r="P635" s="6">
        <f>VLOOKUP(A635,[1]Order_Details!$A$1:$F$2156,3,FALSE)</f>
        <v>15</v>
      </c>
      <c r="Q635">
        <f>VLOOKUP(A635,[1]Order_Details!$A$1:$F$2156,4,FALSE)</f>
        <v>10</v>
      </c>
      <c r="R635">
        <f>VLOOKUP(A635,[1]Order_Details!$A$1:$F$2156,5,FALSE)</f>
        <v>0</v>
      </c>
      <c r="S635" s="6">
        <f>VLOOKUP(A635,[1]Order_Details!$A$1:$F$2156,6,FALSE)</f>
        <v>150</v>
      </c>
      <c r="T635" s="6">
        <f>VLOOKUP(A635,[1]!Orders,8,FALSE)</f>
        <v>2.84</v>
      </c>
    </row>
    <row r="636" spans="1:20" x14ac:dyDescent="0.3">
      <c r="A636" s="2">
        <v>10882</v>
      </c>
      <c r="B636" s="2" t="s">
        <v>49</v>
      </c>
      <c r="C636" s="2">
        <v>4</v>
      </c>
      <c r="D636" s="3">
        <v>35837</v>
      </c>
      <c r="E636" t="str">
        <f>VLOOKUP(C636,[1]Employees!$A$1:$O$10,4,FALSE)</f>
        <v>Peacock Margaret</v>
      </c>
      <c r="F636">
        <f>VLOOKUP(A636,[1]!Orders,7,FALSE)</f>
        <v>3</v>
      </c>
      <c r="G636" t="str">
        <f>VLOOKUP(F636,[1]!Shippers,2,FALSE)</f>
        <v>Federal Shipping</v>
      </c>
      <c r="H636" t="str">
        <f>VLOOKUP(C636,[1]EmployeeTerritories!$A$1:$B$50,2,FALSE)</f>
        <v>20852</v>
      </c>
      <c r="I636">
        <f>VLOOKUP(C636,[1]EmployeeTerritories!$A$1:$B$50,1,FALSE)</f>
        <v>4</v>
      </c>
      <c r="J636">
        <f>VLOOKUP(H636,[1]!Territories,3,FALSE)</f>
        <v>1</v>
      </c>
      <c r="K636" t="str">
        <f>VLOOKUP(J636,[1]!Region,2,FALSE)</f>
        <v>Eastern</v>
      </c>
      <c r="L636">
        <f>VLOOKUP(A636,[1]Order_Details!$A$1:$F$2156,2,FALSE)</f>
        <v>42</v>
      </c>
      <c r="M636" t="str">
        <f>VLOOKUP(L636,[1]!Products,2,FALSE)</f>
        <v>Singaporean Hokkien Fried Mee</v>
      </c>
      <c r="N636">
        <f>VLOOKUP(L636,[1]!Products,4,FALSE)</f>
        <v>5</v>
      </c>
      <c r="O636" s="6" t="str">
        <f>VLOOKUP(N636,[1]!Categories,2,FALSE)</f>
        <v>Grains/Cereals</v>
      </c>
      <c r="P636" s="6">
        <f>VLOOKUP(A636,[1]Order_Details!$A$1:$F$2156,3,FALSE)</f>
        <v>14</v>
      </c>
      <c r="Q636">
        <f>VLOOKUP(A636,[1]Order_Details!$A$1:$F$2156,4,FALSE)</f>
        <v>25</v>
      </c>
      <c r="R636">
        <f>VLOOKUP(A636,[1]Order_Details!$A$1:$F$2156,5,FALSE)</f>
        <v>0</v>
      </c>
      <c r="S636" s="6">
        <f>VLOOKUP(A636,[1]Order_Details!$A$1:$F$2156,6,FALSE)</f>
        <v>350</v>
      </c>
      <c r="T636" s="6">
        <f>VLOOKUP(A636,[1]!Orders,8,FALSE)</f>
        <v>23.1</v>
      </c>
    </row>
    <row r="637" spans="1:20" x14ac:dyDescent="0.3">
      <c r="A637" s="2">
        <v>10883</v>
      </c>
      <c r="B637" s="2" t="s">
        <v>42</v>
      </c>
      <c r="C637" s="2">
        <v>8</v>
      </c>
      <c r="D637" s="3">
        <v>35838</v>
      </c>
      <c r="E637" t="str">
        <f>VLOOKUP(C637,[1]Employees!$A$1:$O$10,4,FALSE)</f>
        <v>Callahan Laura</v>
      </c>
      <c r="F637">
        <f>VLOOKUP(A637,[1]!Orders,7,FALSE)</f>
        <v>3</v>
      </c>
      <c r="G637" t="str">
        <f>VLOOKUP(F637,[1]!Shippers,2,FALSE)</f>
        <v>Federal Shipping</v>
      </c>
      <c r="H637" t="str">
        <f>VLOOKUP(C637,[1]EmployeeTerritories!$A$1:$B$50,2,FALSE)</f>
        <v>19428</v>
      </c>
      <c r="I637">
        <f>VLOOKUP(C637,[1]EmployeeTerritories!$A$1:$B$50,1,FALSE)</f>
        <v>8</v>
      </c>
      <c r="J637">
        <f>VLOOKUP(H637,[1]!Territories,3,FALSE)</f>
        <v>3</v>
      </c>
      <c r="K637" t="str">
        <f>VLOOKUP(J637,[1]!Region,2,FALSE)</f>
        <v>Northern</v>
      </c>
      <c r="L637">
        <f>VLOOKUP(A637,[1]Order_Details!$A$1:$F$2156,2,FALSE)</f>
        <v>24</v>
      </c>
      <c r="M637" t="str">
        <f>VLOOKUP(L637,[1]!Products,2,FALSE)</f>
        <v>Guaraná Fantástica</v>
      </c>
      <c r="N637">
        <f>VLOOKUP(L637,[1]!Products,4,FALSE)</f>
        <v>1</v>
      </c>
      <c r="O637" s="6" t="str">
        <f>VLOOKUP(N637,[1]!Categories,2,FALSE)</f>
        <v>Beverages</v>
      </c>
      <c r="P637" s="6">
        <f>VLOOKUP(A637,[1]Order_Details!$A$1:$F$2156,3,FALSE)</f>
        <v>4.5</v>
      </c>
      <c r="Q637">
        <f>VLOOKUP(A637,[1]Order_Details!$A$1:$F$2156,4,FALSE)</f>
        <v>8</v>
      </c>
      <c r="R637">
        <f>VLOOKUP(A637,[1]Order_Details!$A$1:$F$2156,5,FALSE)</f>
        <v>0</v>
      </c>
      <c r="S637" s="6">
        <f>VLOOKUP(A637,[1]Order_Details!$A$1:$F$2156,6,FALSE)</f>
        <v>36</v>
      </c>
      <c r="T637" s="6">
        <f>VLOOKUP(A637,[1]!Orders,8,FALSE)</f>
        <v>0.53</v>
      </c>
    </row>
    <row r="638" spans="1:20" x14ac:dyDescent="0.3">
      <c r="A638" s="2">
        <v>10884</v>
      </c>
      <c r="B638" s="2" t="s">
        <v>86</v>
      </c>
      <c r="C638" s="2">
        <v>4</v>
      </c>
      <c r="D638" s="3">
        <v>35838</v>
      </c>
      <c r="E638" t="str">
        <f>VLOOKUP(C638,[1]Employees!$A$1:$O$10,4,FALSE)</f>
        <v>Peacock Margaret</v>
      </c>
      <c r="F638">
        <f>VLOOKUP(A638,[1]!Orders,7,FALSE)</f>
        <v>2</v>
      </c>
      <c r="G638" t="str">
        <f>VLOOKUP(F638,[1]!Shippers,2,FALSE)</f>
        <v>United Package</v>
      </c>
      <c r="H638" t="str">
        <f>VLOOKUP(C638,[1]EmployeeTerritories!$A$1:$B$50,2,FALSE)</f>
        <v>20852</v>
      </c>
      <c r="I638">
        <f>VLOOKUP(C638,[1]EmployeeTerritories!$A$1:$B$50,1,FALSE)</f>
        <v>4</v>
      </c>
      <c r="J638">
        <f>VLOOKUP(H638,[1]!Territories,3,FALSE)</f>
        <v>1</v>
      </c>
      <c r="K638" t="str">
        <f>VLOOKUP(J638,[1]!Region,2,FALSE)</f>
        <v>Eastern</v>
      </c>
      <c r="L638">
        <f>VLOOKUP(A638,[1]Order_Details!$A$1:$F$2156,2,FALSE)</f>
        <v>21</v>
      </c>
      <c r="M638" t="str">
        <f>VLOOKUP(L638,[1]!Products,2,FALSE)</f>
        <v>Sir Rodney's Scones</v>
      </c>
      <c r="N638">
        <f>VLOOKUP(L638,[1]!Products,4,FALSE)</f>
        <v>3</v>
      </c>
      <c r="O638" s="6" t="str">
        <f>VLOOKUP(N638,[1]!Categories,2,FALSE)</f>
        <v>Confections</v>
      </c>
      <c r="P638" s="6">
        <f>VLOOKUP(A638,[1]Order_Details!$A$1:$F$2156,3,FALSE)</f>
        <v>10</v>
      </c>
      <c r="Q638">
        <f>VLOOKUP(A638,[1]Order_Details!$A$1:$F$2156,4,FALSE)</f>
        <v>40</v>
      </c>
      <c r="R638">
        <f>VLOOKUP(A638,[1]Order_Details!$A$1:$F$2156,5,FALSE)</f>
        <v>5.000000074505806E-2</v>
      </c>
      <c r="S638" s="6">
        <f>VLOOKUP(A638,[1]Order_Details!$A$1:$F$2156,6,FALSE)</f>
        <v>379.99999970197678</v>
      </c>
      <c r="T638" s="6">
        <f>VLOOKUP(A638,[1]!Orders,8,FALSE)</f>
        <v>90.97</v>
      </c>
    </row>
    <row r="639" spans="1:20" x14ac:dyDescent="0.3">
      <c r="A639" s="2">
        <v>10885</v>
      </c>
      <c r="B639" s="2" t="s">
        <v>8</v>
      </c>
      <c r="C639" s="2">
        <v>6</v>
      </c>
      <c r="D639" s="3">
        <v>35838</v>
      </c>
      <c r="E639" t="str">
        <f>VLOOKUP(C639,[1]Employees!$A$1:$O$10,4,FALSE)</f>
        <v>Suyama Michael</v>
      </c>
      <c r="F639">
        <f>VLOOKUP(A639,[1]!Orders,7,FALSE)</f>
        <v>3</v>
      </c>
      <c r="G639" t="str">
        <f>VLOOKUP(F639,[1]!Shippers,2,FALSE)</f>
        <v>Federal Shipping</v>
      </c>
      <c r="H639" t="str">
        <f>VLOOKUP(C639,[1]EmployeeTerritories!$A$1:$B$50,2,FALSE)</f>
        <v>85014</v>
      </c>
      <c r="I639">
        <f>VLOOKUP(C639,[1]EmployeeTerritories!$A$1:$B$50,1,FALSE)</f>
        <v>6</v>
      </c>
      <c r="J639">
        <f>VLOOKUP(H639,[1]!Territories,3,FALSE)</f>
        <v>2</v>
      </c>
      <c r="K639" t="str">
        <f>VLOOKUP(J639,[1]!Region,2,FALSE)</f>
        <v>Western</v>
      </c>
      <c r="L639">
        <f>VLOOKUP(A639,[1]Order_Details!$A$1:$F$2156,2,FALSE)</f>
        <v>2</v>
      </c>
      <c r="M639" t="str">
        <f>VLOOKUP(L639,[1]!Products,2,FALSE)</f>
        <v>Chang</v>
      </c>
      <c r="N639">
        <f>VLOOKUP(L639,[1]!Products,4,FALSE)</f>
        <v>1</v>
      </c>
      <c r="O639" s="6" t="str">
        <f>VLOOKUP(N639,[1]!Categories,2,FALSE)</f>
        <v>Beverages</v>
      </c>
      <c r="P639" s="6">
        <f>VLOOKUP(A639,[1]Order_Details!$A$1:$F$2156,3,FALSE)</f>
        <v>19</v>
      </c>
      <c r="Q639">
        <f>VLOOKUP(A639,[1]Order_Details!$A$1:$F$2156,4,FALSE)</f>
        <v>20</v>
      </c>
      <c r="R639">
        <f>VLOOKUP(A639,[1]Order_Details!$A$1:$F$2156,5,FALSE)</f>
        <v>0</v>
      </c>
      <c r="S639" s="6">
        <f>VLOOKUP(A639,[1]Order_Details!$A$1:$F$2156,6,FALSE)</f>
        <v>380</v>
      </c>
      <c r="T639" s="6">
        <f>VLOOKUP(A639,[1]!Orders,8,FALSE)</f>
        <v>5.64</v>
      </c>
    </row>
    <row r="640" spans="1:20" x14ac:dyDescent="0.3">
      <c r="A640" s="2">
        <v>10886</v>
      </c>
      <c r="B640" s="2" t="s">
        <v>6</v>
      </c>
      <c r="C640" s="2">
        <v>1</v>
      </c>
      <c r="D640" s="3">
        <v>35839</v>
      </c>
      <c r="E640" t="str">
        <f>VLOOKUP(C640,[1]Employees!$A$1:$O$10,4,FALSE)</f>
        <v>Davolio Nancy</v>
      </c>
      <c r="F640">
        <f>VLOOKUP(A640,[1]!Orders,7,FALSE)</f>
        <v>1</v>
      </c>
      <c r="G640" t="str">
        <f>VLOOKUP(F640,[1]!Shippers,2,FALSE)</f>
        <v>Speedy Express</v>
      </c>
      <c r="H640" t="str">
        <f>VLOOKUP(C640,[1]EmployeeTerritories!$A$1:$B$50,2,FALSE)</f>
        <v>06897</v>
      </c>
      <c r="I640">
        <f>VLOOKUP(C640,[1]EmployeeTerritories!$A$1:$B$50,1,FALSE)</f>
        <v>1</v>
      </c>
      <c r="J640">
        <f>VLOOKUP(H640,[1]!Territories,3,FALSE)</f>
        <v>1</v>
      </c>
      <c r="K640" t="str">
        <f>VLOOKUP(J640,[1]!Region,2,FALSE)</f>
        <v>Eastern</v>
      </c>
      <c r="L640">
        <f>VLOOKUP(A640,[1]Order_Details!$A$1:$F$2156,2,FALSE)</f>
        <v>10</v>
      </c>
      <c r="M640" t="str">
        <f>VLOOKUP(L640,[1]!Products,2,FALSE)</f>
        <v>Ikura</v>
      </c>
      <c r="N640">
        <f>VLOOKUP(L640,[1]!Products,4,FALSE)</f>
        <v>8</v>
      </c>
      <c r="O640" s="6" t="str">
        <f>VLOOKUP(N640,[1]!Categories,2,FALSE)</f>
        <v>Seafood</v>
      </c>
      <c r="P640" s="6">
        <f>VLOOKUP(A640,[1]Order_Details!$A$1:$F$2156,3,FALSE)</f>
        <v>31</v>
      </c>
      <c r="Q640">
        <f>VLOOKUP(A640,[1]Order_Details!$A$1:$F$2156,4,FALSE)</f>
        <v>70</v>
      </c>
      <c r="R640">
        <f>VLOOKUP(A640,[1]Order_Details!$A$1:$F$2156,5,FALSE)</f>
        <v>0</v>
      </c>
      <c r="S640" s="6">
        <f>VLOOKUP(A640,[1]Order_Details!$A$1:$F$2156,6,FALSE)</f>
        <v>2170</v>
      </c>
      <c r="T640" s="6">
        <f>VLOOKUP(A640,[1]!Orders,8,FALSE)</f>
        <v>4.99</v>
      </c>
    </row>
    <row r="641" spans="1:20" x14ac:dyDescent="0.3">
      <c r="A641" s="2">
        <v>10887</v>
      </c>
      <c r="B641" s="2" t="s">
        <v>64</v>
      </c>
      <c r="C641" s="2">
        <v>8</v>
      </c>
      <c r="D641" s="3">
        <v>35839</v>
      </c>
      <c r="E641" t="str">
        <f>VLOOKUP(C641,[1]Employees!$A$1:$O$10,4,FALSE)</f>
        <v>Callahan Laura</v>
      </c>
      <c r="F641">
        <f>VLOOKUP(A641,[1]!Orders,7,FALSE)</f>
        <v>3</v>
      </c>
      <c r="G641" t="str">
        <f>VLOOKUP(F641,[1]!Shippers,2,FALSE)</f>
        <v>Federal Shipping</v>
      </c>
      <c r="H641" t="str">
        <f>VLOOKUP(C641,[1]EmployeeTerritories!$A$1:$B$50,2,FALSE)</f>
        <v>19428</v>
      </c>
      <c r="I641">
        <f>VLOOKUP(C641,[1]EmployeeTerritories!$A$1:$B$50,1,FALSE)</f>
        <v>8</v>
      </c>
      <c r="J641">
        <f>VLOOKUP(H641,[1]!Territories,3,FALSE)</f>
        <v>3</v>
      </c>
      <c r="K641" t="str">
        <f>VLOOKUP(J641,[1]!Region,2,FALSE)</f>
        <v>Northern</v>
      </c>
      <c r="L641">
        <f>VLOOKUP(A641,[1]Order_Details!$A$1:$F$2156,2,FALSE)</f>
        <v>25</v>
      </c>
      <c r="M641" t="str">
        <f>VLOOKUP(L641,[1]!Products,2,FALSE)</f>
        <v>NuNuCa Nuß-Nougat-Creme</v>
      </c>
      <c r="N641">
        <f>VLOOKUP(L641,[1]!Products,4,FALSE)</f>
        <v>3</v>
      </c>
      <c r="O641" s="6" t="str">
        <f>VLOOKUP(N641,[1]!Categories,2,FALSE)</f>
        <v>Confections</v>
      </c>
      <c r="P641" s="6">
        <f>VLOOKUP(A641,[1]Order_Details!$A$1:$F$2156,3,FALSE)</f>
        <v>14</v>
      </c>
      <c r="Q641">
        <f>VLOOKUP(A641,[1]Order_Details!$A$1:$F$2156,4,FALSE)</f>
        <v>5</v>
      </c>
      <c r="R641">
        <f>VLOOKUP(A641,[1]Order_Details!$A$1:$F$2156,5,FALSE)</f>
        <v>0</v>
      </c>
      <c r="S641" s="6">
        <f>VLOOKUP(A641,[1]Order_Details!$A$1:$F$2156,6,FALSE)</f>
        <v>70</v>
      </c>
      <c r="T641" s="6">
        <f>VLOOKUP(A641,[1]!Orders,8,FALSE)</f>
        <v>1.25</v>
      </c>
    </row>
    <row r="642" spans="1:20" x14ac:dyDescent="0.3">
      <c r="A642" s="2">
        <v>10888</v>
      </c>
      <c r="B642" s="2" t="s">
        <v>40</v>
      </c>
      <c r="C642" s="2">
        <v>1</v>
      </c>
      <c r="D642" s="3">
        <v>35842</v>
      </c>
      <c r="E642" t="str">
        <f>VLOOKUP(C642,[1]Employees!$A$1:$O$10,4,FALSE)</f>
        <v>Davolio Nancy</v>
      </c>
      <c r="F642">
        <f>VLOOKUP(A642,[1]!Orders,7,FALSE)</f>
        <v>2</v>
      </c>
      <c r="G642" t="str">
        <f>VLOOKUP(F642,[1]!Shippers,2,FALSE)</f>
        <v>United Package</v>
      </c>
      <c r="H642" t="str">
        <f>VLOOKUP(C642,[1]EmployeeTerritories!$A$1:$B$50,2,FALSE)</f>
        <v>06897</v>
      </c>
      <c r="I642">
        <f>VLOOKUP(C642,[1]EmployeeTerritories!$A$1:$B$50,1,FALSE)</f>
        <v>1</v>
      </c>
      <c r="J642">
        <f>VLOOKUP(H642,[1]!Territories,3,FALSE)</f>
        <v>1</v>
      </c>
      <c r="K642" t="str">
        <f>VLOOKUP(J642,[1]!Region,2,FALSE)</f>
        <v>Eastern</v>
      </c>
      <c r="L642">
        <f>VLOOKUP(A642,[1]Order_Details!$A$1:$F$2156,2,FALSE)</f>
        <v>2</v>
      </c>
      <c r="M642" t="str">
        <f>VLOOKUP(L642,[1]!Products,2,FALSE)</f>
        <v>Chang</v>
      </c>
      <c r="N642">
        <f>VLOOKUP(L642,[1]!Products,4,FALSE)</f>
        <v>1</v>
      </c>
      <c r="O642" s="6" t="str">
        <f>VLOOKUP(N642,[1]!Categories,2,FALSE)</f>
        <v>Beverages</v>
      </c>
      <c r="P642" s="6">
        <f>VLOOKUP(A642,[1]Order_Details!$A$1:$F$2156,3,FALSE)</f>
        <v>19</v>
      </c>
      <c r="Q642">
        <f>VLOOKUP(A642,[1]Order_Details!$A$1:$F$2156,4,FALSE)</f>
        <v>20</v>
      </c>
      <c r="R642">
        <f>VLOOKUP(A642,[1]Order_Details!$A$1:$F$2156,5,FALSE)</f>
        <v>0</v>
      </c>
      <c r="S642" s="6">
        <f>VLOOKUP(A642,[1]Order_Details!$A$1:$F$2156,6,FALSE)</f>
        <v>380</v>
      </c>
      <c r="T642" s="6">
        <f>VLOOKUP(A642,[1]!Orders,8,FALSE)</f>
        <v>51.87</v>
      </c>
    </row>
    <row r="643" spans="1:20" x14ac:dyDescent="0.3">
      <c r="A643" s="2">
        <v>10889</v>
      </c>
      <c r="B643" s="2" t="s">
        <v>17</v>
      </c>
      <c r="C643" s="2">
        <v>9</v>
      </c>
      <c r="D643" s="3">
        <v>35842</v>
      </c>
      <c r="E643" t="str">
        <f>VLOOKUP(C643,[1]Employees!$A$1:$O$10,4,FALSE)</f>
        <v>Dodsworth Anne</v>
      </c>
      <c r="F643">
        <f>VLOOKUP(A643,[1]!Orders,7,FALSE)</f>
        <v>3</v>
      </c>
      <c r="G643" t="str">
        <f>VLOOKUP(F643,[1]!Shippers,2,FALSE)</f>
        <v>Federal Shipping</v>
      </c>
      <c r="H643" t="str">
        <f>VLOOKUP(C643,[1]EmployeeTerritories!$A$1:$B$50,2,FALSE)</f>
        <v>03049</v>
      </c>
      <c r="I643">
        <f>VLOOKUP(C643,[1]EmployeeTerritories!$A$1:$B$50,1,FALSE)</f>
        <v>9</v>
      </c>
      <c r="J643">
        <f>VLOOKUP(H643,[1]!Territories,3,FALSE)</f>
        <v>3</v>
      </c>
      <c r="K643" t="str">
        <f>VLOOKUP(J643,[1]!Region,2,FALSE)</f>
        <v>Northern</v>
      </c>
      <c r="L643">
        <f>VLOOKUP(A643,[1]Order_Details!$A$1:$F$2156,2,FALSE)</f>
        <v>11</v>
      </c>
      <c r="M643" t="str">
        <f>VLOOKUP(L643,[1]!Products,2,FALSE)</f>
        <v>Queso Cabrales</v>
      </c>
      <c r="N643">
        <f>VLOOKUP(L643,[1]!Products,4,FALSE)</f>
        <v>4</v>
      </c>
      <c r="O643" s="6" t="str">
        <f>VLOOKUP(N643,[1]!Categories,2,FALSE)</f>
        <v>Dairy Products</v>
      </c>
      <c r="P643" s="6">
        <f>VLOOKUP(A643,[1]Order_Details!$A$1:$F$2156,3,FALSE)</f>
        <v>21</v>
      </c>
      <c r="Q643">
        <f>VLOOKUP(A643,[1]Order_Details!$A$1:$F$2156,4,FALSE)</f>
        <v>40</v>
      </c>
      <c r="R643">
        <f>VLOOKUP(A643,[1]Order_Details!$A$1:$F$2156,5,FALSE)</f>
        <v>0</v>
      </c>
      <c r="S643" s="6">
        <f>VLOOKUP(A643,[1]Order_Details!$A$1:$F$2156,6,FALSE)</f>
        <v>840</v>
      </c>
      <c r="T643" s="6">
        <f>VLOOKUP(A643,[1]!Orders,8,FALSE)</f>
        <v>280.61</v>
      </c>
    </row>
    <row r="644" spans="1:20" x14ac:dyDescent="0.3">
      <c r="A644" s="2">
        <v>10890</v>
      </c>
      <c r="B644" s="2" t="s">
        <v>45</v>
      </c>
      <c r="C644" s="2">
        <v>7</v>
      </c>
      <c r="D644" s="3">
        <v>35842</v>
      </c>
      <c r="E644" t="str">
        <f>VLOOKUP(C644,[1]Employees!$A$1:$O$10,4,FALSE)</f>
        <v>King Robert</v>
      </c>
      <c r="F644">
        <f>VLOOKUP(A644,[1]!Orders,7,FALSE)</f>
        <v>1</v>
      </c>
      <c r="G644" t="str">
        <f>VLOOKUP(F644,[1]!Shippers,2,FALSE)</f>
        <v>Speedy Express</v>
      </c>
      <c r="H644" t="str">
        <f>VLOOKUP(C644,[1]EmployeeTerritories!$A$1:$B$50,2,FALSE)</f>
        <v>60179</v>
      </c>
      <c r="I644">
        <f>VLOOKUP(C644,[1]EmployeeTerritories!$A$1:$B$50,1,FALSE)</f>
        <v>7</v>
      </c>
      <c r="J644">
        <f>VLOOKUP(H644,[1]!Territories,3,FALSE)</f>
        <v>2</v>
      </c>
      <c r="K644" t="str">
        <f>VLOOKUP(J644,[1]!Region,2,FALSE)</f>
        <v>Western</v>
      </c>
      <c r="L644">
        <f>VLOOKUP(A644,[1]Order_Details!$A$1:$F$2156,2,FALSE)</f>
        <v>17</v>
      </c>
      <c r="M644" t="str">
        <f>VLOOKUP(L644,[1]!Products,2,FALSE)</f>
        <v>Alice Mutton</v>
      </c>
      <c r="N644">
        <f>VLOOKUP(L644,[1]!Products,4,FALSE)</f>
        <v>6</v>
      </c>
      <c r="O644" s="6" t="str">
        <f>VLOOKUP(N644,[1]!Categories,2,FALSE)</f>
        <v>Meat/Poultry</v>
      </c>
      <c r="P644" s="6">
        <f>VLOOKUP(A644,[1]Order_Details!$A$1:$F$2156,3,FALSE)</f>
        <v>39</v>
      </c>
      <c r="Q644">
        <f>VLOOKUP(A644,[1]Order_Details!$A$1:$F$2156,4,FALSE)</f>
        <v>15</v>
      </c>
      <c r="R644">
        <f>VLOOKUP(A644,[1]Order_Details!$A$1:$F$2156,5,FALSE)</f>
        <v>0</v>
      </c>
      <c r="S644" s="6">
        <f>VLOOKUP(A644,[1]Order_Details!$A$1:$F$2156,6,FALSE)</f>
        <v>585</v>
      </c>
      <c r="T644" s="6">
        <f>VLOOKUP(A644,[1]!Orders,8,FALSE)</f>
        <v>32.76</v>
      </c>
    </row>
    <row r="645" spans="1:20" x14ac:dyDescent="0.3">
      <c r="A645" s="2">
        <v>10891</v>
      </c>
      <c r="B645" s="2" t="s">
        <v>30</v>
      </c>
      <c r="C645" s="2">
        <v>7</v>
      </c>
      <c r="D645" s="3">
        <v>35843</v>
      </c>
      <c r="E645" t="str">
        <f>VLOOKUP(C645,[1]Employees!$A$1:$O$10,4,FALSE)</f>
        <v>King Robert</v>
      </c>
      <c r="F645">
        <f>VLOOKUP(A645,[1]!Orders,7,FALSE)</f>
        <v>2</v>
      </c>
      <c r="G645" t="str">
        <f>VLOOKUP(F645,[1]!Shippers,2,FALSE)</f>
        <v>United Package</v>
      </c>
      <c r="H645" t="str">
        <f>VLOOKUP(C645,[1]EmployeeTerritories!$A$1:$B$50,2,FALSE)</f>
        <v>60179</v>
      </c>
      <c r="I645">
        <f>VLOOKUP(C645,[1]EmployeeTerritories!$A$1:$B$50,1,FALSE)</f>
        <v>7</v>
      </c>
      <c r="J645">
        <f>VLOOKUP(H645,[1]!Territories,3,FALSE)</f>
        <v>2</v>
      </c>
      <c r="K645" t="str">
        <f>VLOOKUP(J645,[1]!Region,2,FALSE)</f>
        <v>Western</v>
      </c>
      <c r="L645">
        <f>VLOOKUP(A645,[1]Order_Details!$A$1:$F$2156,2,FALSE)</f>
        <v>30</v>
      </c>
      <c r="M645" t="str">
        <f>VLOOKUP(L645,[1]!Products,2,FALSE)</f>
        <v>Nord-Ost Matjeshering</v>
      </c>
      <c r="N645">
        <f>VLOOKUP(L645,[1]!Products,4,FALSE)</f>
        <v>8</v>
      </c>
      <c r="O645" s="6" t="str">
        <f>VLOOKUP(N645,[1]!Categories,2,FALSE)</f>
        <v>Seafood</v>
      </c>
      <c r="P645" s="6">
        <f>VLOOKUP(A645,[1]Order_Details!$A$1:$F$2156,3,FALSE)</f>
        <v>25.89</v>
      </c>
      <c r="Q645">
        <f>VLOOKUP(A645,[1]Order_Details!$A$1:$F$2156,4,FALSE)</f>
        <v>15</v>
      </c>
      <c r="R645">
        <f>VLOOKUP(A645,[1]Order_Details!$A$1:$F$2156,5,FALSE)</f>
        <v>5.000000074505806E-2</v>
      </c>
      <c r="S645" s="6">
        <f>VLOOKUP(A645,[1]Order_Details!$A$1:$F$2156,6,FALSE)</f>
        <v>368.93249971065671</v>
      </c>
      <c r="T645" s="6">
        <f>VLOOKUP(A645,[1]!Orders,8,FALSE)</f>
        <v>20.37</v>
      </c>
    </row>
    <row r="646" spans="1:20" x14ac:dyDescent="0.3">
      <c r="A646" s="2">
        <v>10892</v>
      </c>
      <c r="B646" s="2" t="s">
        <v>84</v>
      </c>
      <c r="C646" s="2">
        <v>4</v>
      </c>
      <c r="D646" s="3">
        <v>35843</v>
      </c>
      <c r="E646" t="str">
        <f>VLOOKUP(C646,[1]Employees!$A$1:$O$10,4,FALSE)</f>
        <v>Peacock Margaret</v>
      </c>
      <c r="F646">
        <f>VLOOKUP(A646,[1]!Orders,7,FALSE)</f>
        <v>2</v>
      </c>
      <c r="G646" t="str">
        <f>VLOOKUP(F646,[1]!Shippers,2,FALSE)</f>
        <v>United Package</v>
      </c>
      <c r="H646" t="str">
        <f>VLOOKUP(C646,[1]EmployeeTerritories!$A$1:$B$50,2,FALSE)</f>
        <v>20852</v>
      </c>
      <c r="I646">
        <f>VLOOKUP(C646,[1]EmployeeTerritories!$A$1:$B$50,1,FALSE)</f>
        <v>4</v>
      </c>
      <c r="J646">
        <f>VLOOKUP(H646,[1]!Territories,3,FALSE)</f>
        <v>1</v>
      </c>
      <c r="K646" t="str">
        <f>VLOOKUP(J646,[1]!Region,2,FALSE)</f>
        <v>Eastern</v>
      </c>
      <c r="L646">
        <f>VLOOKUP(A646,[1]Order_Details!$A$1:$F$2156,2,FALSE)</f>
        <v>59</v>
      </c>
      <c r="M646" t="str">
        <f>VLOOKUP(L646,[1]!Products,2,FALSE)</f>
        <v>Raclette Courdavault</v>
      </c>
      <c r="N646">
        <f>VLOOKUP(L646,[1]!Products,4,FALSE)</f>
        <v>4</v>
      </c>
      <c r="O646" s="6" t="str">
        <f>VLOOKUP(N646,[1]!Categories,2,FALSE)</f>
        <v>Dairy Products</v>
      </c>
      <c r="P646" s="6">
        <f>VLOOKUP(A646,[1]Order_Details!$A$1:$F$2156,3,FALSE)</f>
        <v>55</v>
      </c>
      <c r="Q646">
        <f>VLOOKUP(A646,[1]Order_Details!$A$1:$F$2156,4,FALSE)</f>
        <v>40</v>
      </c>
      <c r="R646">
        <f>VLOOKUP(A646,[1]Order_Details!$A$1:$F$2156,5,FALSE)</f>
        <v>5.000000074505806E-2</v>
      </c>
      <c r="S646" s="6">
        <f>VLOOKUP(A646,[1]Order_Details!$A$1:$F$2156,6,FALSE)</f>
        <v>2089.9999983608723</v>
      </c>
      <c r="T646" s="6">
        <f>VLOOKUP(A646,[1]!Orders,8,FALSE)</f>
        <v>120.27</v>
      </c>
    </row>
    <row r="647" spans="1:20" x14ac:dyDescent="0.3">
      <c r="A647" s="2">
        <v>10893</v>
      </c>
      <c r="B647" s="2" t="s">
        <v>48</v>
      </c>
      <c r="C647" s="2">
        <v>9</v>
      </c>
      <c r="D647" s="3">
        <v>35844</v>
      </c>
      <c r="E647" t="str">
        <f>VLOOKUP(C647,[1]Employees!$A$1:$O$10,4,FALSE)</f>
        <v>Dodsworth Anne</v>
      </c>
      <c r="F647">
        <f>VLOOKUP(A647,[1]!Orders,7,FALSE)</f>
        <v>2</v>
      </c>
      <c r="G647" t="str">
        <f>VLOOKUP(F647,[1]!Shippers,2,FALSE)</f>
        <v>United Package</v>
      </c>
      <c r="H647" t="str">
        <f>VLOOKUP(C647,[1]EmployeeTerritories!$A$1:$B$50,2,FALSE)</f>
        <v>03049</v>
      </c>
      <c r="I647">
        <f>VLOOKUP(C647,[1]EmployeeTerritories!$A$1:$B$50,1,FALSE)</f>
        <v>9</v>
      </c>
      <c r="J647">
        <f>VLOOKUP(H647,[1]!Territories,3,FALSE)</f>
        <v>3</v>
      </c>
      <c r="K647" t="str">
        <f>VLOOKUP(J647,[1]!Region,2,FALSE)</f>
        <v>Northern</v>
      </c>
      <c r="L647">
        <f>VLOOKUP(A647,[1]Order_Details!$A$1:$F$2156,2,FALSE)</f>
        <v>8</v>
      </c>
      <c r="M647" t="str">
        <f>VLOOKUP(L647,[1]!Products,2,FALSE)</f>
        <v>Northwoods Cranberry Sauce</v>
      </c>
      <c r="N647">
        <f>VLOOKUP(L647,[1]!Products,4,FALSE)</f>
        <v>2</v>
      </c>
      <c r="O647" s="6" t="str">
        <f>VLOOKUP(N647,[1]!Categories,2,FALSE)</f>
        <v>Condiments</v>
      </c>
      <c r="P647" s="6">
        <f>VLOOKUP(A647,[1]Order_Details!$A$1:$F$2156,3,FALSE)</f>
        <v>40</v>
      </c>
      <c r="Q647">
        <f>VLOOKUP(A647,[1]Order_Details!$A$1:$F$2156,4,FALSE)</f>
        <v>30</v>
      </c>
      <c r="R647">
        <f>VLOOKUP(A647,[1]Order_Details!$A$1:$F$2156,5,FALSE)</f>
        <v>0</v>
      </c>
      <c r="S647" s="6">
        <f>VLOOKUP(A647,[1]Order_Details!$A$1:$F$2156,6,FALSE)</f>
        <v>1200</v>
      </c>
      <c r="T647" s="6">
        <f>VLOOKUP(A647,[1]!Orders,8,FALSE)</f>
        <v>77.78</v>
      </c>
    </row>
    <row r="648" spans="1:20" x14ac:dyDescent="0.3">
      <c r="A648" s="2">
        <v>10894</v>
      </c>
      <c r="B648" s="2" t="s">
        <v>49</v>
      </c>
      <c r="C648" s="2">
        <v>1</v>
      </c>
      <c r="D648" s="3">
        <v>35844</v>
      </c>
      <c r="E648" t="str">
        <f>VLOOKUP(C648,[1]Employees!$A$1:$O$10,4,FALSE)</f>
        <v>Davolio Nancy</v>
      </c>
      <c r="F648">
        <f>VLOOKUP(A648,[1]!Orders,7,FALSE)</f>
        <v>1</v>
      </c>
      <c r="G648" t="str">
        <f>VLOOKUP(F648,[1]!Shippers,2,FALSE)</f>
        <v>Speedy Express</v>
      </c>
      <c r="H648" t="str">
        <f>VLOOKUP(C648,[1]EmployeeTerritories!$A$1:$B$50,2,FALSE)</f>
        <v>06897</v>
      </c>
      <c r="I648">
        <f>VLOOKUP(C648,[1]EmployeeTerritories!$A$1:$B$50,1,FALSE)</f>
        <v>1</v>
      </c>
      <c r="J648">
        <f>VLOOKUP(H648,[1]!Territories,3,FALSE)</f>
        <v>1</v>
      </c>
      <c r="K648" t="str">
        <f>VLOOKUP(J648,[1]!Region,2,FALSE)</f>
        <v>Eastern</v>
      </c>
      <c r="L648">
        <f>VLOOKUP(A648,[1]Order_Details!$A$1:$F$2156,2,FALSE)</f>
        <v>13</v>
      </c>
      <c r="M648" t="str">
        <f>VLOOKUP(L648,[1]!Products,2,FALSE)</f>
        <v>Konbu</v>
      </c>
      <c r="N648">
        <f>VLOOKUP(L648,[1]!Products,4,FALSE)</f>
        <v>8</v>
      </c>
      <c r="O648" s="6" t="str">
        <f>VLOOKUP(N648,[1]!Categories,2,FALSE)</f>
        <v>Seafood</v>
      </c>
      <c r="P648" s="6">
        <f>VLOOKUP(A648,[1]Order_Details!$A$1:$F$2156,3,FALSE)</f>
        <v>6</v>
      </c>
      <c r="Q648">
        <f>VLOOKUP(A648,[1]Order_Details!$A$1:$F$2156,4,FALSE)</f>
        <v>28</v>
      </c>
      <c r="R648">
        <f>VLOOKUP(A648,[1]Order_Details!$A$1:$F$2156,5,FALSE)</f>
        <v>5.000000074505806E-2</v>
      </c>
      <c r="S648" s="6">
        <f>VLOOKUP(A648,[1]Order_Details!$A$1:$F$2156,6,FALSE)</f>
        <v>159.59999987483025</v>
      </c>
      <c r="T648" s="6">
        <f>VLOOKUP(A648,[1]!Orders,8,FALSE)</f>
        <v>116.13</v>
      </c>
    </row>
    <row r="649" spans="1:20" x14ac:dyDescent="0.3">
      <c r="A649" s="2">
        <v>10895</v>
      </c>
      <c r="B649" s="2" t="s">
        <v>13</v>
      </c>
      <c r="C649" s="2">
        <v>3</v>
      </c>
      <c r="D649" s="3">
        <v>35844</v>
      </c>
      <c r="E649" t="str">
        <f>VLOOKUP(C649,[1]Employees!$A$1:$O$10,4,FALSE)</f>
        <v>Leverling Janet</v>
      </c>
      <c r="F649">
        <f>VLOOKUP(A649,[1]!Orders,7,FALSE)</f>
        <v>1</v>
      </c>
      <c r="G649" t="str">
        <f>VLOOKUP(F649,[1]!Shippers,2,FALSE)</f>
        <v>Speedy Express</v>
      </c>
      <c r="H649" t="str">
        <f>VLOOKUP(C649,[1]EmployeeTerritories!$A$1:$B$50,2,FALSE)</f>
        <v>30346</v>
      </c>
      <c r="I649">
        <f>VLOOKUP(C649,[1]EmployeeTerritories!$A$1:$B$50,1,FALSE)</f>
        <v>3</v>
      </c>
      <c r="J649">
        <f>VLOOKUP(H649,[1]!Territories,3,FALSE)</f>
        <v>4</v>
      </c>
      <c r="K649" t="str">
        <f>VLOOKUP(J649,[1]!Region,2,FALSE)</f>
        <v>Southern</v>
      </c>
      <c r="L649">
        <f>VLOOKUP(A649,[1]Order_Details!$A$1:$F$2156,2,FALSE)</f>
        <v>24</v>
      </c>
      <c r="M649" t="str">
        <f>VLOOKUP(L649,[1]!Products,2,FALSE)</f>
        <v>Guaraná Fantástica</v>
      </c>
      <c r="N649">
        <f>VLOOKUP(L649,[1]!Products,4,FALSE)</f>
        <v>1</v>
      </c>
      <c r="O649" s="6" t="str">
        <f>VLOOKUP(N649,[1]!Categories,2,FALSE)</f>
        <v>Beverages</v>
      </c>
      <c r="P649" s="6">
        <f>VLOOKUP(A649,[1]Order_Details!$A$1:$F$2156,3,FALSE)</f>
        <v>4.5</v>
      </c>
      <c r="Q649">
        <f>VLOOKUP(A649,[1]Order_Details!$A$1:$F$2156,4,FALSE)</f>
        <v>110</v>
      </c>
      <c r="R649">
        <f>VLOOKUP(A649,[1]Order_Details!$A$1:$F$2156,5,FALSE)</f>
        <v>0</v>
      </c>
      <c r="S649" s="6">
        <f>VLOOKUP(A649,[1]Order_Details!$A$1:$F$2156,6,FALSE)</f>
        <v>495</v>
      </c>
      <c r="T649" s="6">
        <f>VLOOKUP(A649,[1]!Orders,8,FALSE)</f>
        <v>162.75</v>
      </c>
    </row>
    <row r="650" spans="1:20" x14ac:dyDescent="0.3">
      <c r="A650" s="2">
        <v>10896</v>
      </c>
      <c r="B650" s="2" t="s">
        <v>84</v>
      </c>
      <c r="C650" s="2">
        <v>7</v>
      </c>
      <c r="D650" s="3">
        <v>35845</v>
      </c>
      <c r="E650" t="str">
        <f>VLOOKUP(C650,[1]Employees!$A$1:$O$10,4,FALSE)</f>
        <v>King Robert</v>
      </c>
      <c r="F650">
        <f>VLOOKUP(A650,[1]!Orders,7,FALSE)</f>
        <v>3</v>
      </c>
      <c r="G650" t="str">
        <f>VLOOKUP(F650,[1]!Shippers,2,FALSE)</f>
        <v>Federal Shipping</v>
      </c>
      <c r="H650" t="str">
        <f>VLOOKUP(C650,[1]EmployeeTerritories!$A$1:$B$50,2,FALSE)</f>
        <v>60179</v>
      </c>
      <c r="I650">
        <f>VLOOKUP(C650,[1]EmployeeTerritories!$A$1:$B$50,1,FALSE)</f>
        <v>7</v>
      </c>
      <c r="J650">
        <f>VLOOKUP(H650,[1]!Territories,3,FALSE)</f>
        <v>2</v>
      </c>
      <c r="K650" t="str">
        <f>VLOOKUP(J650,[1]!Region,2,FALSE)</f>
        <v>Western</v>
      </c>
      <c r="L650">
        <f>VLOOKUP(A650,[1]Order_Details!$A$1:$F$2156,2,FALSE)</f>
        <v>45</v>
      </c>
      <c r="M650" t="str">
        <f>VLOOKUP(L650,[1]!Products,2,FALSE)</f>
        <v>Rogede sild</v>
      </c>
      <c r="N650">
        <f>VLOOKUP(L650,[1]!Products,4,FALSE)</f>
        <v>8</v>
      </c>
      <c r="O650" s="6" t="str">
        <f>VLOOKUP(N650,[1]!Categories,2,FALSE)</f>
        <v>Seafood</v>
      </c>
      <c r="P650" s="6">
        <f>VLOOKUP(A650,[1]Order_Details!$A$1:$F$2156,3,FALSE)</f>
        <v>9.5</v>
      </c>
      <c r="Q650">
        <f>VLOOKUP(A650,[1]Order_Details!$A$1:$F$2156,4,FALSE)</f>
        <v>15</v>
      </c>
      <c r="R650">
        <f>VLOOKUP(A650,[1]Order_Details!$A$1:$F$2156,5,FALSE)</f>
        <v>0</v>
      </c>
      <c r="S650" s="6">
        <f>VLOOKUP(A650,[1]Order_Details!$A$1:$F$2156,6,FALSE)</f>
        <v>142.5</v>
      </c>
      <c r="T650" s="6">
        <f>VLOOKUP(A650,[1]!Orders,8,FALSE)</f>
        <v>32.450000000000003</v>
      </c>
    </row>
    <row r="651" spans="1:20" x14ac:dyDescent="0.3">
      <c r="A651" s="2">
        <v>10897</v>
      </c>
      <c r="B651" s="2" t="s">
        <v>38</v>
      </c>
      <c r="C651" s="2">
        <v>3</v>
      </c>
      <c r="D651" s="3">
        <v>35845</v>
      </c>
      <c r="E651" t="str">
        <f>VLOOKUP(C651,[1]Employees!$A$1:$O$10,4,FALSE)</f>
        <v>Leverling Janet</v>
      </c>
      <c r="F651">
        <f>VLOOKUP(A651,[1]!Orders,7,FALSE)</f>
        <v>2</v>
      </c>
      <c r="G651" t="str">
        <f>VLOOKUP(F651,[1]!Shippers,2,FALSE)</f>
        <v>United Package</v>
      </c>
      <c r="H651" t="str">
        <f>VLOOKUP(C651,[1]EmployeeTerritories!$A$1:$B$50,2,FALSE)</f>
        <v>30346</v>
      </c>
      <c r="I651">
        <f>VLOOKUP(C651,[1]EmployeeTerritories!$A$1:$B$50,1,FALSE)</f>
        <v>3</v>
      </c>
      <c r="J651">
        <f>VLOOKUP(H651,[1]!Territories,3,FALSE)</f>
        <v>4</v>
      </c>
      <c r="K651" t="str">
        <f>VLOOKUP(J651,[1]!Region,2,FALSE)</f>
        <v>Southern</v>
      </c>
      <c r="L651">
        <f>VLOOKUP(A651,[1]Order_Details!$A$1:$F$2156,2,FALSE)</f>
        <v>29</v>
      </c>
      <c r="M651" t="str">
        <f>VLOOKUP(L651,[1]!Products,2,FALSE)</f>
        <v>Thüringer Rostbratwurst</v>
      </c>
      <c r="N651">
        <f>VLOOKUP(L651,[1]!Products,4,FALSE)</f>
        <v>6</v>
      </c>
      <c r="O651" s="6" t="str">
        <f>VLOOKUP(N651,[1]!Categories,2,FALSE)</f>
        <v>Meat/Poultry</v>
      </c>
      <c r="P651" s="6">
        <f>VLOOKUP(A651,[1]Order_Details!$A$1:$F$2156,3,FALSE)</f>
        <v>123.79</v>
      </c>
      <c r="Q651">
        <f>VLOOKUP(A651,[1]Order_Details!$A$1:$F$2156,4,FALSE)</f>
        <v>80</v>
      </c>
      <c r="R651">
        <f>VLOOKUP(A651,[1]Order_Details!$A$1:$F$2156,5,FALSE)</f>
        <v>0</v>
      </c>
      <c r="S651" s="6">
        <f>VLOOKUP(A651,[1]Order_Details!$A$1:$F$2156,6,FALSE)</f>
        <v>9903.2000000000007</v>
      </c>
      <c r="T651" s="6">
        <f>VLOOKUP(A651,[1]!Orders,8,FALSE)</f>
        <v>603.54</v>
      </c>
    </row>
    <row r="652" spans="1:20" x14ac:dyDescent="0.3">
      <c r="A652" s="2">
        <v>10898</v>
      </c>
      <c r="B652" s="2" t="s">
        <v>73</v>
      </c>
      <c r="C652" s="2">
        <v>4</v>
      </c>
      <c r="D652" s="3">
        <v>35846</v>
      </c>
      <c r="E652" t="str">
        <f>VLOOKUP(C652,[1]Employees!$A$1:$O$10,4,FALSE)</f>
        <v>Peacock Margaret</v>
      </c>
      <c r="F652">
        <f>VLOOKUP(A652,[1]!Orders,7,FALSE)</f>
        <v>2</v>
      </c>
      <c r="G652" t="str">
        <f>VLOOKUP(F652,[1]!Shippers,2,FALSE)</f>
        <v>United Package</v>
      </c>
      <c r="H652" t="str">
        <f>VLOOKUP(C652,[1]EmployeeTerritories!$A$1:$B$50,2,FALSE)</f>
        <v>20852</v>
      </c>
      <c r="I652">
        <f>VLOOKUP(C652,[1]EmployeeTerritories!$A$1:$B$50,1,FALSE)</f>
        <v>4</v>
      </c>
      <c r="J652">
        <f>VLOOKUP(H652,[1]!Territories,3,FALSE)</f>
        <v>1</v>
      </c>
      <c r="K652" t="str">
        <f>VLOOKUP(J652,[1]!Region,2,FALSE)</f>
        <v>Eastern</v>
      </c>
      <c r="L652">
        <f>VLOOKUP(A652,[1]Order_Details!$A$1:$F$2156,2,FALSE)</f>
        <v>13</v>
      </c>
      <c r="M652" t="str">
        <f>VLOOKUP(L652,[1]!Products,2,FALSE)</f>
        <v>Konbu</v>
      </c>
      <c r="N652">
        <f>VLOOKUP(L652,[1]!Products,4,FALSE)</f>
        <v>8</v>
      </c>
      <c r="O652" s="6" t="str">
        <f>VLOOKUP(N652,[1]!Categories,2,FALSE)</f>
        <v>Seafood</v>
      </c>
      <c r="P652" s="6">
        <f>VLOOKUP(A652,[1]Order_Details!$A$1:$F$2156,3,FALSE)</f>
        <v>6</v>
      </c>
      <c r="Q652">
        <f>VLOOKUP(A652,[1]Order_Details!$A$1:$F$2156,4,FALSE)</f>
        <v>5</v>
      </c>
      <c r="R652">
        <f>VLOOKUP(A652,[1]Order_Details!$A$1:$F$2156,5,FALSE)</f>
        <v>0</v>
      </c>
      <c r="S652" s="6">
        <f>VLOOKUP(A652,[1]Order_Details!$A$1:$F$2156,6,FALSE)</f>
        <v>30</v>
      </c>
      <c r="T652" s="6">
        <f>VLOOKUP(A652,[1]!Orders,8,FALSE)</f>
        <v>1.27</v>
      </c>
    </row>
    <row r="653" spans="1:20" x14ac:dyDescent="0.3">
      <c r="A653" s="2">
        <v>10899</v>
      </c>
      <c r="B653" s="2" t="s">
        <v>32</v>
      </c>
      <c r="C653" s="2">
        <v>5</v>
      </c>
      <c r="D653" s="3">
        <v>35846</v>
      </c>
      <c r="E653" t="str">
        <f>VLOOKUP(C653,[1]Employees!$A$1:$O$10,4,FALSE)</f>
        <v>Buchanan Steven</v>
      </c>
      <c r="F653">
        <f>VLOOKUP(A653,[1]!Orders,7,FALSE)</f>
        <v>3</v>
      </c>
      <c r="G653" t="str">
        <f>VLOOKUP(F653,[1]!Shippers,2,FALSE)</f>
        <v>Federal Shipping</v>
      </c>
      <c r="H653" t="str">
        <f>VLOOKUP(C653,[1]EmployeeTerritories!$A$1:$B$50,2,FALSE)</f>
        <v>02903</v>
      </c>
      <c r="I653">
        <f>VLOOKUP(C653,[1]EmployeeTerritories!$A$1:$B$50,1,FALSE)</f>
        <v>5</v>
      </c>
      <c r="J653">
        <f>VLOOKUP(H653,[1]!Territories,3,FALSE)</f>
        <v>1</v>
      </c>
      <c r="K653" t="str">
        <f>VLOOKUP(J653,[1]!Region,2,FALSE)</f>
        <v>Eastern</v>
      </c>
      <c r="L653">
        <f>VLOOKUP(A653,[1]Order_Details!$A$1:$F$2156,2,FALSE)</f>
        <v>39</v>
      </c>
      <c r="M653" t="str">
        <f>VLOOKUP(L653,[1]!Products,2,FALSE)</f>
        <v>Chartreuse verte</v>
      </c>
      <c r="N653">
        <f>VLOOKUP(L653,[1]!Products,4,FALSE)</f>
        <v>1</v>
      </c>
      <c r="O653" s="6" t="str">
        <f>VLOOKUP(N653,[1]!Categories,2,FALSE)</f>
        <v>Beverages</v>
      </c>
      <c r="P653" s="6">
        <f>VLOOKUP(A653,[1]Order_Details!$A$1:$F$2156,3,FALSE)</f>
        <v>18</v>
      </c>
      <c r="Q653">
        <f>VLOOKUP(A653,[1]Order_Details!$A$1:$F$2156,4,FALSE)</f>
        <v>8</v>
      </c>
      <c r="R653">
        <f>VLOOKUP(A653,[1]Order_Details!$A$1:$F$2156,5,FALSE)</f>
        <v>0.15000000596046448</v>
      </c>
      <c r="S653" s="6">
        <f>VLOOKUP(A653,[1]Order_Details!$A$1:$F$2156,6,FALSE)</f>
        <v>122.39999914169312</v>
      </c>
      <c r="T653" s="6">
        <f>VLOOKUP(A653,[1]!Orders,8,FALSE)</f>
        <v>1.21</v>
      </c>
    </row>
    <row r="654" spans="1:20" x14ac:dyDescent="0.3">
      <c r="A654" s="2">
        <v>10900</v>
      </c>
      <c r="B654" s="2" t="s">
        <v>11</v>
      </c>
      <c r="C654" s="2">
        <v>1</v>
      </c>
      <c r="D654" s="3">
        <v>35846</v>
      </c>
      <c r="E654" t="str">
        <f>VLOOKUP(C654,[1]Employees!$A$1:$O$10,4,FALSE)</f>
        <v>Davolio Nancy</v>
      </c>
      <c r="F654">
        <f>VLOOKUP(A654,[1]!Orders,7,FALSE)</f>
        <v>2</v>
      </c>
      <c r="G654" t="str">
        <f>VLOOKUP(F654,[1]!Shippers,2,FALSE)</f>
        <v>United Package</v>
      </c>
      <c r="H654" t="str">
        <f>VLOOKUP(C654,[1]EmployeeTerritories!$A$1:$B$50,2,FALSE)</f>
        <v>06897</v>
      </c>
      <c r="I654">
        <f>VLOOKUP(C654,[1]EmployeeTerritories!$A$1:$B$50,1,FALSE)</f>
        <v>1</v>
      </c>
      <c r="J654">
        <f>VLOOKUP(H654,[1]!Territories,3,FALSE)</f>
        <v>1</v>
      </c>
      <c r="K654" t="str">
        <f>VLOOKUP(J654,[1]!Region,2,FALSE)</f>
        <v>Eastern</v>
      </c>
      <c r="L654">
        <f>VLOOKUP(A654,[1]Order_Details!$A$1:$F$2156,2,FALSE)</f>
        <v>70</v>
      </c>
      <c r="M654" t="str">
        <f>VLOOKUP(L654,[1]!Products,2,FALSE)</f>
        <v>Outback Lager</v>
      </c>
      <c r="N654">
        <f>VLOOKUP(L654,[1]!Products,4,FALSE)</f>
        <v>1</v>
      </c>
      <c r="O654" s="6" t="str">
        <f>VLOOKUP(N654,[1]!Categories,2,FALSE)</f>
        <v>Beverages</v>
      </c>
      <c r="P654" s="6">
        <f>VLOOKUP(A654,[1]Order_Details!$A$1:$F$2156,3,FALSE)</f>
        <v>15</v>
      </c>
      <c r="Q654">
        <f>VLOOKUP(A654,[1]Order_Details!$A$1:$F$2156,4,FALSE)</f>
        <v>3</v>
      </c>
      <c r="R654">
        <f>VLOOKUP(A654,[1]Order_Details!$A$1:$F$2156,5,FALSE)</f>
        <v>0.25</v>
      </c>
      <c r="S654" s="6">
        <f>VLOOKUP(A654,[1]Order_Details!$A$1:$F$2156,6,FALSE)</f>
        <v>33.75</v>
      </c>
      <c r="T654" s="6">
        <f>VLOOKUP(A654,[1]!Orders,8,FALSE)</f>
        <v>1.66</v>
      </c>
    </row>
    <row r="655" spans="1:20" x14ac:dyDescent="0.3">
      <c r="A655" s="2">
        <v>10901</v>
      </c>
      <c r="B655" s="2" t="s">
        <v>12</v>
      </c>
      <c r="C655" s="2">
        <v>4</v>
      </c>
      <c r="D655" s="3">
        <v>35849</v>
      </c>
      <c r="E655" t="str">
        <f>VLOOKUP(C655,[1]Employees!$A$1:$O$10,4,FALSE)</f>
        <v>Peacock Margaret</v>
      </c>
      <c r="F655">
        <f>VLOOKUP(A655,[1]!Orders,7,FALSE)</f>
        <v>1</v>
      </c>
      <c r="G655" t="str">
        <f>VLOOKUP(F655,[1]!Shippers,2,FALSE)</f>
        <v>Speedy Express</v>
      </c>
      <c r="H655" t="str">
        <f>VLOOKUP(C655,[1]EmployeeTerritories!$A$1:$B$50,2,FALSE)</f>
        <v>20852</v>
      </c>
      <c r="I655">
        <f>VLOOKUP(C655,[1]EmployeeTerritories!$A$1:$B$50,1,FALSE)</f>
        <v>4</v>
      </c>
      <c r="J655">
        <f>VLOOKUP(H655,[1]!Territories,3,FALSE)</f>
        <v>1</v>
      </c>
      <c r="K655" t="str">
        <f>VLOOKUP(J655,[1]!Region,2,FALSE)</f>
        <v>Eastern</v>
      </c>
      <c r="L655">
        <f>VLOOKUP(A655,[1]Order_Details!$A$1:$F$2156,2,FALSE)</f>
        <v>41</v>
      </c>
      <c r="M655" t="str">
        <f>VLOOKUP(L655,[1]!Products,2,FALSE)</f>
        <v>Jack's New England Clam Chowder</v>
      </c>
      <c r="N655">
        <f>VLOOKUP(L655,[1]!Products,4,FALSE)</f>
        <v>8</v>
      </c>
      <c r="O655" s="6" t="str">
        <f>VLOOKUP(N655,[1]!Categories,2,FALSE)</f>
        <v>Seafood</v>
      </c>
      <c r="P655" s="6">
        <f>VLOOKUP(A655,[1]Order_Details!$A$1:$F$2156,3,FALSE)</f>
        <v>9.65</v>
      </c>
      <c r="Q655">
        <f>VLOOKUP(A655,[1]Order_Details!$A$1:$F$2156,4,FALSE)</f>
        <v>30</v>
      </c>
      <c r="R655">
        <f>VLOOKUP(A655,[1]Order_Details!$A$1:$F$2156,5,FALSE)</f>
        <v>0</v>
      </c>
      <c r="S655" s="6">
        <f>VLOOKUP(A655,[1]Order_Details!$A$1:$F$2156,6,FALSE)</f>
        <v>289.5</v>
      </c>
      <c r="T655" s="6">
        <f>VLOOKUP(A655,[1]!Orders,8,FALSE)</f>
        <v>62.09</v>
      </c>
    </row>
    <row r="656" spans="1:20" x14ac:dyDescent="0.3">
      <c r="A656" s="2">
        <v>10902</v>
      </c>
      <c r="B656" s="2" t="s">
        <v>18</v>
      </c>
      <c r="C656" s="2">
        <v>1</v>
      </c>
      <c r="D656" s="3">
        <v>35849</v>
      </c>
      <c r="E656" t="str">
        <f>VLOOKUP(C656,[1]Employees!$A$1:$O$10,4,FALSE)</f>
        <v>Davolio Nancy</v>
      </c>
      <c r="F656">
        <f>VLOOKUP(A656,[1]!Orders,7,FALSE)</f>
        <v>1</v>
      </c>
      <c r="G656" t="str">
        <f>VLOOKUP(F656,[1]!Shippers,2,FALSE)</f>
        <v>Speedy Express</v>
      </c>
      <c r="H656" t="str">
        <f>VLOOKUP(C656,[1]EmployeeTerritories!$A$1:$B$50,2,FALSE)</f>
        <v>06897</v>
      </c>
      <c r="I656">
        <f>VLOOKUP(C656,[1]EmployeeTerritories!$A$1:$B$50,1,FALSE)</f>
        <v>1</v>
      </c>
      <c r="J656">
        <f>VLOOKUP(H656,[1]!Territories,3,FALSE)</f>
        <v>1</v>
      </c>
      <c r="K656" t="str">
        <f>VLOOKUP(J656,[1]!Region,2,FALSE)</f>
        <v>Eastern</v>
      </c>
      <c r="L656">
        <f>VLOOKUP(A656,[1]Order_Details!$A$1:$F$2156,2,FALSE)</f>
        <v>55</v>
      </c>
      <c r="M656" t="str">
        <f>VLOOKUP(L656,[1]!Products,2,FALSE)</f>
        <v>Pâté chinois</v>
      </c>
      <c r="N656">
        <f>VLOOKUP(L656,[1]!Products,4,FALSE)</f>
        <v>6</v>
      </c>
      <c r="O656" s="6" t="str">
        <f>VLOOKUP(N656,[1]!Categories,2,FALSE)</f>
        <v>Meat/Poultry</v>
      </c>
      <c r="P656" s="6">
        <f>VLOOKUP(A656,[1]Order_Details!$A$1:$F$2156,3,FALSE)</f>
        <v>24</v>
      </c>
      <c r="Q656">
        <f>VLOOKUP(A656,[1]Order_Details!$A$1:$F$2156,4,FALSE)</f>
        <v>30</v>
      </c>
      <c r="R656">
        <f>VLOOKUP(A656,[1]Order_Details!$A$1:$F$2156,5,FALSE)</f>
        <v>0.15000000596046448</v>
      </c>
      <c r="S656" s="6">
        <f>VLOOKUP(A656,[1]Order_Details!$A$1:$F$2156,6,FALSE)</f>
        <v>611.99999570846558</v>
      </c>
      <c r="T656" s="6">
        <f>VLOOKUP(A656,[1]!Orders,8,FALSE)</f>
        <v>44.15</v>
      </c>
    </row>
    <row r="657" spans="1:20" x14ac:dyDescent="0.3">
      <c r="A657" s="2">
        <v>10903</v>
      </c>
      <c r="B657" s="2" t="s">
        <v>6</v>
      </c>
      <c r="C657" s="2">
        <v>3</v>
      </c>
      <c r="D657" s="3">
        <v>35850</v>
      </c>
      <c r="E657" t="str">
        <f>VLOOKUP(C657,[1]Employees!$A$1:$O$10,4,FALSE)</f>
        <v>Leverling Janet</v>
      </c>
      <c r="F657">
        <f>VLOOKUP(A657,[1]!Orders,7,FALSE)</f>
        <v>3</v>
      </c>
      <c r="G657" t="str">
        <f>VLOOKUP(F657,[1]!Shippers,2,FALSE)</f>
        <v>Federal Shipping</v>
      </c>
      <c r="H657" t="str">
        <f>VLOOKUP(C657,[1]EmployeeTerritories!$A$1:$B$50,2,FALSE)</f>
        <v>30346</v>
      </c>
      <c r="I657">
        <f>VLOOKUP(C657,[1]EmployeeTerritories!$A$1:$B$50,1,FALSE)</f>
        <v>3</v>
      </c>
      <c r="J657">
        <f>VLOOKUP(H657,[1]!Territories,3,FALSE)</f>
        <v>4</v>
      </c>
      <c r="K657" t="str">
        <f>VLOOKUP(J657,[1]!Region,2,FALSE)</f>
        <v>Southern</v>
      </c>
      <c r="L657">
        <f>VLOOKUP(A657,[1]Order_Details!$A$1:$F$2156,2,FALSE)</f>
        <v>13</v>
      </c>
      <c r="M657" t="str">
        <f>VLOOKUP(L657,[1]!Products,2,FALSE)</f>
        <v>Konbu</v>
      </c>
      <c r="N657">
        <f>VLOOKUP(L657,[1]!Products,4,FALSE)</f>
        <v>8</v>
      </c>
      <c r="O657" s="6" t="str">
        <f>VLOOKUP(N657,[1]!Categories,2,FALSE)</f>
        <v>Seafood</v>
      </c>
      <c r="P657" s="6">
        <f>VLOOKUP(A657,[1]Order_Details!$A$1:$F$2156,3,FALSE)</f>
        <v>6</v>
      </c>
      <c r="Q657">
        <f>VLOOKUP(A657,[1]Order_Details!$A$1:$F$2156,4,FALSE)</f>
        <v>40</v>
      </c>
      <c r="R657">
        <f>VLOOKUP(A657,[1]Order_Details!$A$1:$F$2156,5,FALSE)</f>
        <v>0</v>
      </c>
      <c r="S657" s="6">
        <f>VLOOKUP(A657,[1]Order_Details!$A$1:$F$2156,6,FALSE)</f>
        <v>240</v>
      </c>
      <c r="T657" s="6">
        <f>VLOOKUP(A657,[1]!Orders,8,FALSE)</f>
        <v>36.71</v>
      </c>
    </row>
    <row r="658" spans="1:20" x14ac:dyDescent="0.3">
      <c r="A658" s="2">
        <v>10904</v>
      </c>
      <c r="B658" s="2" t="s">
        <v>23</v>
      </c>
      <c r="C658" s="2">
        <v>3</v>
      </c>
      <c r="D658" s="3">
        <v>35850</v>
      </c>
      <c r="E658" t="str">
        <f>VLOOKUP(C658,[1]Employees!$A$1:$O$10,4,FALSE)</f>
        <v>Leverling Janet</v>
      </c>
      <c r="F658">
        <f>VLOOKUP(A658,[1]!Orders,7,FALSE)</f>
        <v>3</v>
      </c>
      <c r="G658" t="str">
        <f>VLOOKUP(F658,[1]!Shippers,2,FALSE)</f>
        <v>Federal Shipping</v>
      </c>
      <c r="H658" t="str">
        <f>VLOOKUP(C658,[1]EmployeeTerritories!$A$1:$B$50,2,FALSE)</f>
        <v>30346</v>
      </c>
      <c r="I658">
        <f>VLOOKUP(C658,[1]EmployeeTerritories!$A$1:$B$50,1,FALSE)</f>
        <v>3</v>
      </c>
      <c r="J658">
        <f>VLOOKUP(H658,[1]!Territories,3,FALSE)</f>
        <v>4</v>
      </c>
      <c r="K658" t="str">
        <f>VLOOKUP(J658,[1]!Region,2,FALSE)</f>
        <v>Southern</v>
      </c>
      <c r="L658">
        <f>VLOOKUP(A658,[1]Order_Details!$A$1:$F$2156,2,FALSE)</f>
        <v>58</v>
      </c>
      <c r="M658" t="str">
        <f>VLOOKUP(L658,[1]!Products,2,FALSE)</f>
        <v>Escargots de Bourgogne</v>
      </c>
      <c r="N658">
        <f>VLOOKUP(L658,[1]!Products,4,FALSE)</f>
        <v>8</v>
      </c>
      <c r="O658" s="6" t="str">
        <f>VLOOKUP(N658,[1]!Categories,2,FALSE)</f>
        <v>Seafood</v>
      </c>
      <c r="P658" s="6">
        <f>VLOOKUP(A658,[1]Order_Details!$A$1:$F$2156,3,FALSE)</f>
        <v>13.25</v>
      </c>
      <c r="Q658">
        <f>VLOOKUP(A658,[1]Order_Details!$A$1:$F$2156,4,FALSE)</f>
        <v>15</v>
      </c>
      <c r="R658">
        <f>VLOOKUP(A658,[1]Order_Details!$A$1:$F$2156,5,FALSE)</f>
        <v>0</v>
      </c>
      <c r="S658" s="6">
        <f>VLOOKUP(A658,[1]Order_Details!$A$1:$F$2156,6,FALSE)</f>
        <v>198.75</v>
      </c>
      <c r="T658" s="6">
        <f>VLOOKUP(A658,[1]!Orders,8,FALSE)</f>
        <v>162.94999999999999</v>
      </c>
    </row>
    <row r="659" spans="1:20" x14ac:dyDescent="0.3">
      <c r="A659" s="2">
        <v>10905</v>
      </c>
      <c r="B659" s="2" t="s">
        <v>11</v>
      </c>
      <c r="C659" s="2">
        <v>9</v>
      </c>
      <c r="D659" s="3">
        <v>35850</v>
      </c>
      <c r="E659" t="str">
        <f>VLOOKUP(C659,[1]Employees!$A$1:$O$10,4,FALSE)</f>
        <v>Dodsworth Anne</v>
      </c>
      <c r="F659">
        <f>VLOOKUP(A659,[1]!Orders,7,FALSE)</f>
        <v>2</v>
      </c>
      <c r="G659" t="str">
        <f>VLOOKUP(F659,[1]!Shippers,2,FALSE)</f>
        <v>United Package</v>
      </c>
      <c r="H659" t="str">
        <f>VLOOKUP(C659,[1]EmployeeTerritories!$A$1:$B$50,2,FALSE)</f>
        <v>03049</v>
      </c>
      <c r="I659">
        <f>VLOOKUP(C659,[1]EmployeeTerritories!$A$1:$B$50,1,FALSE)</f>
        <v>9</v>
      </c>
      <c r="J659">
        <f>VLOOKUP(H659,[1]!Territories,3,FALSE)</f>
        <v>3</v>
      </c>
      <c r="K659" t="str">
        <f>VLOOKUP(J659,[1]!Region,2,FALSE)</f>
        <v>Northern</v>
      </c>
      <c r="L659">
        <f>VLOOKUP(A659,[1]Order_Details!$A$1:$F$2156,2,FALSE)</f>
        <v>1</v>
      </c>
      <c r="M659" t="str">
        <f>VLOOKUP(L659,[1]!Products,2,FALSE)</f>
        <v>Chai</v>
      </c>
      <c r="N659">
        <f>VLOOKUP(L659,[1]!Products,4,FALSE)</f>
        <v>1</v>
      </c>
      <c r="O659" s="6" t="str">
        <f>VLOOKUP(N659,[1]!Categories,2,FALSE)</f>
        <v>Beverages</v>
      </c>
      <c r="P659" s="6">
        <f>VLOOKUP(A659,[1]Order_Details!$A$1:$F$2156,3,FALSE)</f>
        <v>18</v>
      </c>
      <c r="Q659">
        <f>VLOOKUP(A659,[1]Order_Details!$A$1:$F$2156,4,FALSE)</f>
        <v>20</v>
      </c>
      <c r="R659">
        <f>VLOOKUP(A659,[1]Order_Details!$A$1:$F$2156,5,FALSE)</f>
        <v>5.000000074505806E-2</v>
      </c>
      <c r="S659" s="6">
        <f>VLOOKUP(A659,[1]Order_Details!$A$1:$F$2156,6,FALSE)</f>
        <v>341.9999997317791</v>
      </c>
      <c r="T659" s="6">
        <f>VLOOKUP(A659,[1]!Orders,8,FALSE)</f>
        <v>13.72</v>
      </c>
    </row>
    <row r="660" spans="1:20" x14ac:dyDescent="0.3">
      <c r="A660" s="2">
        <v>10906</v>
      </c>
      <c r="B660" s="2" t="s">
        <v>67</v>
      </c>
      <c r="C660" s="2">
        <v>4</v>
      </c>
      <c r="D660" s="3">
        <v>35851</v>
      </c>
      <c r="E660" t="str">
        <f>VLOOKUP(C660,[1]Employees!$A$1:$O$10,4,FALSE)</f>
        <v>Peacock Margaret</v>
      </c>
      <c r="F660">
        <f>VLOOKUP(A660,[1]!Orders,7,FALSE)</f>
        <v>3</v>
      </c>
      <c r="G660" t="str">
        <f>VLOOKUP(F660,[1]!Shippers,2,FALSE)</f>
        <v>Federal Shipping</v>
      </c>
      <c r="H660" t="str">
        <f>VLOOKUP(C660,[1]EmployeeTerritories!$A$1:$B$50,2,FALSE)</f>
        <v>20852</v>
      </c>
      <c r="I660">
        <f>VLOOKUP(C660,[1]EmployeeTerritories!$A$1:$B$50,1,FALSE)</f>
        <v>4</v>
      </c>
      <c r="J660">
        <f>VLOOKUP(H660,[1]!Territories,3,FALSE)</f>
        <v>1</v>
      </c>
      <c r="K660" t="str">
        <f>VLOOKUP(J660,[1]!Region,2,FALSE)</f>
        <v>Eastern</v>
      </c>
      <c r="L660">
        <f>VLOOKUP(A660,[1]Order_Details!$A$1:$F$2156,2,FALSE)</f>
        <v>61</v>
      </c>
      <c r="M660" t="str">
        <f>VLOOKUP(L660,[1]!Products,2,FALSE)</f>
        <v>Sirop d'érable</v>
      </c>
      <c r="N660">
        <f>VLOOKUP(L660,[1]!Products,4,FALSE)</f>
        <v>2</v>
      </c>
      <c r="O660" s="6" t="str">
        <f>VLOOKUP(N660,[1]!Categories,2,FALSE)</f>
        <v>Condiments</v>
      </c>
      <c r="P660" s="6">
        <f>VLOOKUP(A660,[1]Order_Details!$A$1:$F$2156,3,FALSE)</f>
        <v>28.5</v>
      </c>
      <c r="Q660">
        <f>VLOOKUP(A660,[1]Order_Details!$A$1:$F$2156,4,FALSE)</f>
        <v>15</v>
      </c>
      <c r="R660">
        <f>VLOOKUP(A660,[1]Order_Details!$A$1:$F$2156,5,FALSE)</f>
        <v>0</v>
      </c>
      <c r="S660" s="6">
        <f>VLOOKUP(A660,[1]Order_Details!$A$1:$F$2156,6,FALSE)</f>
        <v>427.5</v>
      </c>
      <c r="T660" s="6">
        <f>VLOOKUP(A660,[1]!Orders,8,FALSE)</f>
        <v>26.29</v>
      </c>
    </row>
    <row r="661" spans="1:20" x14ac:dyDescent="0.3">
      <c r="A661" s="2">
        <v>10907</v>
      </c>
      <c r="B661" s="2" t="s">
        <v>91</v>
      </c>
      <c r="C661" s="2">
        <v>6</v>
      </c>
      <c r="D661" s="3">
        <v>35851</v>
      </c>
      <c r="E661" t="str">
        <f>VLOOKUP(C661,[1]Employees!$A$1:$O$10,4,FALSE)</f>
        <v>Suyama Michael</v>
      </c>
      <c r="F661">
        <f>VLOOKUP(A661,[1]!Orders,7,FALSE)</f>
        <v>3</v>
      </c>
      <c r="G661" t="str">
        <f>VLOOKUP(F661,[1]!Shippers,2,FALSE)</f>
        <v>Federal Shipping</v>
      </c>
      <c r="H661" t="str">
        <f>VLOOKUP(C661,[1]EmployeeTerritories!$A$1:$B$50,2,FALSE)</f>
        <v>85014</v>
      </c>
      <c r="I661">
        <f>VLOOKUP(C661,[1]EmployeeTerritories!$A$1:$B$50,1,FALSE)</f>
        <v>6</v>
      </c>
      <c r="J661">
        <f>VLOOKUP(H661,[1]!Territories,3,FALSE)</f>
        <v>2</v>
      </c>
      <c r="K661" t="str">
        <f>VLOOKUP(J661,[1]!Region,2,FALSE)</f>
        <v>Western</v>
      </c>
      <c r="L661">
        <f>VLOOKUP(A661,[1]Order_Details!$A$1:$F$2156,2,FALSE)</f>
        <v>75</v>
      </c>
      <c r="M661" t="str">
        <f>VLOOKUP(L661,[1]!Products,2,FALSE)</f>
        <v>Rhönbräu Klosterbier</v>
      </c>
      <c r="N661">
        <f>VLOOKUP(L661,[1]!Products,4,FALSE)</f>
        <v>1</v>
      </c>
      <c r="O661" s="6" t="str">
        <f>VLOOKUP(N661,[1]!Categories,2,FALSE)</f>
        <v>Beverages</v>
      </c>
      <c r="P661" s="6">
        <f>VLOOKUP(A661,[1]Order_Details!$A$1:$F$2156,3,FALSE)</f>
        <v>7.75</v>
      </c>
      <c r="Q661">
        <f>VLOOKUP(A661,[1]Order_Details!$A$1:$F$2156,4,FALSE)</f>
        <v>14</v>
      </c>
      <c r="R661">
        <f>VLOOKUP(A661,[1]Order_Details!$A$1:$F$2156,5,FALSE)</f>
        <v>0</v>
      </c>
      <c r="S661" s="6">
        <f>VLOOKUP(A661,[1]Order_Details!$A$1:$F$2156,6,FALSE)</f>
        <v>108.5</v>
      </c>
      <c r="T661" s="6">
        <f>VLOOKUP(A661,[1]!Orders,8,FALSE)</f>
        <v>9.19</v>
      </c>
    </row>
    <row r="662" spans="1:20" x14ac:dyDescent="0.3">
      <c r="A662" s="2">
        <v>10908</v>
      </c>
      <c r="B662" s="2" t="s">
        <v>34</v>
      </c>
      <c r="C662" s="2">
        <v>4</v>
      </c>
      <c r="D662" s="3">
        <v>35852</v>
      </c>
      <c r="E662" t="str">
        <f>VLOOKUP(C662,[1]Employees!$A$1:$O$10,4,FALSE)</f>
        <v>Peacock Margaret</v>
      </c>
      <c r="F662">
        <f>VLOOKUP(A662,[1]!Orders,7,FALSE)</f>
        <v>2</v>
      </c>
      <c r="G662" t="str">
        <f>VLOOKUP(F662,[1]!Shippers,2,FALSE)</f>
        <v>United Package</v>
      </c>
      <c r="H662" t="str">
        <f>VLOOKUP(C662,[1]EmployeeTerritories!$A$1:$B$50,2,FALSE)</f>
        <v>20852</v>
      </c>
      <c r="I662">
        <f>VLOOKUP(C662,[1]EmployeeTerritories!$A$1:$B$50,1,FALSE)</f>
        <v>4</v>
      </c>
      <c r="J662">
        <f>VLOOKUP(H662,[1]!Territories,3,FALSE)</f>
        <v>1</v>
      </c>
      <c r="K662" t="str">
        <f>VLOOKUP(J662,[1]!Region,2,FALSE)</f>
        <v>Eastern</v>
      </c>
      <c r="L662">
        <f>VLOOKUP(A662,[1]Order_Details!$A$1:$F$2156,2,FALSE)</f>
        <v>7</v>
      </c>
      <c r="M662" t="str">
        <f>VLOOKUP(L662,[1]!Products,2,FALSE)</f>
        <v>Uncle Bob's Organic Dried Pears</v>
      </c>
      <c r="N662">
        <f>VLOOKUP(L662,[1]!Products,4,FALSE)</f>
        <v>7</v>
      </c>
      <c r="O662" s="6" t="str">
        <f>VLOOKUP(N662,[1]!Categories,2,FALSE)</f>
        <v>Produce</v>
      </c>
      <c r="P662" s="6">
        <f>VLOOKUP(A662,[1]Order_Details!$A$1:$F$2156,3,FALSE)</f>
        <v>30</v>
      </c>
      <c r="Q662">
        <f>VLOOKUP(A662,[1]Order_Details!$A$1:$F$2156,4,FALSE)</f>
        <v>20</v>
      </c>
      <c r="R662">
        <f>VLOOKUP(A662,[1]Order_Details!$A$1:$F$2156,5,FALSE)</f>
        <v>5.000000074505806E-2</v>
      </c>
      <c r="S662" s="6">
        <f>VLOOKUP(A662,[1]Order_Details!$A$1:$F$2156,6,FALSE)</f>
        <v>569.99999955296516</v>
      </c>
      <c r="T662" s="6">
        <f>VLOOKUP(A662,[1]!Orders,8,FALSE)</f>
        <v>32.96</v>
      </c>
    </row>
    <row r="663" spans="1:20" x14ac:dyDescent="0.3">
      <c r="A663" s="2">
        <v>10909</v>
      </c>
      <c r="B663" s="2" t="s">
        <v>69</v>
      </c>
      <c r="C663" s="2">
        <v>1</v>
      </c>
      <c r="D663" s="3">
        <v>35852</v>
      </c>
      <c r="E663" t="str">
        <f>VLOOKUP(C663,[1]Employees!$A$1:$O$10,4,FALSE)</f>
        <v>Davolio Nancy</v>
      </c>
      <c r="F663">
        <f>VLOOKUP(A663,[1]!Orders,7,FALSE)</f>
        <v>2</v>
      </c>
      <c r="G663" t="str">
        <f>VLOOKUP(F663,[1]!Shippers,2,FALSE)</f>
        <v>United Package</v>
      </c>
      <c r="H663" t="str">
        <f>VLOOKUP(C663,[1]EmployeeTerritories!$A$1:$B$50,2,FALSE)</f>
        <v>06897</v>
      </c>
      <c r="I663">
        <f>VLOOKUP(C663,[1]EmployeeTerritories!$A$1:$B$50,1,FALSE)</f>
        <v>1</v>
      </c>
      <c r="J663">
        <f>VLOOKUP(H663,[1]!Territories,3,FALSE)</f>
        <v>1</v>
      </c>
      <c r="K663" t="str">
        <f>VLOOKUP(J663,[1]!Region,2,FALSE)</f>
        <v>Eastern</v>
      </c>
      <c r="L663">
        <f>VLOOKUP(A663,[1]Order_Details!$A$1:$F$2156,2,FALSE)</f>
        <v>7</v>
      </c>
      <c r="M663" t="str">
        <f>VLOOKUP(L663,[1]!Products,2,FALSE)</f>
        <v>Uncle Bob's Organic Dried Pears</v>
      </c>
      <c r="N663">
        <f>VLOOKUP(L663,[1]!Products,4,FALSE)</f>
        <v>7</v>
      </c>
      <c r="O663" s="6" t="str">
        <f>VLOOKUP(N663,[1]!Categories,2,FALSE)</f>
        <v>Produce</v>
      </c>
      <c r="P663" s="6">
        <f>VLOOKUP(A663,[1]Order_Details!$A$1:$F$2156,3,FALSE)</f>
        <v>30</v>
      </c>
      <c r="Q663">
        <f>VLOOKUP(A663,[1]Order_Details!$A$1:$F$2156,4,FALSE)</f>
        <v>12</v>
      </c>
      <c r="R663">
        <f>VLOOKUP(A663,[1]Order_Details!$A$1:$F$2156,5,FALSE)</f>
        <v>0</v>
      </c>
      <c r="S663" s="6">
        <f>VLOOKUP(A663,[1]Order_Details!$A$1:$F$2156,6,FALSE)</f>
        <v>360</v>
      </c>
      <c r="T663" s="6">
        <f>VLOOKUP(A663,[1]!Orders,8,FALSE)</f>
        <v>53.05</v>
      </c>
    </row>
    <row r="664" spans="1:20" x14ac:dyDescent="0.3">
      <c r="A664" s="2">
        <v>10910</v>
      </c>
      <c r="B664" s="2" t="s">
        <v>87</v>
      </c>
      <c r="C664" s="2">
        <v>1</v>
      </c>
      <c r="D664" s="3">
        <v>35852</v>
      </c>
      <c r="E664" t="str">
        <f>VLOOKUP(C664,[1]Employees!$A$1:$O$10,4,FALSE)</f>
        <v>Davolio Nancy</v>
      </c>
      <c r="F664">
        <f>VLOOKUP(A664,[1]!Orders,7,FALSE)</f>
        <v>3</v>
      </c>
      <c r="G664" t="str">
        <f>VLOOKUP(F664,[1]!Shippers,2,FALSE)</f>
        <v>Federal Shipping</v>
      </c>
      <c r="H664" t="str">
        <f>VLOOKUP(C664,[1]EmployeeTerritories!$A$1:$B$50,2,FALSE)</f>
        <v>06897</v>
      </c>
      <c r="I664">
        <f>VLOOKUP(C664,[1]EmployeeTerritories!$A$1:$B$50,1,FALSE)</f>
        <v>1</v>
      </c>
      <c r="J664">
        <f>VLOOKUP(H664,[1]!Territories,3,FALSE)</f>
        <v>1</v>
      </c>
      <c r="K664" t="str">
        <f>VLOOKUP(J664,[1]!Region,2,FALSE)</f>
        <v>Eastern</v>
      </c>
      <c r="L664">
        <f>VLOOKUP(A664,[1]Order_Details!$A$1:$F$2156,2,FALSE)</f>
        <v>19</v>
      </c>
      <c r="M664" t="str">
        <f>VLOOKUP(L664,[1]!Products,2,FALSE)</f>
        <v>Teatime Chocolate Biscuits</v>
      </c>
      <c r="N664">
        <f>VLOOKUP(L664,[1]!Products,4,FALSE)</f>
        <v>3</v>
      </c>
      <c r="O664" s="6" t="str">
        <f>VLOOKUP(N664,[1]!Categories,2,FALSE)</f>
        <v>Confections</v>
      </c>
      <c r="P664" s="6">
        <f>VLOOKUP(A664,[1]Order_Details!$A$1:$F$2156,3,FALSE)</f>
        <v>9.1999999999999993</v>
      </c>
      <c r="Q664">
        <f>VLOOKUP(A664,[1]Order_Details!$A$1:$F$2156,4,FALSE)</f>
        <v>12</v>
      </c>
      <c r="R664">
        <f>VLOOKUP(A664,[1]Order_Details!$A$1:$F$2156,5,FALSE)</f>
        <v>0</v>
      </c>
      <c r="S664" s="6">
        <f>VLOOKUP(A664,[1]Order_Details!$A$1:$F$2156,6,FALSE)</f>
        <v>110.39999999999999</v>
      </c>
      <c r="T664" s="6">
        <f>VLOOKUP(A664,[1]!Orders,8,FALSE)</f>
        <v>38.11</v>
      </c>
    </row>
    <row r="665" spans="1:20" x14ac:dyDescent="0.3">
      <c r="A665" s="2">
        <v>10911</v>
      </c>
      <c r="B665" s="2" t="s">
        <v>40</v>
      </c>
      <c r="C665" s="2">
        <v>3</v>
      </c>
      <c r="D665" s="3">
        <v>35852</v>
      </c>
      <c r="E665" t="str">
        <f>VLOOKUP(C665,[1]Employees!$A$1:$O$10,4,FALSE)</f>
        <v>Leverling Janet</v>
      </c>
      <c r="F665">
        <f>VLOOKUP(A665,[1]!Orders,7,FALSE)</f>
        <v>1</v>
      </c>
      <c r="G665" t="str">
        <f>VLOOKUP(F665,[1]!Shippers,2,FALSE)</f>
        <v>Speedy Express</v>
      </c>
      <c r="H665" t="str">
        <f>VLOOKUP(C665,[1]EmployeeTerritories!$A$1:$B$50,2,FALSE)</f>
        <v>30346</v>
      </c>
      <c r="I665">
        <f>VLOOKUP(C665,[1]EmployeeTerritories!$A$1:$B$50,1,FALSE)</f>
        <v>3</v>
      </c>
      <c r="J665">
        <f>VLOOKUP(H665,[1]!Territories,3,FALSE)</f>
        <v>4</v>
      </c>
      <c r="K665" t="str">
        <f>VLOOKUP(J665,[1]!Region,2,FALSE)</f>
        <v>Southern</v>
      </c>
      <c r="L665">
        <f>VLOOKUP(A665,[1]Order_Details!$A$1:$F$2156,2,FALSE)</f>
        <v>1</v>
      </c>
      <c r="M665" t="str">
        <f>VLOOKUP(L665,[1]!Products,2,FALSE)</f>
        <v>Chai</v>
      </c>
      <c r="N665">
        <f>VLOOKUP(L665,[1]!Products,4,FALSE)</f>
        <v>1</v>
      </c>
      <c r="O665" s="6" t="str">
        <f>VLOOKUP(N665,[1]!Categories,2,FALSE)</f>
        <v>Beverages</v>
      </c>
      <c r="P665" s="6">
        <f>VLOOKUP(A665,[1]Order_Details!$A$1:$F$2156,3,FALSE)</f>
        <v>18</v>
      </c>
      <c r="Q665">
        <f>VLOOKUP(A665,[1]Order_Details!$A$1:$F$2156,4,FALSE)</f>
        <v>10</v>
      </c>
      <c r="R665">
        <f>VLOOKUP(A665,[1]Order_Details!$A$1:$F$2156,5,FALSE)</f>
        <v>0</v>
      </c>
      <c r="S665" s="6">
        <f>VLOOKUP(A665,[1]Order_Details!$A$1:$F$2156,6,FALSE)</f>
        <v>180</v>
      </c>
      <c r="T665" s="6">
        <f>VLOOKUP(A665,[1]!Orders,8,FALSE)</f>
        <v>38.19</v>
      </c>
    </row>
    <row r="666" spans="1:20" x14ac:dyDescent="0.3">
      <c r="A666" s="2">
        <v>10912</v>
      </c>
      <c r="B666" s="2" t="s">
        <v>38</v>
      </c>
      <c r="C666" s="2">
        <v>2</v>
      </c>
      <c r="D666" s="3">
        <v>35852</v>
      </c>
      <c r="E666" t="str">
        <f>VLOOKUP(C666,[1]Employees!$A$1:$O$10,4,FALSE)</f>
        <v>Fuller Andrew</v>
      </c>
      <c r="F666">
        <f>VLOOKUP(A666,[1]!Orders,7,FALSE)</f>
        <v>2</v>
      </c>
      <c r="G666" t="str">
        <f>VLOOKUP(F666,[1]!Shippers,2,FALSE)</f>
        <v>United Package</v>
      </c>
      <c r="H666" t="str">
        <f>VLOOKUP(C666,[1]EmployeeTerritories!$A$1:$B$50,2,FALSE)</f>
        <v>01581</v>
      </c>
      <c r="I666">
        <f>VLOOKUP(C666,[1]EmployeeTerritories!$A$1:$B$50,1,FALSE)</f>
        <v>2</v>
      </c>
      <c r="J666">
        <f>VLOOKUP(H666,[1]!Territories,3,FALSE)</f>
        <v>1</v>
      </c>
      <c r="K666" t="str">
        <f>VLOOKUP(J666,[1]!Region,2,FALSE)</f>
        <v>Eastern</v>
      </c>
      <c r="L666">
        <f>VLOOKUP(A666,[1]Order_Details!$A$1:$F$2156,2,FALSE)</f>
        <v>11</v>
      </c>
      <c r="M666" t="str">
        <f>VLOOKUP(L666,[1]!Products,2,FALSE)</f>
        <v>Queso Cabrales</v>
      </c>
      <c r="N666">
        <f>VLOOKUP(L666,[1]!Products,4,FALSE)</f>
        <v>4</v>
      </c>
      <c r="O666" s="6" t="str">
        <f>VLOOKUP(N666,[1]!Categories,2,FALSE)</f>
        <v>Dairy Products</v>
      </c>
      <c r="P666" s="6">
        <f>VLOOKUP(A666,[1]Order_Details!$A$1:$F$2156,3,FALSE)</f>
        <v>21</v>
      </c>
      <c r="Q666">
        <f>VLOOKUP(A666,[1]Order_Details!$A$1:$F$2156,4,FALSE)</f>
        <v>40</v>
      </c>
      <c r="R666">
        <f>VLOOKUP(A666,[1]Order_Details!$A$1:$F$2156,5,FALSE)</f>
        <v>0.25</v>
      </c>
      <c r="S666" s="6">
        <f>VLOOKUP(A666,[1]Order_Details!$A$1:$F$2156,6,FALSE)</f>
        <v>630</v>
      </c>
      <c r="T666" s="6">
        <f>VLOOKUP(A666,[1]!Orders,8,FALSE)</f>
        <v>580.91</v>
      </c>
    </row>
    <row r="667" spans="1:20" x14ac:dyDescent="0.3">
      <c r="A667" s="2">
        <v>10913</v>
      </c>
      <c r="B667" s="2" t="s">
        <v>66</v>
      </c>
      <c r="C667" s="2">
        <v>4</v>
      </c>
      <c r="D667" s="3">
        <v>35852</v>
      </c>
      <c r="E667" t="str">
        <f>VLOOKUP(C667,[1]Employees!$A$1:$O$10,4,FALSE)</f>
        <v>Peacock Margaret</v>
      </c>
      <c r="F667">
        <f>VLOOKUP(A667,[1]!Orders,7,FALSE)</f>
        <v>1</v>
      </c>
      <c r="G667" t="str">
        <f>VLOOKUP(F667,[1]!Shippers,2,FALSE)</f>
        <v>Speedy Express</v>
      </c>
      <c r="H667" t="str">
        <f>VLOOKUP(C667,[1]EmployeeTerritories!$A$1:$B$50,2,FALSE)</f>
        <v>20852</v>
      </c>
      <c r="I667">
        <f>VLOOKUP(C667,[1]EmployeeTerritories!$A$1:$B$50,1,FALSE)</f>
        <v>4</v>
      </c>
      <c r="J667">
        <f>VLOOKUP(H667,[1]!Territories,3,FALSE)</f>
        <v>1</v>
      </c>
      <c r="K667" t="str">
        <f>VLOOKUP(J667,[1]!Region,2,FALSE)</f>
        <v>Eastern</v>
      </c>
      <c r="L667">
        <f>VLOOKUP(A667,[1]Order_Details!$A$1:$F$2156,2,FALSE)</f>
        <v>4</v>
      </c>
      <c r="M667" t="str">
        <f>VLOOKUP(L667,[1]!Products,2,FALSE)</f>
        <v>Chef Anton's Cajun Seasoning</v>
      </c>
      <c r="N667">
        <f>VLOOKUP(L667,[1]!Products,4,FALSE)</f>
        <v>2</v>
      </c>
      <c r="O667" s="6" t="str">
        <f>VLOOKUP(N667,[1]!Categories,2,FALSE)</f>
        <v>Condiments</v>
      </c>
      <c r="P667" s="6">
        <f>VLOOKUP(A667,[1]Order_Details!$A$1:$F$2156,3,FALSE)</f>
        <v>22</v>
      </c>
      <c r="Q667">
        <f>VLOOKUP(A667,[1]Order_Details!$A$1:$F$2156,4,FALSE)</f>
        <v>30</v>
      </c>
      <c r="R667">
        <f>VLOOKUP(A667,[1]Order_Details!$A$1:$F$2156,5,FALSE)</f>
        <v>0.25</v>
      </c>
      <c r="S667" s="6">
        <f>VLOOKUP(A667,[1]Order_Details!$A$1:$F$2156,6,FALSE)</f>
        <v>495</v>
      </c>
      <c r="T667" s="6">
        <f>VLOOKUP(A667,[1]!Orders,8,FALSE)</f>
        <v>33.049999999999997</v>
      </c>
    </row>
    <row r="668" spans="1:20" x14ac:dyDescent="0.3">
      <c r="A668" s="2">
        <v>10914</v>
      </c>
      <c r="B668" s="2" t="s">
        <v>66</v>
      </c>
      <c r="C668" s="2">
        <v>6</v>
      </c>
      <c r="D668" s="3">
        <v>35853</v>
      </c>
      <c r="E668" t="str">
        <f>VLOOKUP(C668,[1]Employees!$A$1:$O$10,4,FALSE)</f>
        <v>Suyama Michael</v>
      </c>
      <c r="F668">
        <f>VLOOKUP(A668,[1]!Orders,7,FALSE)</f>
        <v>1</v>
      </c>
      <c r="G668" t="str">
        <f>VLOOKUP(F668,[1]!Shippers,2,FALSE)</f>
        <v>Speedy Express</v>
      </c>
      <c r="H668" t="str">
        <f>VLOOKUP(C668,[1]EmployeeTerritories!$A$1:$B$50,2,FALSE)</f>
        <v>85014</v>
      </c>
      <c r="I668">
        <f>VLOOKUP(C668,[1]EmployeeTerritories!$A$1:$B$50,1,FALSE)</f>
        <v>6</v>
      </c>
      <c r="J668">
        <f>VLOOKUP(H668,[1]!Territories,3,FALSE)</f>
        <v>2</v>
      </c>
      <c r="K668" t="str">
        <f>VLOOKUP(J668,[1]!Region,2,FALSE)</f>
        <v>Western</v>
      </c>
      <c r="L668">
        <f>VLOOKUP(A668,[1]Order_Details!$A$1:$F$2156,2,FALSE)</f>
        <v>71</v>
      </c>
      <c r="M668" t="str">
        <f>VLOOKUP(L668,[1]!Products,2,FALSE)</f>
        <v>Flotemysost</v>
      </c>
      <c r="N668">
        <f>VLOOKUP(L668,[1]!Products,4,FALSE)</f>
        <v>4</v>
      </c>
      <c r="O668" s="6" t="str">
        <f>VLOOKUP(N668,[1]!Categories,2,FALSE)</f>
        <v>Dairy Products</v>
      </c>
      <c r="P668" s="6">
        <f>VLOOKUP(A668,[1]Order_Details!$A$1:$F$2156,3,FALSE)</f>
        <v>21.5</v>
      </c>
      <c r="Q668">
        <f>VLOOKUP(A668,[1]Order_Details!$A$1:$F$2156,4,FALSE)</f>
        <v>25</v>
      </c>
      <c r="R668">
        <f>VLOOKUP(A668,[1]Order_Details!$A$1:$F$2156,5,FALSE)</f>
        <v>0</v>
      </c>
      <c r="S668" s="6">
        <f>VLOOKUP(A668,[1]Order_Details!$A$1:$F$2156,6,FALSE)</f>
        <v>537.5</v>
      </c>
      <c r="T668" s="6">
        <f>VLOOKUP(A668,[1]!Orders,8,FALSE)</f>
        <v>21.19</v>
      </c>
    </row>
    <row r="669" spans="1:20" x14ac:dyDescent="0.3">
      <c r="A669" s="2">
        <v>10915</v>
      </c>
      <c r="B669" s="2" t="s">
        <v>27</v>
      </c>
      <c r="C669" s="2">
        <v>2</v>
      </c>
      <c r="D669" s="3">
        <v>35853</v>
      </c>
      <c r="E669" t="str">
        <f>VLOOKUP(C669,[1]Employees!$A$1:$O$10,4,FALSE)</f>
        <v>Fuller Andrew</v>
      </c>
      <c r="F669">
        <f>VLOOKUP(A669,[1]!Orders,7,FALSE)</f>
        <v>2</v>
      </c>
      <c r="G669" t="str">
        <f>VLOOKUP(F669,[1]!Shippers,2,FALSE)</f>
        <v>United Package</v>
      </c>
      <c r="H669" t="str">
        <f>VLOOKUP(C669,[1]EmployeeTerritories!$A$1:$B$50,2,FALSE)</f>
        <v>01581</v>
      </c>
      <c r="I669">
        <f>VLOOKUP(C669,[1]EmployeeTerritories!$A$1:$B$50,1,FALSE)</f>
        <v>2</v>
      </c>
      <c r="J669">
        <f>VLOOKUP(H669,[1]!Territories,3,FALSE)</f>
        <v>1</v>
      </c>
      <c r="K669" t="str">
        <f>VLOOKUP(J669,[1]!Region,2,FALSE)</f>
        <v>Eastern</v>
      </c>
      <c r="L669">
        <f>VLOOKUP(A669,[1]Order_Details!$A$1:$F$2156,2,FALSE)</f>
        <v>17</v>
      </c>
      <c r="M669" t="str">
        <f>VLOOKUP(L669,[1]!Products,2,FALSE)</f>
        <v>Alice Mutton</v>
      </c>
      <c r="N669">
        <f>VLOOKUP(L669,[1]!Products,4,FALSE)</f>
        <v>6</v>
      </c>
      <c r="O669" s="6" t="str">
        <f>VLOOKUP(N669,[1]!Categories,2,FALSE)</f>
        <v>Meat/Poultry</v>
      </c>
      <c r="P669" s="6">
        <f>VLOOKUP(A669,[1]Order_Details!$A$1:$F$2156,3,FALSE)</f>
        <v>39</v>
      </c>
      <c r="Q669">
        <f>VLOOKUP(A669,[1]Order_Details!$A$1:$F$2156,4,FALSE)</f>
        <v>10</v>
      </c>
      <c r="R669">
        <f>VLOOKUP(A669,[1]Order_Details!$A$1:$F$2156,5,FALSE)</f>
        <v>0</v>
      </c>
      <c r="S669" s="6">
        <f>VLOOKUP(A669,[1]Order_Details!$A$1:$F$2156,6,FALSE)</f>
        <v>390</v>
      </c>
      <c r="T669" s="6">
        <f>VLOOKUP(A669,[1]!Orders,8,FALSE)</f>
        <v>3.51</v>
      </c>
    </row>
    <row r="670" spans="1:20" x14ac:dyDescent="0.3">
      <c r="A670" s="2">
        <v>10916</v>
      </c>
      <c r="B670" s="2" t="s">
        <v>77</v>
      </c>
      <c r="C670" s="2">
        <v>1</v>
      </c>
      <c r="D670" s="3">
        <v>35853</v>
      </c>
      <c r="E670" t="str">
        <f>VLOOKUP(C670,[1]Employees!$A$1:$O$10,4,FALSE)</f>
        <v>Davolio Nancy</v>
      </c>
      <c r="F670">
        <f>VLOOKUP(A670,[1]!Orders,7,FALSE)</f>
        <v>2</v>
      </c>
      <c r="G670" t="str">
        <f>VLOOKUP(F670,[1]!Shippers,2,FALSE)</f>
        <v>United Package</v>
      </c>
      <c r="H670" t="str">
        <f>VLOOKUP(C670,[1]EmployeeTerritories!$A$1:$B$50,2,FALSE)</f>
        <v>06897</v>
      </c>
      <c r="I670">
        <f>VLOOKUP(C670,[1]EmployeeTerritories!$A$1:$B$50,1,FALSE)</f>
        <v>1</v>
      </c>
      <c r="J670">
        <f>VLOOKUP(H670,[1]!Territories,3,FALSE)</f>
        <v>1</v>
      </c>
      <c r="K670" t="str">
        <f>VLOOKUP(J670,[1]!Region,2,FALSE)</f>
        <v>Eastern</v>
      </c>
      <c r="L670">
        <f>VLOOKUP(A670,[1]Order_Details!$A$1:$F$2156,2,FALSE)</f>
        <v>16</v>
      </c>
      <c r="M670" t="str">
        <f>VLOOKUP(L670,[1]!Products,2,FALSE)</f>
        <v>Pavlova</v>
      </c>
      <c r="N670">
        <f>VLOOKUP(L670,[1]!Products,4,FALSE)</f>
        <v>3</v>
      </c>
      <c r="O670" s="6" t="str">
        <f>VLOOKUP(N670,[1]!Categories,2,FALSE)</f>
        <v>Confections</v>
      </c>
      <c r="P670" s="6">
        <f>VLOOKUP(A670,[1]Order_Details!$A$1:$F$2156,3,FALSE)</f>
        <v>17.45</v>
      </c>
      <c r="Q670">
        <f>VLOOKUP(A670,[1]Order_Details!$A$1:$F$2156,4,FALSE)</f>
        <v>6</v>
      </c>
      <c r="R670">
        <f>VLOOKUP(A670,[1]Order_Details!$A$1:$F$2156,5,FALSE)</f>
        <v>0</v>
      </c>
      <c r="S670" s="6">
        <f>VLOOKUP(A670,[1]Order_Details!$A$1:$F$2156,6,FALSE)</f>
        <v>104.69999999999999</v>
      </c>
      <c r="T670" s="6">
        <f>VLOOKUP(A670,[1]!Orders,8,FALSE)</f>
        <v>63.77</v>
      </c>
    </row>
    <row r="671" spans="1:20" x14ac:dyDescent="0.3">
      <c r="A671" s="2">
        <v>10917</v>
      </c>
      <c r="B671" s="2" t="s">
        <v>31</v>
      </c>
      <c r="C671" s="2">
        <v>4</v>
      </c>
      <c r="D671" s="3">
        <v>35856</v>
      </c>
      <c r="E671" t="str">
        <f>VLOOKUP(C671,[1]Employees!$A$1:$O$10,4,FALSE)</f>
        <v>Peacock Margaret</v>
      </c>
      <c r="F671">
        <f>VLOOKUP(A671,[1]!Orders,7,FALSE)</f>
        <v>2</v>
      </c>
      <c r="G671" t="str">
        <f>VLOOKUP(F671,[1]!Shippers,2,FALSE)</f>
        <v>United Package</v>
      </c>
      <c r="H671" t="str">
        <f>VLOOKUP(C671,[1]EmployeeTerritories!$A$1:$B$50,2,FALSE)</f>
        <v>20852</v>
      </c>
      <c r="I671">
        <f>VLOOKUP(C671,[1]EmployeeTerritories!$A$1:$B$50,1,FALSE)</f>
        <v>4</v>
      </c>
      <c r="J671">
        <f>VLOOKUP(H671,[1]!Territories,3,FALSE)</f>
        <v>1</v>
      </c>
      <c r="K671" t="str">
        <f>VLOOKUP(J671,[1]!Region,2,FALSE)</f>
        <v>Eastern</v>
      </c>
      <c r="L671">
        <f>VLOOKUP(A671,[1]Order_Details!$A$1:$F$2156,2,FALSE)</f>
        <v>30</v>
      </c>
      <c r="M671" t="str">
        <f>VLOOKUP(L671,[1]!Products,2,FALSE)</f>
        <v>Nord-Ost Matjeshering</v>
      </c>
      <c r="N671">
        <f>VLOOKUP(L671,[1]!Products,4,FALSE)</f>
        <v>8</v>
      </c>
      <c r="O671" s="6" t="str">
        <f>VLOOKUP(N671,[1]!Categories,2,FALSE)</f>
        <v>Seafood</v>
      </c>
      <c r="P671" s="6">
        <f>VLOOKUP(A671,[1]Order_Details!$A$1:$F$2156,3,FALSE)</f>
        <v>25.89</v>
      </c>
      <c r="Q671">
        <f>VLOOKUP(A671,[1]Order_Details!$A$1:$F$2156,4,FALSE)</f>
        <v>1</v>
      </c>
      <c r="R671">
        <f>VLOOKUP(A671,[1]Order_Details!$A$1:$F$2156,5,FALSE)</f>
        <v>0</v>
      </c>
      <c r="S671" s="6">
        <f>VLOOKUP(A671,[1]Order_Details!$A$1:$F$2156,6,FALSE)</f>
        <v>25.89</v>
      </c>
      <c r="T671" s="6">
        <f>VLOOKUP(A671,[1]!Orders,8,FALSE)</f>
        <v>8.2899999999999991</v>
      </c>
    </row>
    <row r="672" spans="1:20" x14ac:dyDescent="0.3">
      <c r="A672" s="2">
        <v>10918</v>
      </c>
      <c r="B672" s="2" t="s">
        <v>70</v>
      </c>
      <c r="C672" s="2">
        <v>3</v>
      </c>
      <c r="D672" s="3">
        <v>35856</v>
      </c>
      <c r="E672" t="str">
        <f>VLOOKUP(C672,[1]Employees!$A$1:$O$10,4,FALSE)</f>
        <v>Leverling Janet</v>
      </c>
      <c r="F672">
        <f>VLOOKUP(A672,[1]!Orders,7,FALSE)</f>
        <v>3</v>
      </c>
      <c r="G672" t="str">
        <f>VLOOKUP(F672,[1]!Shippers,2,FALSE)</f>
        <v>Federal Shipping</v>
      </c>
      <c r="H672" t="str">
        <f>VLOOKUP(C672,[1]EmployeeTerritories!$A$1:$B$50,2,FALSE)</f>
        <v>30346</v>
      </c>
      <c r="I672">
        <f>VLOOKUP(C672,[1]EmployeeTerritories!$A$1:$B$50,1,FALSE)</f>
        <v>3</v>
      </c>
      <c r="J672">
        <f>VLOOKUP(H672,[1]!Territories,3,FALSE)</f>
        <v>4</v>
      </c>
      <c r="K672" t="str">
        <f>VLOOKUP(J672,[1]!Region,2,FALSE)</f>
        <v>Southern</v>
      </c>
      <c r="L672">
        <f>VLOOKUP(A672,[1]Order_Details!$A$1:$F$2156,2,FALSE)</f>
        <v>1</v>
      </c>
      <c r="M672" t="str">
        <f>VLOOKUP(L672,[1]!Products,2,FALSE)</f>
        <v>Chai</v>
      </c>
      <c r="N672">
        <f>VLOOKUP(L672,[1]!Products,4,FALSE)</f>
        <v>1</v>
      </c>
      <c r="O672" s="6" t="str">
        <f>VLOOKUP(N672,[1]!Categories,2,FALSE)</f>
        <v>Beverages</v>
      </c>
      <c r="P672" s="6">
        <f>VLOOKUP(A672,[1]Order_Details!$A$1:$F$2156,3,FALSE)</f>
        <v>18</v>
      </c>
      <c r="Q672">
        <f>VLOOKUP(A672,[1]Order_Details!$A$1:$F$2156,4,FALSE)</f>
        <v>60</v>
      </c>
      <c r="R672">
        <f>VLOOKUP(A672,[1]Order_Details!$A$1:$F$2156,5,FALSE)</f>
        <v>0.25</v>
      </c>
      <c r="S672" s="6">
        <f>VLOOKUP(A672,[1]Order_Details!$A$1:$F$2156,6,FALSE)</f>
        <v>810</v>
      </c>
      <c r="T672" s="6">
        <f>VLOOKUP(A672,[1]!Orders,8,FALSE)</f>
        <v>48.83</v>
      </c>
    </row>
    <row r="673" spans="1:20" x14ac:dyDescent="0.3">
      <c r="A673" s="2">
        <v>10919</v>
      </c>
      <c r="B673" s="2" t="s">
        <v>71</v>
      </c>
      <c r="C673" s="2">
        <v>2</v>
      </c>
      <c r="D673" s="3">
        <v>35856</v>
      </c>
      <c r="E673" t="str">
        <f>VLOOKUP(C673,[1]Employees!$A$1:$O$10,4,FALSE)</f>
        <v>Fuller Andrew</v>
      </c>
      <c r="F673">
        <f>VLOOKUP(A673,[1]!Orders,7,FALSE)</f>
        <v>2</v>
      </c>
      <c r="G673" t="str">
        <f>VLOOKUP(F673,[1]!Shippers,2,FALSE)</f>
        <v>United Package</v>
      </c>
      <c r="H673" t="str">
        <f>VLOOKUP(C673,[1]EmployeeTerritories!$A$1:$B$50,2,FALSE)</f>
        <v>01581</v>
      </c>
      <c r="I673">
        <f>VLOOKUP(C673,[1]EmployeeTerritories!$A$1:$B$50,1,FALSE)</f>
        <v>2</v>
      </c>
      <c r="J673">
        <f>VLOOKUP(H673,[1]!Territories,3,FALSE)</f>
        <v>1</v>
      </c>
      <c r="K673" t="str">
        <f>VLOOKUP(J673,[1]!Region,2,FALSE)</f>
        <v>Eastern</v>
      </c>
      <c r="L673">
        <f>VLOOKUP(A673,[1]Order_Details!$A$1:$F$2156,2,FALSE)</f>
        <v>16</v>
      </c>
      <c r="M673" t="str">
        <f>VLOOKUP(L673,[1]!Products,2,FALSE)</f>
        <v>Pavlova</v>
      </c>
      <c r="N673">
        <f>VLOOKUP(L673,[1]!Products,4,FALSE)</f>
        <v>3</v>
      </c>
      <c r="O673" s="6" t="str">
        <f>VLOOKUP(N673,[1]!Categories,2,FALSE)</f>
        <v>Confections</v>
      </c>
      <c r="P673" s="6">
        <f>VLOOKUP(A673,[1]Order_Details!$A$1:$F$2156,3,FALSE)</f>
        <v>17.45</v>
      </c>
      <c r="Q673">
        <f>VLOOKUP(A673,[1]Order_Details!$A$1:$F$2156,4,FALSE)</f>
        <v>24</v>
      </c>
      <c r="R673">
        <f>VLOOKUP(A673,[1]Order_Details!$A$1:$F$2156,5,FALSE)</f>
        <v>0</v>
      </c>
      <c r="S673" s="6">
        <f>VLOOKUP(A673,[1]Order_Details!$A$1:$F$2156,6,FALSE)</f>
        <v>418.79999999999995</v>
      </c>
      <c r="T673" s="6">
        <f>VLOOKUP(A673,[1]!Orders,8,FALSE)</f>
        <v>19.8</v>
      </c>
    </row>
    <row r="674" spans="1:20" x14ac:dyDescent="0.3">
      <c r="A674" s="2">
        <v>10920</v>
      </c>
      <c r="B674" s="2" t="s">
        <v>59</v>
      </c>
      <c r="C674" s="2">
        <v>4</v>
      </c>
      <c r="D674" s="3">
        <v>35857</v>
      </c>
      <c r="E674" t="str">
        <f>VLOOKUP(C674,[1]Employees!$A$1:$O$10,4,FALSE)</f>
        <v>Peacock Margaret</v>
      </c>
      <c r="F674">
        <f>VLOOKUP(A674,[1]!Orders,7,FALSE)</f>
        <v>2</v>
      </c>
      <c r="G674" t="str">
        <f>VLOOKUP(F674,[1]!Shippers,2,FALSE)</f>
        <v>United Package</v>
      </c>
      <c r="H674" t="str">
        <f>VLOOKUP(C674,[1]EmployeeTerritories!$A$1:$B$50,2,FALSE)</f>
        <v>20852</v>
      </c>
      <c r="I674">
        <f>VLOOKUP(C674,[1]EmployeeTerritories!$A$1:$B$50,1,FALSE)</f>
        <v>4</v>
      </c>
      <c r="J674">
        <f>VLOOKUP(H674,[1]!Territories,3,FALSE)</f>
        <v>1</v>
      </c>
      <c r="K674" t="str">
        <f>VLOOKUP(J674,[1]!Region,2,FALSE)</f>
        <v>Eastern</v>
      </c>
      <c r="L674">
        <f>VLOOKUP(A674,[1]Order_Details!$A$1:$F$2156,2,FALSE)</f>
        <v>50</v>
      </c>
      <c r="M674" t="str">
        <f>VLOOKUP(L674,[1]!Products,2,FALSE)</f>
        <v>Valkoinen suklaa</v>
      </c>
      <c r="N674">
        <f>VLOOKUP(L674,[1]!Products,4,FALSE)</f>
        <v>3</v>
      </c>
      <c r="O674" s="6" t="str">
        <f>VLOOKUP(N674,[1]!Categories,2,FALSE)</f>
        <v>Confections</v>
      </c>
      <c r="P674" s="6">
        <f>VLOOKUP(A674,[1]Order_Details!$A$1:$F$2156,3,FALSE)</f>
        <v>16.25</v>
      </c>
      <c r="Q674">
        <f>VLOOKUP(A674,[1]Order_Details!$A$1:$F$2156,4,FALSE)</f>
        <v>24</v>
      </c>
      <c r="R674">
        <f>VLOOKUP(A674,[1]Order_Details!$A$1:$F$2156,5,FALSE)</f>
        <v>0</v>
      </c>
      <c r="S674" s="6">
        <f>VLOOKUP(A674,[1]Order_Details!$A$1:$F$2156,6,FALSE)</f>
        <v>390</v>
      </c>
      <c r="T674" s="6">
        <f>VLOOKUP(A674,[1]!Orders,8,FALSE)</f>
        <v>29.61</v>
      </c>
    </row>
    <row r="675" spans="1:20" x14ac:dyDescent="0.3">
      <c r="A675" s="2">
        <v>10921</v>
      </c>
      <c r="B675" s="2" t="s">
        <v>65</v>
      </c>
      <c r="C675" s="2">
        <v>1</v>
      </c>
      <c r="D675" s="3">
        <v>35857</v>
      </c>
      <c r="E675" t="str">
        <f>VLOOKUP(C675,[1]Employees!$A$1:$O$10,4,FALSE)</f>
        <v>Davolio Nancy</v>
      </c>
      <c r="F675">
        <f>VLOOKUP(A675,[1]!Orders,7,FALSE)</f>
        <v>1</v>
      </c>
      <c r="G675" t="str">
        <f>VLOOKUP(F675,[1]!Shippers,2,FALSE)</f>
        <v>Speedy Express</v>
      </c>
      <c r="H675" t="str">
        <f>VLOOKUP(C675,[1]EmployeeTerritories!$A$1:$B$50,2,FALSE)</f>
        <v>06897</v>
      </c>
      <c r="I675">
        <f>VLOOKUP(C675,[1]EmployeeTerritories!$A$1:$B$50,1,FALSE)</f>
        <v>1</v>
      </c>
      <c r="J675">
        <f>VLOOKUP(H675,[1]!Territories,3,FALSE)</f>
        <v>1</v>
      </c>
      <c r="K675" t="str">
        <f>VLOOKUP(J675,[1]!Region,2,FALSE)</f>
        <v>Eastern</v>
      </c>
      <c r="L675">
        <f>VLOOKUP(A675,[1]Order_Details!$A$1:$F$2156,2,FALSE)</f>
        <v>35</v>
      </c>
      <c r="M675" t="str">
        <f>VLOOKUP(L675,[1]!Products,2,FALSE)</f>
        <v>Steeleye Stout</v>
      </c>
      <c r="N675">
        <f>VLOOKUP(L675,[1]!Products,4,FALSE)</f>
        <v>1</v>
      </c>
      <c r="O675" s="6" t="str">
        <f>VLOOKUP(N675,[1]!Categories,2,FALSE)</f>
        <v>Beverages</v>
      </c>
      <c r="P675" s="6">
        <f>VLOOKUP(A675,[1]Order_Details!$A$1:$F$2156,3,FALSE)</f>
        <v>18</v>
      </c>
      <c r="Q675">
        <f>VLOOKUP(A675,[1]Order_Details!$A$1:$F$2156,4,FALSE)</f>
        <v>10</v>
      </c>
      <c r="R675">
        <f>VLOOKUP(A675,[1]Order_Details!$A$1:$F$2156,5,FALSE)</f>
        <v>0</v>
      </c>
      <c r="S675" s="6">
        <f>VLOOKUP(A675,[1]Order_Details!$A$1:$F$2156,6,FALSE)</f>
        <v>180</v>
      </c>
      <c r="T675" s="6">
        <f>VLOOKUP(A675,[1]!Orders,8,FALSE)</f>
        <v>176.48</v>
      </c>
    </row>
    <row r="676" spans="1:20" x14ac:dyDescent="0.3">
      <c r="A676" s="2">
        <v>10922</v>
      </c>
      <c r="B676" s="2" t="s">
        <v>6</v>
      </c>
      <c r="C676" s="2">
        <v>5</v>
      </c>
      <c r="D676" s="3">
        <v>35857</v>
      </c>
      <c r="E676" t="str">
        <f>VLOOKUP(C676,[1]Employees!$A$1:$O$10,4,FALSE)</f>
        <v>Buchanan Steven</v>
      </c>
      <c r="F676">
        <f>VLOOKUP(A676,[1]!Orders,7,FALSE)</f>
        <v>3</v>
      </c>
      <c r="G676" t="str">
        <f>VLOOKUP(F676,[1]!Shippers,2,FALSE)</f>
        <v>Federal Shipping</v>
      </c>
      <c r="H676" t="str">
        <f>VLOOKUP(C676,[1]EmployeeTerritories!$A$1:$B$50,2,FALSE)</f>
        <v>02903</v>
      </c>
      <c r="I676">
        <f>VLOOKUP(C676,[1]EmployeeTerritories!$A$1:$B$50,1,FALSE)</f>
        <v>5</v>
      </c>
      <c r="J676">
        <f>VLOOKUP(H676,[1]!Territories,3,FALSE)</f>
        <v>1</v>
      </c>
      <c r="K676" t="str">
        <f>VLOOKUP(J676,[1]!Region,2,FALSE)</f>
        <v>Eastern</v>
      </c>
      <c r="L676">
        <f>VLOOKUP(A676,[1]Order_Details!$A$1:$F$2156,2,FALSE)</f>
        <v>17</v>
      </c>
      <c r="M676" t="str">
        <f>VLOOKUP(L676,[1]!Products,2,FALSE)</f>
        <v>Alice Mutton</v>
      </c>
      <c r="N676">
        <f>VLOOKUP(L676,[1]!Products,4,FALSE)</f>
        <v>6</v>
      </c>
      <c r="O676" s="6" t="str">
        <f>VLOOKUP(N676,[1]!Categories,2,FALSE)</f>
        <v>Meat/Poultry</v>
      </c>
      <c r="P676" s="6">
        <f>VLOOKUP(A676,[1]Order_Details!$A$1:$F$2156,3,FALSE)</f>
        <v>39</v>
      </c>
      <c r="Q676">
        <f>VLOOKUP(A676,[1]Order_Details!$A$1:$F$2156,4,FALSE)</f>
        <v>15</v>
      </c>
      <c r="R676">
        <f>VLOOKUP(A676,[1]Order_Details!$A$1:$F$2156,5,FALSE)</f>
        <v>0</v>
      </c>
      <c r="S676" s="6">
        <f>VLOOKUP(A676,[1]Order_Details!$A$1:$F$2156,6,FALSE)</f>
        <v>585</v>
      </c>
      <c r="T676" s="6">
        <f>VLOOKUP(A676,[1]!Orders,8,FALSE)</f>
        <v>62.74</v>
      </c>
    </row>
    <row r="677" spans="1:20" x14ac:dyDescent="0.3">
      <c r="A677" s="2">
        <v>10923</v>
      </c>
      <c r="B677" s="2" t="s">
        <v>57</v>
      </c>
      <c r="C677" s="2">
        <v>7</v>
      </c>
      <c r="D677" s="3">
        <v>35857</v>
      </c>
      <c r="E677" t="str">
        <f>VLOOKUP(C677,[1]Employees!$A$1:$O$10,4,FALSE)</f>
        <v>King Robert</v>
      </c>
      <c r="F677">
        <f>VLOOKUP(A677,[1]!Orders,7,FALSE)</f>
        <v>3</v>
      </c>
      <c r="G677" t="str">
        <f>VLOOKUP(F677,[1]!Shippers,2,FALSE)</f>
        <v>Federal Shipping</v>
      </c>
      <c r="H677" t="str">
        <f>VLOOKUP(C677,[1]EmployeeTerritories!$A$1:$B$50,2,FALSE)</f>
        <v>60179</v>
      </c>
      <c r="I677">
        <f>VLOOKUP(C677,[1]EmployeeTerritories!$A$1:$B$50,1,FALSE)</f>
        <v>7</v>
      </c>
      <c r="J677">
        <f>VLOOKUP(H677,[1]!Territories,3,FALSE)</f>
        <v>2</v>
      </c>
      <c r="K677" t="str">
        <f>VLOOKUP(J677,[1]!Region,2,FALSE)</f>
        <v>Western</v>
      </c>
      <c r="L677">
        <f>VLOOKUP(A677,[1]Order_Details!$A$1:$F$2156,2,FALSE)</f>
        <v>42</v>
      </c>
      <c r="M677" t="str">
        <f>VLOOKUP(L677,[1]!Products,2,FALSE)</f>
        <v>Singaporean Hokkien Fried Mee</v>
      </c>
      <c r="N677">
        <f>VLOOKUP(L677,[1]!Products,4,FALSE)</f>
        <v>5</v>
      </c>
      <c r="O677" s="6" t="str">
        <f>VLOOKUP(N677,[1]!Categories,2,FALSE)</f>
        <v>Grains/Cereals</v>
      </c>
      <c r="P677" s="6">
        <f>VLOOKUP(A677,[1]Order_Details!$A$1:$F$2156,3,FALSE)</f>
        <v>14</v>
      </c>
      <c r="Q677">
        <f>VLOOKUP(A677,[1]Order_Details!$A$1:$F$2156,4,FALSE)</f>
        <v>10</v>
      </c>
      <c r="R677">
        <f>VLOOKUP(A677,[1]Order_Details!$A$1:$F$2156,5,FALSE)</f>
        <v>0.20000000298023224</v>
      </c>
      <c r="S677" s="6">
        <f>VLOOKUP(A677,[1]Order_Details!$A$1:$F$2156,6,FALSE)</f>
        <v>111.99999958276749</v>
      </c>
      <c r="T677" s="6">
        <f>VLOOKUP(A677,[1]!Orders,8,FALSE)</f>
        <v>68.260000000000005</v>
      </c>
    </row>
    <row r="678" spans="1:20" x14ac:dyDescent="0.3">
      <c r="A678" s="2">
        <v>10924</v>
      </c>
      <c r="B678" s="2" t="s">
        <v>29</v>
      </c>
      <c r="C678" s="2">
        <v>3</v>
      </c>
      <c r="D678" s="3">
        <v>35858</v>
      </c>
      <c r="E678" t="str">
        <f>VLOOKUP(C678,[1]Employees!$A$1:$O$10,4,FALSE)</f>
        <v>Leverling Janet</v>
      </c>
      <c r="F678">
        <f>VLOOKUP(A678,[1]!Orders,7,FALSE)</f>
        <v>2</v>
      </c>
      <c r="G678" t="str">
        <f>VLOOKUP(F678,[1]!Shippers,2,FALSE)</f>
        <v>United Package</v>
      </c>
      <c r="H678" t="str">
        <f>VLOOKUP(C678,[1]EmployeeTerritories!$A$1:$B$50,2,FALSE)</f>
        <v>30346</v>
      </c>
      <c r="I678">
        <f>VLOOKUP(C678,[1]EmployeeTerritories!$A$1:$B$50,1,FALSE)</f>
        <v>3</v>
      </c>
      <c r="J678">
        <f>VLOOKUP(H678,[1]!Territories,3,FALSE)</f>
        <v>4</v>
      </c>
      <c r="K678" t="str">
        <f>VLOOKUP(J678,[1]!Region,2,FALSE)</f>
        <v>Southern</v>
      </c>
      <c r="L678">
        <f>VLOOKUP(A678,[1]Order_Details!$A$1:$F$2156,2,FALSE)</f>
        <v>10</v>
      </c>
      <c r="M678" t="str">
        <f>VLOOKUP(L678,[1]!Products,2,FALSE)</f>
        <v>Ikura</v>
      </c>
      <c r="N678">
        <f>VLOOKUP(L678,[1]!Products,4,FALSE)</f>
        <v>8</v>
      </c>
      <c r="O678" s="6" t="str">
        <f>VLOOKUP(N678,[1]!Categories,2,FALSE)</f>
        <v>Seafood</v>
      </c>
      <c r="P678" s="6">
        <f>VLOOKUP(A678,[1]Order_Details!$A$1:$F$2156,3,FALSE)</f>
        <v>31</v>
      </c>
      <c r="Q678">
        <f>VLOOKUP(A678,[1]Order_Details!$A$1:$F$2156,4,FALSE)</f>
        <v>20</v>
      </c>
      <c r="R678">
        <f>VLOOKUP(A678,[1]Order_Details!$A$1:$F$2156,5,FALSE)</f>
        <v>0.10000000149011612</v>
      </c>
      <c r="S678" s="6">
        <f>VLOOKUP(A678,[1]Order_Details!$A$1:$F$2156,6,FALSE)</f>
        <v>557.99999907612801</v>
      </c>
      <c r="T678" s="6">
        <f>VLOOKUP(A678,[1]!Orders,8,FALSE)</f>
        <v>151.52000000000001</v>
      </c>
    </row>
    <row r="679" spans="1:20" x14ac:dyDescent="0.3">
      <c r="A679" s="2">
        <v>10925</v>
      </c>
      <c r="B679" s="2" t="s">
        <v>6</v>
      </c>
      <c r="C679" s="2">
        <v>3</v>
      </c>
      <c r="D679" s="3">
        <v>35858</v>
      </c>
      <c r="E679" t="str">
        <f>VLOOKUP(C679,[1]Employees!$A$1:$O$10,4,FALSE)</f>
        <v>Leverling Janet</v>
      </c>
      <c r="F679">
        <f>VLOOKUP(A679,[1]!Orders,7,FALSE)</f>
        <v>1</v>
      </c>
      <c r="G679" t="str">
        <f>VLOOKUP(F679,[1]!Shippers,2,FALSE)</f>
        <v>Speedy Express</v>
      </c>
      <c r="H679" t="str">
        <f>VLOOKUP(C679,[1]EmployeeTerritories!$A$1:$B$50,2,FALSE)</f>
        <v>30346</v>
      </c>
      <c r="I679">
        <f>VLOOKUP(C679,[1]EmployeeTerritories!$A$1:$B$50,1,FALSE)</f>
        <v>3</v>
      </c>
      <c r="J679">
        <f>VLOOKUP(H679,[1]!Territories,3,FALSE)</f>
        <v>4</v>
      </c>
      <c r="K679" t="str">
        <f>VLOOKUP(J679,[1]!Region,2,FALSE)</f>
        <v>Southern</v>
      </c>
      <c r="L679">
        <f>VLOOKUP(A679,[1]Order_Details!$A$1:$F$2156,2,FALSE)</f>
        <v>36</v>
      </c>
      <c r="M679" t="str">
        <f>VLOOKUP(L679,[1]!Products,2,FALSE)</f>
        <v>Inlagd Sill</v>
      </c>
      <c r="N679">
        <f>VLOOKUP(L679,[1]!Products,4,FALSE)</f>
        <v>8</v>
      </c>
      <c r="O679" s="6" t="str">
        <f>VLOOKUP(N679,[1]!Categories,2,FALSE)</f>
        <v>Seafood</v>
      </c>
      <c r="P679" s="6">
        <f>VLOOKUP(A679,[1]Order_Details!$A$1:$F$2156,3,FALSE)</f>
        <v>19</v>
      </c>
      <c r="Q679">
        <f>VLOOKUP(A679,[1]Order_Details!$A$1:$F$2156,4,FALSE)</f>
        <v>25</v>
      </c>
      <c r="R679">
        <f>VLOOKUP(A679,[1]Order_Details!$A$1:$F$2156,5,FALSE)</f>
        <v>0.15000000596046448</v>
      </c>
      <c r="S679" s="6">
        <f>VLOOKUP(A679,[1]Order_Details!$A$1:$F$2156,6,FALSE)</f>
        <v>403.74999716877937</v>
      </c>
      <c r="T679" s="6">
        <f>VLOOKUP(A679,[1]!Orders,8,FALSE)</f>
        <v>2.27</v>
      </c>
    </row>
    <row r="680" spans="1:20" x14ac:dyDescent="0.3">
      <c r="A680" s="2">
        <v>10926</v>
      </c>
      <c r="B680" s="2" t="s">
        <v>43</v>
      </c>
      <c r="C680" s="2">
        <v>4</v>
      </c>
      <c r="D680" s="3">
        <v>35858</v>
      </c>
      <c r="E680" t="str">
        <f>VLOOKUP(C680,[1]Employees!$A$1:$O$10,4,FALSE)</f>
        <v>Peacock Margaret</v>
      </c>
      <c r="F680">
        <f>VLOOKUP(A680,[1]!Orders,7,FALSE)</f>
        <v>3</v>
      </c>
      <c r="G680" t="str">
        <f>VLOOKUP(F680,[1]!Shippers,2,FALSE)</f>
        <v>Federal Shipping</v>
      </c>
      <c r="H680" t="str">
        <f>VLOOKUP(C680,[1]EmployeeTerritories!$A$1:$B$50,2,FALSE)</f>
        <v>20852</v>
      </c>
      <c r="I680">
        <f>VLOOKUP(C680,[1]EmployeeTerritories!$A$1:$B$50,1,FALSE)</f>
        <v>4</v>
      </c>
      <c r="J680">
        <f>VLOOKUP(H680,[1]!Territories,3,FALSE)</f>
        <v>1</v>
      </c>
      <c r="K680" t="str">
        <f>VLOOKUP(J680,[1]!Region,2,FALSE)</f>
        <v>Eastern</v>
      </c>
      <c r="L680">
        <f>VLOOKUP(A680,[1]Order_Details!$A$1:$F$2156,2,FALSE)</f>
        <v>11</v>
      </c>
      <c r="M680" t="str">
        <f>VLOOKUP(L680,[1]!Products,2,FALSE)</f>
        <v>Queso Cabrales</v>
      </c>
      <c r="N680">
        <f>VLOOKUP(L680,[1]!Products,4,FALSE)</f>
        <v>4</v>
      </c>
      <c r="O680" s="6" t="str">
        <f>VLOOKUP(N680,[1]!Categories,2,FALSE)</f>
        <v>Dairy Products</v>
      </c>
      <c r="P680" s="6">
        <f>VLOOKUP(A680,[1]Order_Details!$A$1:$F$2156,3,FALSE)</f>
        <v>21</v>
      </c>
      <c r="Q680">
        <f>VLOOKUP(A680,[1]Order_Details!$A$1:$F$2156,4,FALSE)</f>
        <v>2</v>
      </c>
      <c r="R680">
        <f>VLOOKUP(A680,[1]Order_Details!$A$1:$F$2156,5,FALSE)</f>
        <v>0</v>
      </c>
      <c r="S680" s="6">
        <f>VLOOKUP(A680,[1]Order_Details!$A$1:$F$2156,6,FALSE)</f>
        <v>42</v>
      </c>
      <c r="T680" s="6">
        <f>VLOOKUP(A680,[1]!Orders,8,FALSE)</f>
        <v>39.92</v>
      </c>
    </row>
    <row r="681" spans="1:20" x14ac:dyDescent="0.3">
      <c r="A681" s="2">
        <v>10927</v>
      </c>
      <c r="B681" s="2" t="s">
        <v>92</v>
      </c>
      <c r="C681" s="2">
        <v>4</v>
      </c>
      <c r="D681" s="3">
        <v>35859</v>
      </c>
      <c r="E681" t="str">
        <f>VLOOKUP(C681,[1]Employees!$A$1:$O$10,4,FALSE)</f>
        <v>Peacock Margaret</v>
      </c>
      <c r="F681">
        <f>VLOOKUP(A681,[1]!Orders,7,FALSE)</f>
        <v>1</v>
      </c>
      <c r="G681" t="str">
        <f>VLOOKUP(F681,[1]!Shippers,2,FALSE)</f>
        <v>Speedy Express</v>
      </c>
      <c r="H681" t="str">
        <f>VLOOKUP(C681,[1]EmployeeTerritories!$A$1:$B$50,2,FALSE)</f>
        <v>20852</v>
      </c>
      <c r="I681">
        <f>VLOOKUP(C681,[1]EmployeeTerritories!$A$1:$B$50,1,FALSE)</f>
        <v>4</v>
      </c>
      <c r="J681">
        <f>VLOOKUP(H681,[1]!Territories,3,FALSE)</f>
        <v>1</v>
      </c>
      <c r="K681" t="str">
        <f>VLOOKUP(J681,[1]!Region,2,FALSE)</f>
        <v>Eastern</v>
      </c>
      <c r="L681">
        <f>VLOOKUP(A681,[1]Order_Details!$A$1:$F$2156,2,FALSE)</f>
        <v>20</v>
      </c>
      <c r="M681" t="str">
        <f>VLOOKUP(L681,[1]!Products,2,FALSE)</f>
        <v>Sir Rodney's Marmalade</v>
      </c>
      <c r="N681">
        <f>VLOOKUP(L681,[1]!Products,4,FALSE)</f>
        <v>3</v>
      </c>
      <c r="O681" s="6" t="str">
        <f>VLOOKUP(N681,[1]!Categories,2,FALSE)</f>
        <v>Confections</v>
      </c>
      <c r="P681" s="6">
        <f>VLOOKUP(A681,[1]Order_Details!$A$1:$F$2156,3,FALSE)</f>
        <v>81</v>
      </c>
      <c r="Q681">
        <f>VLOOKUP(A681,[1]Order_Details!$A$1:$F$2156,4,FALSE)</f>
        <v>5</v>
      </c>
      <c r="R681">
        <f>VLOOKUP(A681,[1]Order_Details!$A$1:$F$2156,5,FALSE)</f>
        <v>0</v>
      </c>
      <c r="S681" s="6">
        <f>VLOOKUP(A681,[1]Order_Details!$A$1:$F$2156,6,FALSE)</f>
        <v>405</v>
      </c>
      <c r="T681" s="6">
        <f>VLOOKUP(A681,[1]!Orders,8,FALSE)</f>
        <v>19.79</v>
      </c>
    </row>
    <row r="682" spans="1:20" x14ac:dyDescent="0.3">
      <c r="A682" s="2">
        <v>10928</v>
      </c>
      <c r="B682" s="2" t="s">
        <v>64</v>
      </c>
      <c r="C682" s="2">
        <v>1</v>
      </c>
      <c r="D682" s="3">
        <v>35859</v>
      </c>
      <c r="E682" t="str">
        <f>VLOOKUP(C682,[1]Employees!$A$1:$O$10,4,FALSE)</f>
        <v>Davolio Nancy</v>
      </c>
      <c r="F682">
        <f>VLOOKUP(A682,[1]!Orders,7,FALSE)</f>
        <v>1</v>
      </c>
      <c r="G682" t="str">
        <f>VLOOKUP(F682,[1]!Shippers,2,FALSE)</f>
        <v>Speedy Express</v>
      </c>
      <c r="H682" t="str">
        <f>VLOOKUP(C682,[1]EmployeeTerritories!$A$1:$B$50,2,FALSE)</f>
        <v>06897</v>
      </c>
      <c r="I682">
        <f>VLOOKUP(C682,[1]EmployeeTerritories!$A$1:$B$50,1,FALSE)</f>
        <v>1</v>
      </c>
      <c r="J682">
        <f>VLOOKUP(H682,[1]!Territories,3,FALSE)</f>
        <v>1</v>
      </c>
      <c r="K682" t="str">
        <f>VLOOKUP(J682,[1]!Region,2,FALSE)</f>
        <v>Eastern</v>
      </c>
      <c r="L682">
        <f>VLOOKUP(A682,[1]Order_Details!$A$1:$F$2156,2,FALSE)</f>
        <v>47</v>
      </c>
      <c r="M682" t="str">
        <f>VLOOKUP(L682,[1]!Products,2,FALSE)</f>
        <v>Zaanse koeken</v>
      </c>
      <c r="N682">
        <f>VLOOKUP(L682,[1]!Products,4,FALSE)</f>
        <v>3</v>
      </c>
      <c r="O682" s="6" t="str">
        <f>VLOOKUP(N682,[1]!Categories,2,FALSE)</f>
        <v>Confections</v>
      </c>
      <c r="P682" s="6">
        <f>VLOOKUP(A682,[1]Order_Details!$A$1:$F$2156,3,FALSE)</f>
        <v>9.5</v>
      </c>
      <c r="Q682">
        <f>VLOOKUP(A682,[1]Order_Details!$A$1:$F$2156,4,FALSE)</f>
        <v>5</v>
      </c>
      <c r="R682">
        <f>VLOOKUP(A682,[1]Order_Details!$A$1:$F$2156,5,FALSE)</f>
        <v>0</v>
      </c>
      <c r="S682" s="6">
        <f>VLOOKUP(A682,[1]Order_Details!$A$1:$F$2156,6,FALSE)</f>
        <v>47.5</v>
      </c>
      <c r="T682" s="6">
        <f>VLOOKUP(A682,[1]!Orders,8,FALSE)</f>
        <v>1.36</v>
      </c>
    </row>
    <row r="683" spans="1:20" x14ac:dyDescent="0.3">
      <c r="A683" s="2">
        <v>10929</v>
      </c>
      <c r="B683" s="2" t="s">
        <v>21</v>
      </c>
      <c r="C683" s="2">
        <v>6</v>
      </c>
      <c r="D683" s="3">
        <v>35859</v>
      </c>
      <c r="E683" t="str">
        <f>VLOOKUP(C683,[1]Employees!$A$1:$O$10,4,FALSE)</f>
        <v>Suyama Michael</v>
      </c>
      <c r="F683">
        <f>VLOOKUP(A683,[1]!Orders,7,FALSE)</f>
        <v>1</v>
      </c>
      <c r="G683" t="str">
        <f>VLOOKUP(F683,[1]!Shippers,2,FALSE)</f>
        <v>Speedy Express</v>
      </c>
      <c r="H683" t="str">
        <f>VLOOKUP(C683,[1]EmployeeTerritories!$A$1:$B$50,2,FALSE)</f>
        <v>85014</v>
      </c>
      <c r="I683">
        <f>VLOOKUP(C683,[1]EmployeeTerritories!$A$1:$B$50,1,FALSE)</f>
        <v>6</v>
      </c>
      <c r="J683">
        <f>VLOOKUP(H683,[1]!Territories,3,FALSE)</f>
        <v>2</v>
      </c>
      <c r="K683" t="str">
        <f>VLOOKUP(J683,[1]!Region,2,FALSE)</f>
        <v>Western</v>
      </c>
      <c r="L683">
        <f>VLOOKUP(A683,[1]Order_Details!$A$1:$F$2156,2,FALSE)</f>
        <v>21</v>
      </c>
      <c r="M683" t="str">
        <f>VLOOKUP(L683,[1]!Products,2,FALSE)</f>
        <v>Sir Rodney's Scones</v>
      </c>
      <c r="N683">
        <f>VLOOKUP(L683,[1]!Products,4,FALSE)</f>
        <v>3</v>
      </c>
      <c r="O683" s="6" t="str">
        <f>VLOOKUP(N683,[1]!Categories,2,FALSE)</f>
        <v>Confections</v>
      </c>
      <c r="P683" s="6">
        <f>VLOOKUP(A683,[1]Order_Details!$A$1:$F$2156,3,FALSE)</f>
        <v>10</v>
      </c>
      <c r="Q683">
        <f>VLOOKUP(A683,[1]Order_Details!$A$1:$F$2156,4,FALSE)</f>
        <v>60</v>
      </c>
      <c r="R683">
        <f>VLOOKUP(A683,[1]Order_Details!$A$1:$F$2156,5,FALSE)</f>
        <v>0</v>
      </c>
      <c r="S683" s="6">
        <f>VLOOKUP(A683,[1]Order_Details!$A$1:$F$2156,6,FALSE)</f>
        <v>600</v>
      </c>
      <c r="T683" s="6">
        <f>VLOOKUP(A683,[1]!Orders,8,FALSE)</f>
        <v>33.93</v>
      </c>
    </row>
    <row r="684" spans="1:20" x14ac:dyDescent="0.3">
      <c r="A684" s="2">
        <v>10930</v>
      </c>
      <c r="B684" s="2" t="s">
        <v>8</v>
      </c>
      <c r="C684" s="2">
        <v>4</v>
      </c>
      <c r="D684" s="3">
        <v>35860</v>
      </c>
      <c r="E684" t="str">
        <f>VLOOKUP(C684,[1]Employees!$A$1:$O$10,4,FALSE)</f>
        <v>Peacock Margaret</v>
      </c>
      <c r="F684">
        <f>VLOOKUP(A684,[1]!Orders,7,FALSE)</f>
        <v>3</v>
      </c>
      <c r="G684" t="str">
        <f>VLOOKUP(F684,[1]!Shippers,2,FALSE)</f>
        <v>Federal Shipping</v>
      </c>
      <c r="H684" t="str">
        <f>VLOOKUP(C684,[1]EmployeeTerritories!$A$1:$B$50,2,FALSE)</f>
        <v>20852</v>
      </c>
      <c r="I684">
        <f>VLOOKUP(C684,[1]EmployeeTerritories!$A$1:$B$50,1,FALSE)</f>
        <v>4</v>
      </c>
      <c r="J684">
        <f>VLOOKUP(H684,[1]!Territories,3,FALSE)</f>
        <v>1</v>
      </c>
      <c r="K684" t="str">
        <f>VLOOKUP(J684,[1]!Region,2,FALSE)</f>
        <v>Eastern</v>
      </c>
      <c r="L684">
        <f>VLOOKUP(A684,[1]Order_Details!$A$1:$F$2156,2,FALSE)</f>
        <v>21</v>
      </c>
      <c r="M684" t="str">
        <f>VLOOKUP(L684,[1]!Products,2,FALSE)</f>
        <v>Sir Rodney's Scones</v>
      </c>
      <c r="N684">
        <f>VLOOKUP(L684,[1]!Products,4,FALSE)</f>
        <v>3</v>
      </c>
      <c r="O684" s="6" t="str">
        <f>VLOOKUP(N684,[1]!Categories,2,FALSE)</f>
        <v>Confections</v>
      </c>
      <c r="P684" s="6">
        <f>VLOOKUP(A684,[1]Order_Details!$A$1:$F$2156,3,FALSE)</f>
        <v>10</v>
      </c>
      <c r="Q684">
        <f>VLOOKUP(A684,[1]Order_Details!$A$1:$F$2156,4,FALSE)</f>
        <v>36</v>
      </c>
      <c r="R684">
        <f>VLOOKUP(A684,[1]Order_Details!$A$1:$F$2156,5,FALSE)</f>
        <v>0</v>
      </c>
      <c r="S684" s="6">
        <f>VLOOKUP(A684,[1]Order_Details!$A$1:$F$2156,6,FALSE)</f>
        <v>360</v>
      </c>
      <c r="T684" s="6">
        <f>VLOOKUP(A684,[1]!Orders,8,FALSE)</f>
        <v>15.55</v>
      </c>
    </row>
    <row r="685" spans="1:20" x14ac:dyDescent="0.3">
      <c r="A685" s="2">
        <v>10931</v>
      </c>
      <c r="B685" s="2" t="s">
        <v>10</v>
      </c>
      <c r="C685" s="2">
        <v>4</v>
      </c>
      <c r="D685" s="3">
        <v>35860</v>
      </c>
      <c r="E685" t="str">
        <f>VLOOKUP(C685,[1]Employees!$A$1:$O$10,4,FALSE)</f>
        <v>Peacock Margaret</v>
      </c>
      <c r="F685">
        <f>VLOOKUP(A685,[1]!Orders,7,FALSE)</f>
        <v>2</v>
      </c>
      <c r="G685" t="str">
        <f>VLOOKUP(F685,[1]!Shippers,2,FALSE)</f>
        <v>United Package</v>
      </c>
      <c r="H685" t="str">
        <f>VLOOKUP(C685,[1]EmployeeTerritories!$A$1:$B$50,2,FALSE)</f>
        <v>20852</v>
      </c>
      <c r="I685">
        <f>VLOOKUP(C685,[1]EmployeeTerritories!$A$1:$B$50,1,FALSE)</f>
        <v>4</v>
      </c>
      <c r="J685">
        <f>VLOOKUP(H685,[1]!Territories,3,FALSE)</f>
        <v>1</v>
      </c>
      <c r="K685" t="str">
        <f>VLOOKUP(J685,[1]!Region,2,FALSE)</f>
        <v>Eastern</v>
      </c>
      <c r="L685">
        <f>VLOOKUP(A685,[1]Order_Details!$A$1:$F$2156,2,FALSE)</f>
        <v>13</v>
      </c>
      <c r="M685" t="str">
        <f>VLOOKUP(L685,[1]!Products,2,FALSE)</f>
        <v>Konbu</v>
      </c>
      <c r="N685">
        <f>VLOOKUP(L685,[1]!Products,4,FALSE)</f>
        <v>8</v>
      </c>
      <c r="O685" s="6" t="str">
        <f>VLOOKUP(N685,[1]!Categories,2,FALSE)</f>
        <v>Seafood</v>
      </c>
      <c r="P685" s="6">
        <f>VLOOKUP(A685,[1]Order_Details!$A$1:$F$2156,3,FALSE)</f>
        <v>6</v>
      </c>
      <c r="Q685">
        <f>VLOOKUP(A685,[1]Order_Details!$A$1:$F$2156,4,FALSE)</f>
        <v>42</v>
      </c>
      <c r="R685">
        <f>VLOOKUP(A685,[1]Order_Details!$A$1:$F$2156,5,FALSE)</f>
        <v>0.15000000596046448</v>
      </c>
      <c r="S685" s="6">
        <f>VLOOKUP(A685,[1]Order_Details!$A$1:$F$2156,6,FALSE)</f>
        <v>214.19999849796295</v>
      </c>
      <c r="T685" s="6">
        <f>VLOOKUP(A685,[1]!Orders,8,FALSE)</f>
        <v>13.6</v>
      </c>
    </row>
    <row r="686" spans="1:20" x14ac:dyDescent="0.3">
      <c r="A686" s="2">
        <v>10932</v>
      </c>
      <c r="B686" s="2" t="s">
        <v>52</v>
      </c>
      <c r="C686" s="2">
        <v>8</v>
      </c>
      <c r="D686" s="3">
        <v>35860</v>
      </c>
      <c r="E686" t="str">
        <f>VLOOKUP(C686,[1]Employees!$A$1:$O$10,4,FALSE)</f>
        <v>Callahan Laura</v>
      </c>
      <c r="F686">
        <f>VLOOKUP(A686,[1]!Orders,7,FALSE)</f>
        <v>1</v>
      </c>
      <c r="G686" t="str">
        <f>VLOOKUP(F686,[1]!Shippers,2,FALSE)</f>
        <v>Speedy Express</v>
      </c>
      <c r="H686" t="str">
        <f>VLOOKUP(C686,[1]EmployeeTerritories!$A$1:$B$50,2,FALSE)</f>
        <v>19428</v>
      </c>
      <c r="I686">
        <f>VLOOKUP(C686,[1]EmployeeTerritories!$A$1:$B$50,1,FALSE)</f>
        <v>8</v>
      </c>
      <c r="J686">
        <f>VLOOKUP(H686,[1]!Territories,3,FALSE)</f>
        <v>3</v>
      </c>
      <c r="K686" t="str">
        <f>VLOOKUP(J686,[1]!Region,2,FALSE)</f>
        <v>Northern</v>
      </c>
      <c r="L686">
        <f>VLOOKUP(A686,[1]Order_Details!$A$1:$F$2156,2,FALSE)</f>
        <v>16</v>
      </c>
      <c r="M686" t="str">
        <f>VLOOKUP(L686,[1]!Products,2,FALSE)</f>
        <v>Pavlova</v>
      </c>
      <c r="N686">
        <f>VLOOKUP(L686,[1]!Products,4,FALSE)</f>
        <v>3</v>
      </c>
      <c r="O686" s="6" t="str">
        <f>VLOOKUP(N686,[1]!Categories,2,FALSE)</f>
        <v>Confections</v>
      </c>
      <c r="P686" s="6">
        <f>VLOOKUP(A686,[1]Order_Details!$A$1:$F$2156,3,FALSE)</f>
        <v>17.45</v>
      </c>
      <c r="Q686">
        <f>VLOOKUP(A686,[1]Order_Details!$A$1:$F$2156,4,FALSE)</f>
        <v>30</v>
      </c>
      <c r="R686">
        <f>VLOOKUP(A686,[1]Order_Details!$A$1:$F$2156,5,FALSE)</f>
        <v>0.10000000149011612</v>
      </c>
      <c r="S686" s="6">
        <f>VLOOKUP(A686,[1]Order_Details!$A$1:$F$2156,6,FALSE)</f>
        <v>471.14999921992421</v>
      </c>
      <c r="T686" s="6">
        <f>VLOOKUP(A686,[1]!Orders,8,FALSE)</f>
        <v>134.63999999999999</v>
      </c>
    </row>
    <row r="687" spans="1:20" x14ac:dyDescent="0.3">
      <c r="A687" s="2">
        <v>10933</v>
      </c>
      <c r="B687" s="2" t="s">
        <v>46</v>
      </c>
      <c r="C687" s="2">
        <v>6</v>
      </c>
      <c r="D687" s="3">
        <v>35860</v>
      </c>
      <c r="E687" t="str">
        <f>VLOOKUP(C687,[1]Employees!$A$1:$O$10,4,FALSE)</f>
        <v>Suyama Michael</v>
      </c>
      <c r="F687">
        <f>VLOOKUP(A687,[1]!Orders,7,FALSE)</f>
        <v>3</v>
      </c>
      <c r="G687" t="str">
        <f>VLOOKUP(F687,[1]!Shippers,2,FALSE)</f>
        <v>Federal Shipping</v>
      </c>
      <c r="H687" t="str">
        <f>VLOOKUP(C687,[1]EmployeeTerritories!$A$1:$B$50,2,FALSE)</f>
        <v>85014</v>
      </c>
      <c r="I687">
        <f>VLOOKUP(C687,[1]EmployeeTerritories!$A$1:$B$50,1,FALSE)</f>
        <v>6</v>
      </c>
      <c r="J687">
        <f>VLOOKUP(H687,[1]!Territories,3,FALSE)</f>
        <v>2</v>
      </c>
      <c r="K687" t="str">
        <f>VLOOKUP(J687,[1]!Region,2,FALSE)</f>
        <v>Western</v>
      </c>
      <c r="L687">
        <f>VLOOKUP(A687,[1]Order_Details!$A$1:$F$2156,2,FALSE)</f>
        <v>53</v>
      </c>
      <c r="M687" t="str">
        <f>VLOOKUP(L687,[1]!Products,2,FALSE)</f>
        <v>Perth Pasties</v>
      </c>
      <c r="N687">
        <f>VLOOKUP(L687,[1]!Products,4,FALSE)</f>
        <v>6</v>
      </c>
      <c r="O687" s="6" t="str">
        <f>VLOOKUP(N687,[1]!Categories,2,FALSE)</f>
        <v>Meat/Poultry</v>
      </c>
      <c r="P687" s="6">
        <f>VLOOKUP(A687,[1]Order_Details!$A$1:$F$2156,3,FALSE)</f>
        <v>32.799999999999997</v>
      </c>
      <c r="Q687">
        <f>VLOOKUP(A687,[1]Order_Details!$A$1:$F$2156,4,FALSE)</f>
        <v>2</v>
      </c>
      <c r="R687">
        <f>VLOOKUP(A687,[1]Order_Details!$A$1:$F$2156,5,FALSE)</f>
        <v>0</v>
      </c>
      <c r="S687" s="6">
        <f>VLOOKUP(A687,[1]Order_Details!$A$1:$F$2156,6,FALSE)</f>
        <v>65.599999999999994</v>
      </c>
      <c r="T687" s="6">
        <f>VLOOKUP(A687,[1]!Orders,8,FALSE)</f>
        <v>54.15</v>
      </c>
    </row>
    <row r="688" spans="1:20" x14ac:dyDescent="0.3">
      <c r="A688" s="2">
        <v>10934</v>
      </c>
      <c r="B688" s="2" t="s">
        <v>30</v>
      </c>
      <c r="C688" s="2">
        <v>3</v>
      </c>
      <c r="D688" s="3">
        <v>35863</v>
      </c>
      <c r="E688" t="str">
        <f>VLOOKUP(C688,[1]Employees!$A$1:$O$10,4,FALSE)</f>
        <v>Leverling Janet</v>
      </c>
      <c r="F688">
        <f>VLOOKUP(A688,[1]!Orders,7,FALSE)</f>
        <v>3</v>
      </c>
      <c r="G688" t="str">
        <f>VLOOKUP(F688,[1]!Shippers,2,FALSE)</f>
        <v>Federal Shipping</v>
      </c>
      <c r="H688" t="str">
        <f>VLOOKUP(C688,[1]EmployeeTerritories!$A$1:$B$50,2,FALSE)</f>
        <v>30346</v>
      </c>
      <c r="I688">
        <f>VLOOKUP(C688,[1]EmployeeTerritories!$A$1:$B$50,1,FALSE)</f>
        <v>3</v>
      </c>
      <c r="J688">
        <f>VLOOKUP(H688,[1]!Territories,3,FALSE)</f>
        <v>4</v>
      </c>
      <c r="K688" t="str">
        <f>VLOOKUP(J688,[1]!Region,2,FALSE)</f>
        <v>Southern</v>
      </c>
      <c r="L688">
        <f>VLOOKUP(A688,[1]Order_Details!$A$1:$F$2156,2,FALSE)</f>
        <v>6</v>
      </c>
      <c r="M688" t="str">
        <f>VLOOKUP(L688,[1]!Products,2,FALSE)</f>
        <v>Grandma's Boysenberry Spread</v>
      </c>
      <c r="N688">
        <f>VLOOKUP(L688,[1]!Products,4,FALSE)</f>
        <v>2</v>
      </c>
      <c r="O688" s="6" t="str">
        <f>VLOOKUP(N688,[1]!Categories,2,FALSE)</f>
        <v>Condiments</v>
      </c>
      <c r="P688" s="6">
        <f>VLOOKUP(A688,[1]Order_Details!$A$1:$F$2156,3,FALSE)</f>
        <v>25</v>
      </c>
      <c r="Q688">
        <f>VLOOKUP(A688,[1]Order_Details!$A$1:$F$2156,4,FALSE)</f>
        <v>20</v>
      </c>
      <c r="R688">
        <f>VLOOKUP(A688,[1]Order_Details!$A$1:$F$2156,5,FALSE)</f>
        <v>0</v>
      </c>
      <c r="S688" s="6">
        <f>VLOOKUP(A688,[1]Order_Details!$A$1:$F$2156,6,FALSE)</f>
        <v>500</v>
      </c>
      <c r="T688" s="6">
        <f>VLOOKUP(A688,[1]!Orders,8,FALSE)</f>
        <v>32.01</v>
      </c>
    </row>
    <row r="689" spans="1:20" x14ac:dyDescent="0.3">
      <c r="A689" s="2">
        <v>10935</v>
      </c>
      <c r="B689" s="2" t="s">
        <v>11</v>
      </c>
      <c r="C689" s="2">
        <v>4</v>
      </c>
      <c r="D689" s="3">
        <v>35863</v>
      </c>
      <c r="E689" t="str">
        <f>VLOOKUP(C689,[1]Employees!$A$1:$O$10,4,FALSE)</f>
        <v>Peacock Margaret</v>
      </c>
      <c r="F689">
        <f>VLOOKUP(A689,[1]!Orders,7,FALSE)</f>
        <v>3</v>
      </c>
      <c r="G689" t="str">
        <f>VLOOKUP(F689,[1]!Shippers,2,FALSE)</f>
        <v>Federal Shipping</v>
      </c>
      <c r="H689" t="str">
        <f>VLOOKUP(C689,[1]EmployeeTerritories!$A$1:$B$50,2,FALSE)</f>
        <v>20852</v>
      </c>
      <c r="I689">
        <f>VLOOKUP(C689,[1]EmployeeTerritories!$A$1:$B$50,1,FALSE)</f>
        <v>4</v>
      </c>
      <c r="J689">
        <f>VLOOKUP(H689,[1]!Territories,3,FALSE)</f>
        <v>1</v>
      </c>
      <c r="K689" t="str">
        <f>VLOOKUP(J689,[1]!Region,2,FALSE)</f>
        <v>Eastern</v>
      </c>
      <c r="L689">
        <f>VLOOKUP(A689,[1]Order_Details!$A$1:$F$2156,2,FALSE)</f>
        <v>1</v>
      </c>
      <c r="M689" t="str">
        <f>VLOOKUP(L689,[1]!Products,2,FALSE)</f>
        <v>Chai</v>
      </c>
      <c r="N689">
        <f>VLOOKUP(L689,[1]!Products,4,FALSE)</f>
        <v>1</v>
      </c>
      <c r="O689" s="6" t="str">
        <f>VLOOKUP(N689,[1]!Categories,2,FALSE)</f>
        <v>Beverages</v>
      </c>
      <c r="P689" s="6">
        <f>VLOOKUP(A689,[1]Order_Details!$A$1:$F$2156,3,FALSE)</f>
        <v>18</v>
      </c>
      <c r="Q689">
        <f>VLOOKUP(A689,[1]Order_Details!$A$1:$F$2156,4,FALSE)</f>
        <v>21</v>
      </c>
      <c r="R689">
        <f>VLOOKUP(A689,[1]Order_Details!$A$1:$F$2156,5,FALSE)</f>
        <v>0</v>
      </c>
      <c r="S689" s="6">
        <f>VLOOKUP(A689,[1]Order_Details!$A$1:$F$2156,6,FALSE)</f>
        <v>378</v>
      </c>
      <c r="T689" s="6">
        <f>VLOOKUP(A689,[1]!Orders,8,FALSE)</f>
        <v>47.59</v>
      </c>
    </row>
    <row r="690" spans="1:20" x14ac:dyDescent="0.3">
      <c r="A690" s="2">
        <v>10936</v>
      </c>
      <c r="B690" s="2" t="s">
        <v>83</v>
      </c>
      <c r="C690" s="2">
        <v>3</v>
      </c>
      <c r="D690" s="3">
        <v>35863</v>
      </c>
      <c r="E690" t="str">
        <f>VLOOKUP(C690,[1]Employees!$A$1:$O$10,4,FALSE)</f>
        <v>Leverling Janet</v>
      </c>
      <c r="F690">
        <f>VLOOKUP(A690,[1]!Orders,7,FALSE)</f>
        <v>2</v>
      </c>
      <c r="G690" t="str">
        <f>VLOOKUP(F690,[1]!Shippers,2,FALSE)</f>
        <v>United Package</v>
      </c>
      <c r="H690" t="str">
        <f>VLOOKUP(C690,[1]EmployeeTerritories!$A$1:$B$50,2,FALSE)</f>
        <v>30346</v>
      </c>
      <c r="I690">
        <f>VLOOKUP(C690,[1]EmployeeTerritories!$A$1:$B$50,1,FALSE)</f>
        <v>3</v>
      </c>
      <c r="J690">
        <f>VLOOKUP(H690,[1]!Territories,3,FALSE)</f>
        <v>4</v>
      </c>
      <c r="K690" t="str">
        <f>VLOOKUP(J690,[1]!Region,2,FALSE)</f>
        <v>Southern</v>
      </c>
      <c r="L690">
        <f>VLOOKUP(A690,[1]Order_Details!$A$1:$F$2156,2,FALSE)</f>
        <v>36</v>
      </c>
      <c r="M690" t="str">
        <f>VLOOKUP(L690,[1]!Products,2,FALSE)</f>
        <v>Inlagd Sill</v>
      </c>
      <c r="N690">
        <f>VLOOKUP(L690,[1]!Products,4,FALSE)</f>
        <v>8</v>
      </c>
      <c r="O690" s="6" t="str">
        <f>VLOOKUP(N690,[1]!Categories,2,FALSE)</f>
        <v>Seafood</v>
      </c>
      <c r="P690" s="6">
        <f>VLOOKUP(A690,[1]Order_Details!$A$1:$F$2156,3,FALSE)</f>
        <v>19</v>
      </c>
      <c r="Q690">
        <f>VLOOKUP(A690,[1]Order_Details!$A$1:$F$2156,4,FALSE)</f>
        <v>30</v>
      </c>
      <c r="R690">
        <f>VLOOKUP(A690,[1]Order_Details!$A$1:$F$2156,5,FALSE)</f>
        <v>0.20000000298023224</v>
      </c>
      <c r="S690" s="6">
        <f>VLOOKUP(A690,[1]Order_Details!$A$1:$F$2156,6,FALSE)</f>
        <v>455.99999830126762</v>
      </c>
      <c r="T690" s="6">
        <f>VLOOKUP(A690,[1]!Orders,8,FALSE)</f>
        <v>33.68</v>
      </c>
    </row>
    <row r="691" spans="1:20" x14ac:dyDescent="0.3">
      <c r="A691" s="2">
        <v>10937</v>
      </c>
      <c r="B691" s="2" t="s">
        <v>82</v>
      </c>
      <c r="C691" s="2">
        <v>7</v>
      </c>
      <c r="D691" s="3">
        <v>35864</v>
      </c>
      <c r="E691" t="str">
        <f>VLOOKUP(C691,[1]Employees!$A$1:$O$10,4,FALSE)</f>
        <v>King Robert</v>
      </c>
      <c r="F691">
        <f>VLOOKUP(A691,[1]!Orders,7,FALSE)</f>
        <v>3</v>
      </c>
      <c r="G691" t="str">
        <f>VLOOKUP(F691,[1]!Shippers,2,FALSE)</f>
        <v>Federal Shipping</v>
      </c>
      <c r="H691" t="str">
        <f>VLOOKUP(C691,[1]EmployeeTerritories!$A$1:$B$50,2,FALSE)</f>
        <v>60179</v>
      </c>
      <c r="I691">
        <f>VLOOKUP(C691,[1]EmployeeTerritories!$A$1:$B$50,1,FALSE)</f>
        <v>7</v>
      </c>
      <c r="J691">
        <f>VLOOKUP(H691,[1]!Territories,3,FALSE)</f>
        <v>2</v>
      </c>
      <c r="K691" t="str">
        <f>VLOOKUP(J691,[1]!Region,2,FALSE)</f>
        <v>Western</v>
      </c>
      <c r="L691">
        <f>VLOOKUP(A691,[1]Order_Details!$A$1:$F$2156,2,FALSE)</f>
        <v>28</v>
      </c>
      <c r="M691" t="str">
        <f>VLOOKUP(L691,[1]!Products,2,FALSE)</f>
        <v>Rössle Sauerkraut</v>
      </c>
      <c r="N691">
        <f>VLOOKUP(L691,[1]!Products,4,FALSE)</f>
        <v>7</v>
      </c>
      <c r="O691" s="6" t="str">
        <f>VLOOKUP(N691,[1]!Categories,2,FALSE)</f>
        <v>Produce</v>
      </c>
      <c r="P691" s="6">
        <f>VLOOKUP(A691,[1]Order_Details!$A$1:$F$2156,3,FALSE)</f>
        <v>45.6</v>
      </c>
      <c r="Q691">
        <f>VLOOKUP(A691,[1]Order_Details!$A$1:$F$2156,4,FALSE)</f>
        <v>8</v>
      </c>
      <c r="R691">
        <f>VLOOKUP(A691,[1]Order_Details!$A$1:$F$2156,5,FALSE)</f>
        <v>0</v>
      </c>
      <c r="S691" s="6">
        <f>VLOOKUP(A691,[1]Order_Details!$A$1:$F$2156,6,FALSE)</f>
        <v>364.8</v>
      </c>
      <c r="T691" s="6">
        <f>VLOOKUP(A691,[1]!Orders,8,FALSE)</f>
        <v>31.51</v>
      </c>
    </row>
    <row r="692" spans="1:20" x14ac:dyDescent="0.3">
      <c r="A692" s="2">
        <v>10938</v>
      </c>
      <c r="B692" s="2" t="s">
        <v>25</v>
      </c>
      <c r="C692" s="2">
        <v>3</v>
      </c>
      <c r="D692" s="3">
        <v>35864</v>
      </c>
      <c r="E692" t="str">
        <f>VLOOKUP(C692,[1]Employees!$A$1:$O$10,4,FALSE)</f>
        <v>Leverling Janet</v>
      </c>
      <c r="F692">
        <f>VLOOKUP(A692,[1]!Orders,7,FALSE)</f>
        <v>2</v>
      </c>
      <c r="G692" t="str">
        <f>VLOOKUP(F692,[1]!Shippers,2,FALSE)</f>
        <v>United Package</v>
      </c>
      <c r="H692" t="str">
        <f>VLOOKUP(C692,[1]EmployeeTerritories!$A$1:$B$50,2,FALSE)</f>
        <v>30346</v>
      </c>
      <c r="I692">
        <f>VLOOKUP(C692,[1]EmployeeTerritories!$A$1:$B$50,1,FALSE)</f>
        <v>3</v>
      </c>
      <c r="J692">
        <f>VLOOKUP(H692,[1]!Territories,3,FALSE)</f>
        <v>4</v>
      </c>
      <c r="K692" t="str">
        <f>VLOOKUP(J692,[1]!Region,2,FALSE)</f>
        <v>Southern</v>
      </c>
      <c r="L692">
        <f>VLOOKUP(A692,[1]Order_Details!$A$1:$F$2156,2,FALSE)</f>
        <v>13</v>
      </c>
      <c r="M692" t="str">
        <f>VLOOKUP(L692,[1]!Products,2,FALSE)</f>
        <v>Konbu</v>
      </c>
      <c r="N692">
        <f>VLOOKUP(L692,[1]!Products,4,FALSE)</f>
        <v>8</v>
      </c>
      <c r="O692" s="6" t="str">
        <f>VLOOKUP(N692,[1]!Categories,2,FALSE)</f>
        <v>Seafood</v>
      </c>
      <c r="P692" s="6">
        <f>VLOOKUP(A692,[1]Order_Details!$A$1:$F$2156,3,FALSE)</f>
        <v>6</v>
      </c>
      <c r="Q692">
        <f>VLOOKUP(A692,[1]Order_Details!$A$1:$F$2156,4,FALSE)</f>
        <v>20</v>
      </c>
      <c r="R692">
        <f>VLOOKUP(A692,[1]Order_Details!$A$1:$F$2156,5,FALSE)</f>
        <v>0.25</v>
      </c>
      <c r="S692" s="6">
        <f>VLOOKUP(A692,[1]Order_Details!$A$1:$F$2156,6,FALSE)</f>
        <v>90</v>
      </c>
      <c r="T692" s="6">
        <f>VLOOKUP(A692,[1]!Orders,8,FALSE)</f>
        <v>31.89</v>
      </c>
    </row>
    <row r="693" spans="1:20" x14ac:dyDescent="0.3">
      <c r="A693" s="2">
        <v>10939</v>
      </c>
      <c r="B693" s="2" t="s">
        <v>26</v>
      </c>
      <c r="C693" s="2">
        <v>2</v>
      </c>
      <c r="D693" s="3">
        <v>35864</v>
      </c>
      <c r="E693" t="str">
        <f>VLOOKUP(C693,[1]Employees!$A$1:$O$10,4,FALSE)</f>
        <v>Fuller Andrew</v>
      </c>
      <c r="F693">
        <f>VLOOKUP(A693,[1]!Orders,7,FALSE)</f>
        <v>2</v>
      </c>
      <c r="G693" t="str">
        <f>VLOOKUP(F693,[1]!Shippers,2,FALSE)</f>
        <v>United Package</v>
      </c>
      <c r="H693" t="str">
        <f>VLOOKUP(C693,[1]EmployeeTerritories!$A$1:$B$50,2,FALSE)</f>
        <v>01581</v>
      </c>
      <c r="I693">
        <f>VLOOKUP(C693,[1]EmployeeTerritories!$A$1:$B$50,1,FALSE)</f>
        <v>2</v>
      </c>
      <c r="J693">
        <f>VLOOKUP(H693,[1]!Territories,3,FALSE)</f>
        <v>1</v>
      </c>
      <c r="K693" t="str">
        <f>VLOOKUP(J693,[1]!Region,2,FALSE)</f>
        <v>Eastern</v>
      </c>
      <c r="L693">
        <f>VLOOKUP(A693,[1]Order_Details!$A$1:$F$2156,2,FALSE)</f>
        <v>2</v>
      </c>
      <c r="M693" t="str">
        <f>VLOOKUP(L693,[1]!Products,2,FALSE)</f>
        <v>Chang</v>
      </c>
      <c r="N693">
        <f>VLOOKUP(L693,[1]!Products,4,FALSE)</f>
        <v>1</v>
      </c>
      <c r="O693" s="6" t="str">
        <f>VLOOKUP(N693,[1]!Categories,2,FALSE)</f>
        <v>Beverages</v>
      </c>
      <c r="P693" s="6">
        <f>VLOOKUP(A693,[1]Order_Details!$A$1:$F$2156,3,FALSE)</f>
        <v>19</v>
      </c>
      <c r="Q693">
        <f>VLOOKUP(A693,[1]Order_Details!$A$1:$F$2156,4,FALSE)</f>
        <v>10</v>
      </c>
      <c r="R693">
        <f>VLOOKUP(A693,[1]Order_Details!$A$1:$F$2156,5,FALSE)</f>
        <v>0.15000000596046448</v>
      </c>
      <c r="S693" s="6">
        <f>VLOOKUP(A693,[1]Order_Details!$A$1:$F$2156,6,FALSE)</f>
        <v>161.49999886751175</v>
      </c>
      <c r="T693" s="6">
        <f>VLOOKUP(A693,[1]!Orders,8,FALSE)</f>
        <v>76.33</v>
      </c>
    </row>
    <row r="694" spans="1:20" x14ac:dyDescent="0.3">
      <c r="A694" s="2">
        <v>10940</v>
      </c>
      <c r="B694" s="2" t="s">
        <v>52</v>
      </c>
      <c r="C694" s="2">
        <v>8</v>
      </c>
      <c r="D694" s="3">
        <v>35865</v>
      </c>
      <c r="E694" t="str">
        <f>VLOOKUP(C694,[1]Employees!$A$1:$O$10,4,FALSE)</f>
        <v>Callahan Laura</v>
      </c>
      <c r="F694">
        <f>VLOOKUP(A694,[1]!Orders,7,FALSE)</f>
        <v>3</v>
      </c>
      <c r="G694" t="str">
        <f>VLOOKUP(F694,[1]!Shippers,2,FALSE)</f>
        <v>Federal Shipping</v>
      </c>
      <c r="H694" t="str">
        <f>VLOOKUP(C694,[1]EmployeeTerritories!$A$1:$B$50,2,FALSE)</f>
        <v>19428</v>
      </c>
      <c r="I694">
        <f>VLOOKUP(C694,[1]EmployeeTerritories!$A$1:$B$50,1,FALSE)</f>
        <v>8</v>
      </c>
      <c r="J694">
        <f>VLOOKUP(H694,[1]!Territories,3,FALSE)</f>
        <v>3</v>
      </c>
      <c r="K694" t="str">
        <f>VLOOKUP(J694,[1]!Region,2,FALSE)</f>
        <v>Northern</v>
      </c>
      <c r="L694">
        <f>VLOOKUP(A694,[1]Order_Details!$A$1:$F$2156,2,FALSE)</f>
        <v>7</v>
      </c>
      <c r="M694" t="str">
        <f>VLOOKUP(L694,[1]!Products,2,FALSE)</f>
        <v>Uncle Bob's Organic Dried Pears</v>
      </c>
      <c r="N694">
        <f>VLOOKUP(L694,[1]!Products,4,FALSE)</f>
        <v>7</v>
      </c>
      <c r="O694" s="6" t="str">
        <f>VLOOKUP(N694,[1]!Categories,2,FALSE)</f>
        <v>Produce</v>
      </c>
      <c r="P694" s="6">
        <f>VLOOKUP(A694,[1]Order_Details!$A$1:$F$2156,3,FALSE)</f>
        <v>30</v>
      </c>
      <c r="Q694">
        <f>VLOOKUP(A694,[1]Order_Details!$A$1:$F$2156,4,FALSE)</f>
        <v>8</v>
      </c>
      <c r="R694">
        <f>VLOOKUP(A694,[1]Order_Details!$A$1:$F$2156,5,FALSE)</f>
        <v>0</v>
      </c>
      <c r="S694" s="6">
        <f>VLOOKUP(A694,[1]Order_Details!$A$1:$F$2156,6,FALSE)</f>
        <v>240</v>
      </c>
      <c r="T694" s="6">
        <f>VLOOKUP(A694,[1]!Orders,8,FALSE)</f>
        <v>19.77</v>
      </c>
    </row>
    <row r="695" spans="1:20" x14ac:dyDescent="0.3">
      <c r="A695" s="2">
        <v>10941</v>
      </c>
      <c r="B695" s="2" t="s">
        <v>49</v>
      </c>
      <c r="C695" s="2">
        <v>7</v>
      </c>
      <c r="D695" s="3">
        <v>35865</v>
      </c>
      <c r="E695" t="str">
        <f>VLOOKUP(C695,[1]Employees!$A$1:$O$10,4,FALSE)</f>
        <v>King Robert</v>
      </c>
      <c r="F695">
        <f>VLOOKUP(A695,[1]!Orders,7,FALSE)</f>
        <v>2</v>
      </c>
      <c r="G695" t="str">
        <f>VLOOKUP(F695,[1]!Shippers,2,FALSE)</f>
        <v>United Package</v>
      </c>
      <c r="H695" t="str">
        <f>VLOOKUP(C695,[1]EmployeeTerritories!$A$1:$B$50,2,FALSE)</f>
        <v>60179</v>
      </c>
      <c r="I695">
        <f>VLOOKUP(C695,[1]EmployeeTerritories!$A$1:$B$50,1,FALSE)</f>
        <v>7</v>
      </c>
      <c r="J695">
        <f>VLOOKUP(H695,[1]!Territories,3,FALSE)</f>
        <v>2</v>
      </c>
      <c r="K695" t="str">
        <f>VLOOKUP(J695,[1]!Region,2,FALSE)</f>
        <v>Western</v>
      </c>
      <c r="L695">
        <f>VLOOKUP(A695,[1]Order_Details!$A$1:$F$2156,2,FALSE)</f>
        <v>31</v>
      </c>
      <c r="M695" t="str">
        <f>VLOOKUP(L695,[1]!Products,2,FALSE)</f>
        <v>Gorgonzola Telino</v>
      </c>
      <c r="N695">
        <f>VLOOKUP(L695,[1]!Products,4,FALSE)</f>
        <v>4</v>
      </c>
      <c r="O695" s="6" t="str">
        <f>VLOOKUP(N695,[1]!Categories,2,FALSE)</f>
        <v>Dairy Products</v>
      </c>
      <c r="P695" s="6">
        <f>VLOOKUP(A695,[1]Order_Details!$A$1:$F$2156,3,FALSE)</f>
        <v>12.5</v>
      </c>
      <c r="Q695">
        <f>VLOOKUP(A695,[1]Order_Details!$A$1:$F$2156,4,FALSE)</f>
        <v>44</v>
      </c>
      <c r="R695">
        <f>VLOOKUP(A695,[1]Order_Details!$A$1:$F$2156,5,FALSE)</f>
        <v>0.25</v>
      </c>
      <c r="S695" s="6">
        <f>VLOOKUP(A695,[1]Order_Details!$A$1:$F$2156,6,FALSE)</f>
        <v>412.5</v>
      </c>
      <c r="T695" s="6">
        <f>VLOOKUP(A695,[1]!Orders,8,FALSE)</f>
        <v>400.81</v>
      </c>
    </row>
    <row r="696" spans="1:20" x14ac:dyDescent="0.3">
      <c r="A696" s="2">
        <v>10942</v>
      </c>
      <c r="B696" s="2" t="s">
        <v>34</v>
      </c>
      <c r="C696" s="2">
        <v>9</v>
      </c>
      <c r="D696" s="3">
        <v>35865</v>
      </c>
      <c r="E696" t="str">
        <f>VLOOKUP(C696,[1]Employees!$A$1:$O$10,4,FALSE)</f>
        <v>Dodsworth Anne</v>
      </c>
      <c r="F696">
        <f>VLOOKUP(A696,[1]!Orders,7,FALSE)</f>
        <v>3</v>
      </c>
      <c r="G696" t="str">
        <f>VLOOKUP(F696,[1]!Shippers,2,FALSE)</f>
        <v>Federal Shipping</v>
      </c>
      <c r="H696" t="str">
        <f>VLOOKUP(C696,[1]EmployeeTerritories!$A$1:$B$50,2,FALSE)</f>
        <v>03049</v>
      </c>
      <c r="I696">
        <f>VLOOKUP(C696,[1]EmployeeTerritories!$A$1:$B$50,1,FALSE)</f>
        <v>9</v>
      </c>
      <c r="J696">
        <f>VLOOKUP(H696,[1]!Territories,3,FALSE)</f>
        <v>3</v>
      </c>
      <c r="K696" t="str">
        <f>VLOOKUP(J696,[1]!Region,2,FALSE)</f>
        <v>Northern</v>
      </c>
      <c r="L696">
        <f>VLOOKUP(A696,[1]Order_Details!$A$1:$F$2156,2,FALSE)</f>
        <v>49</v>
      </c>
      <c r="M696" t="str">
        <f>VLOOKUP(L696,[1]!Products,2,FALSE)</f>
        <v>Maxilaku</v>
      </c>
      <c r="N696">
        <f>VLOOKUP(L696,[1]!Products,4,FALSE)</f>
        <v>3</v>
      </c>
      <c r="O696" s="6" t="str">
        <f>VLOOKUP(N696,[1]!Categories,2,FALSE)</f>
        <v>Confections</v>
      </c>
      <c r="P696" s="6">
        <f>VLOOKUP(A696,[1]Order_Details!$A$1:$F$2156,3,FALSE)</f>
        <v>20</v>
      </c>
      <c r="Q696">
        <f>VLOOKUP(A696,[1]Order_Details!$A$1:$F$2156,4,FALSE)</f>
        <v>28</v>
      </c>
      <c r="R696">
        <f>VLOOKUP(A696,[1]Order_Details!$A$1:$F$2156,5,FALSE)</f>
        <v>0</v>
      </c>
      <c r="S696" s="6">
        <f>VLOOKUP(A696,[1]Order_Details!$A$1:$F$2156,6,FALSE)</f>
        <v>560</v>
      </c>
      <c r="T696" s="6">
        <f>VLOOKUP(A696,[1]!Orders,8,FALSE)</f>
        <v>17.95</v>
      </c>
    </row>
    <row r="697" spans="1:20" x14ac:dyDescent="0.3">
      <c r="A697" s="2">
        <v>10943</v>
      </c>
      <c r="B697" s="2" t="s">
        <v>35</v>
      </c>
      <c r="C697" s="2">
        <v>4</v>
      </c>
      <c r="D697" s="3">
        <v>35865</v>
      </c>
      <c r="E697" t="str">
        <f>VLOOKUP(C697,[1]Employees!$A$1:$O$10,4,FALSE)</f>
        <v>Peacock Margaret</v>
      </c>
      <c r="F697">
        <f>VLOOKUP(A697,[1]!Orders,7,FALSE)</f>
        <v>2</v>
      </c>
      <c r="G697" t="str">
        <f>VLOOKUP(F697,[1]!Shippers,2,FALSE)</f>
        <v>United Package</v>
      </c>
      <c r="H697" t="str">
        <f>VLOOKUP(C697,[1]EmployeeTerritories!$A$1:$B$50,2,FALSE)</f>
        <v>20852</v>
      </c>
      <c r="I697">
        <f>VLOOKUP(C697,[1]EmployeeTerritories!$A$1:$B$50,1,FALSE)</f>
        <v>4</v>
      </c>
      <c r="J697">
        <f>VLOOKUP(H697,[1]!Territories,3,FALSE)</f>
        <v>1</v>
      </c>
      <c r="K697" t="str">
        <f>VLOOKUP(J697,[1]!Region,2,FALSE)</f>
        <v>Eastern</v>
      </c>
      <c r="L697">
        <f>VLOOKUP(A697,[1]Order_Details!$A$1:$F$2156,2,FALSE)</f>
        <v>13</v>
      </c>
      <c r="M697" t="str">
        <f>VLOOKUP(L697,[1]!Products,2,FALSE)</f>
        <v>Konbu</v>
      </c>
      <c r="N697">
        <f>VLOOKUP(L697,[1]!Products,4,FALSE)</f>
        <v>8</v>
      </c>
      <c r="O697" s="6" t="str">
        <f>VLOOKUP(N697,[1]!Categories,2,FALSE)</f>
        <v>Seafood</v>
      </c>
      <c r="P697" s="6">
        <f>VLOOKUP(A697,[1]Order_Details!$A$1:$F$2156,3,FALSE)</f>
        <v>6</v>
      </c>
      <c r="Q697">
        <f>VLOOKUP(A697,[1]Order_Details!$A$1:$F$2156,4,FALSE)</f>
        <v>15</v>
      </c>
      <c r="R697">
        <f>VLOOKUP(A697,[1]Order_Details!$A$1:$F$2156,5,FALSE)</f>
        <v>0</v>
      </c>
      <c r="S697" s="6">
        <f>VLOOKUP(A697,[1]Order_Details!$A$1:$F$2156,6,FALSE)</f>
        <v>90</v>
      </c>
      <c r="T697" s="6">
        <f>VLOOKUP(A697,[1]!Orders,8,FALSE)</f>
        <v>2.17</v>
      </c>
    </row>
    <row r="698" spans="1:20" x14ac:dyDescent="0.3">
      <c r="A698" s="2">
        <v>10944</v>
      </c>
      <c r="B698" s="2" t="s">
        <v>70</v>
      </c>
      <c r="C698" s="2">
        <v>6</v>
      </c>
      <c r="D698" s="3">
        <v>35866</v>
      </c>
      <c r="E698" t="str">
        <f>VLOOKUP(C698,[1]Employees!$A$1:$O$10,4,FALSE)</f>
        <v>Suyama Michael</v>
      </c>
      <c r="F698">
        <f>VLOOKUP(A698,[1]!Orders,7,FALSE)</f>
        <v>3</v>
      </c>
      <c r="G698" t="str">
        <f>VLOOKUP(F698,[1]!Shippers,2,FALSE)</f>
        <v>Federal Shipping</v>
      </c>
      <c r="H698" t="str">
        <f>VLOOKUP(C698,[1]EmployeeTerritories!$A$1:$B$50,2,FALSE)</f>
        <v>85014</v>
      </c>
      <c r="I698">
        <f>VLOOKUP(C698,[1]EmployeeTerritories!$A$1:$B$50,1,FALSE)</f>
        <v>6</v>
      </c>
      <c r="J698">
        <f>VLOOKUP(H698,[1]!Territories,3,FALSE)</f>
        <v>2</v>
      </c>
      <c r="K698" t="str">
        <f>VLOOKUP(J698,[1]!Region,2,FALSE)</f>
        <v>Western</v>
      </c>
      <c r="L698">
        <f>VLOOKUP(A698,[1]Order_Details!$A$1:$F$2156,2,FALSE)</f>
        <v>11</v>
      </c>
      <c r="M698" t="str">
        <f>VLOOKUP(L698,[1]!Products,2,FALSE)</f>
        <v>Queso Cabrales</v>
      </c>
      <c r="N698">
        <f>VLOOKUP(L698,[1]!Products,4,FALSE)</f>
        <v>4</v>
      </c>
      <c r="O698" s="6" t="str">
        <f>VLOOKUP(N698,[1]!Categories,2,FALSE)</f>
        <v>Dairy Products</v>
      </c>
      <c r="P698" s="6">
        <f>VLOOKUP(A698,[1]Order_Details!$A$1:$F$2156,3,FALSE)</f>
        <v>21</v>
      </c>
      <c r="Q698">
        <f>VLOOKUP(A698,[1]Order_Details!$A$1:$F$2156,4,FALSE)</f>
        <v>5</v>
      </c>
      <c r="R698">
        <f>VLOOKUP(A698,[1]Order_Details!$A$1:$F$2156,5,FALSE)</f>
        <v>0.25</v>
      </c>
      <c r="S698" s="6">
        <f>VLOOKUP(A698,[1]Order_Details!$A$1:$F$2156,6,FALSE)</f>
        <v>78.75</v>
      </c>
      <c r="T698" s="6">
        <f>VLOOKUP(A698,[1]!Orders,8,FALSE)</f>
        <v>52.92</v>
      </c>
    </row>
    <row r="699" spans="1:20" x14ac:dyDescent="0.3">
      <c r="A699" s="2">
        <v>10945</v>
      </c>
      <c r="B699" s="2" t="s">
        <v>28</v>
      </c>
      <c r="C699" s="2">
        <v>4</v>
      </c>
      <c r="D699" s="3">
        <v>35866</v>
      </c>
      <c r="E699" t="str">
        <f>VLOOKUP(C699,[1]Employees!$A$1:$O$10,4,FALSE)</f>
        <v>Peacock Margaret</v>
      </c>
      <c r="F699">
        <f>VLOOKUP(A699,[1]!Orders,7,FALSE)</f>
        <v>1</v>
      </c>
      <c r="G699" t="str">
        <f>VLOOKUP(F699,[1]!Shippers,2,FALSE)</f>
        <v>Speedy Express</v>
      </c>
      <c r="H699" t="str">
        <f>VLOOKUP(C699,[1]EmployeeTerritories!$A$1:$B$50,2,FALSE)</f>
        <v>20852</v>
      </c>
      <c r="I699">
        <f>VLOOKUP(C699,[1]EmployeeTerritories!$A$1:$B$50,1,FALSE)</f>
        <v>4</v>
      </c>
      <c r="J699">
        <f>VLOOKUP(H699,[1]!Territories,3,FALSE)</f>
        <v>1</v>
      </c>
      <c r="K699" t="str">
        <f>VLOOKUP(J699,[1]!Region,2,FALSE)</f>
        <v>Eastern</v>
      </c>
      <c r="L699">
        <f>VLOOKUP(A699,[1]Order_Details!$A$1:$F$2156,2,FALSE)</f>
        <v>13</v>
      </c>
      <c r="M699" t="str">
        <f>VLOOKUP(L699,[1]!Products,2,FALSE)</f>
        <v>Konbu</v>
      </c>
      <c r="N699">
        <f>VLOOKUP(L699,[1]!Products,4,FALSE)</f>
        <v>8</v>
      </c>
      <c r="O699" s="6" t="str">
        <f>VLOOKUP(N699,[1]!Categories,2,FALSE)</f>
        <v>Seafood</v>
      </c>
      <c r="P699" s="6">
        <f>VLOOKUP(A699,[1]Order_Details!$A$1:$F$2156,3,FALSE)</f>
        <v>6</v>
      </c>
      <c r="Q699">
        <f>VLOOKUP(A699,[1]Order_Details!$A$1:$F$2156,4,FALSE)</f>
        <v>20</v>
      </c>
      <c r="R699">
        <f>VLOOKUP(A699,[1]Order_Details!$A$1:$F$2156,5,FALSE)</f>
        <v>0</v>
      </c>
      <c r="S699" s="6">
        <f>VLOOKUP(A699,[1]Order_Details!$A$1:$F$2156,6,FALSE)</f>
        <v>120</v>
      </c>
      <c r="T699" s="6">
        <f>VLOOKUP(A699,[1]!Orders,8,FALSE)</f>
        <v>10.220000000000001</v>
      </c>
    </row>
    <row r="700" spans="1:20" x14ac:dyDescent="0.3">
      <c r="A700" s="2">
        <v>10946</v>
      </c>
      <c r="B700" s="2" t="s">
        <v>65</v>
      </c>
      <c r="C700" s="2">
        <v>1</v>
      </c>
      <c r="D700" s="3">
        <v>35866</v>
      </c>
      <c r="E700" t="str">
        <f>VLOOKUP(C700,[1]Employees!$A$1:$O$10,4,FALSE)</f>
        <v>Davolio Nancy</v>
      </c>
      <c r="F700">
        <f>VLOOKUP(A700,[1]!Orders,7,FALSE)</f>
        <v>2</v>
      </c>
      <c r="G700" t="str">
        <f>VLOOKUP(F700,[1]!Shippers,2,FALSE)</f>
        <v>United Package</v>
      </c>
      <c r="H700" t="str">
        <f>VLOOKUP(C700,[1]EmployeeTerritories!$A$1:$B$50,2,FALSE)</f>
        <v>06897</v>
      </c>
      <c r="I700">
        <f>VLOOKUP(C700,[1]EmployeeTerritories!$A$1:$B$50,1,FALSE)</f>
        <v>1</v>
      </c>
      <c r="J700">
        <f>VLOOKUP(H700,[1]!Territories,3,FALSE)</f>
        <v>1</v>
      </c>
      <c r="K700" t="str">
        <f>VLOOKUP(J700,[1]!Region,2,FALSE)</f>
        <v>Eastern</v>
      </c>
      <c r="L700">
        <f>VLOOKUP(A700,[1]Order_Details!$A$1:$F$2156,2,FALSE)</f>
        <v>10</v>
      </c>
      <c r="M700" t="str">
        <f>VLOOKUP(L700,[1]!Products,2,FALSE)</f>
        <v>Ikura</v>
      </c>
      <c r="N700">
        <f>VLOOKUP(L700,[1]!Products,4,FALSE)</f>
        <v>8</v>
      </c>
      <c r="O700" s="6" t="str">
        <f>VLOOKUP(N700,[1]!Categories,2,FALSE)</f>
        <v>Seafood</v>
      </c>
      <c r="P700" s="6">
        <f>VLOOKUP(A700,[1]Order_Details!$A$1:$F$2156,3,FALSE)</f>
        <v>31</v>
      </c>
      <c r="Q700">
        <f>VLOOKUP(A700,[1]Order_Details!$A$1:$F$2156,4,FALSE)</f>
        <v>25</v>
      </c>
      <c r="R700">
        <f>VLOOKUP(A700,[1]Order_Details!$A$1:$F$2156,5,FALSE)</f>
        <v>0</v>
      </c>
      <c r="S700" s="6">
        <f>VLOOKUP(A700,[1]Order_Details!$A$1:$F$2156,6,FALSE)</f>
        <v>775</v>
      </c>
      <c r="T700" s="6">
        <f>VLOOKUP(A700,[1]!Orders,8,FALSE)</f>
        <v>27.2</v>
      </c>
    </row>
    <row r="701" spans="1:20" x14ac:dyDescent="0.3">
      <c r="A701" s="2">
        <v>10947</v>
      </c>
      <c r="B701" s="2" t="s">
        <v>35</v>
      </c>
      <c r="C701" s="2">
        <v>3</v>
      </c>
      <c r="D701" s="3">
        <v>35867</v>
      </c>
      <c r="E701" t="str">
        <f>VLOOKUP(C701,[1]Employees!$A$1:$O$10,4,FALSE)</f>
        <v>Leverling Janet</v>
      </c>
      <c r="F701">
        <f>VLOOKUP(A701,[1]!Orders,7,FALSE)</f>
        <v>2</v>
      </c>
      <c r="G701" t="str">
        <f>VLOOKUP(F701,[1]!Shippers,2,FALSE)</f>
        <v>United Package</v>
      </c>
      <c r="H701" t="str">
        <f>VLOOKUP(C701,[1]EmployeeTerritories!$A$1:$B$50,2,FALSE)</f>
        <v>30346</v>
      </c>
      <c r="I701">
        <f>VLOOKUP(C701,[1]EmployeeTerritories!$A$1:$B$50,1,FALSE)</f>
        <v>3</v>
      </c>
      <c r="J701">
        <f>VLOOKUP(H701,[1]!Territories,3,FALSE)</f>
        <v>4</v>
      </c>
      <c r="K701" t="str">
        <f>VLOOKUP(J701,[1]!Region,2,FALSE)</f>
        <v>Southern</v>
      </c>
      <c r="L701">
        <f>VLOOKUP(A701,[1]Order_Details!$A$1:$F$2156,2,FALSE)</f>
        <v>59</v>
      </c>
      <c r="M701" t="str">
        <f>VLOOKUP(L701,[1]!Products,2,FALSE)</f>
        <v>Raclette Courdavault</v>
      </c>
      <c r="N701">
        <f>VLOOKUP(L701,[1]!Products,4,FALSE)</f>
        <v>4</v>
      </c>
      <c r="O701" s="6" t="str">
        <f>VLOOKUP(N701,[1]!Categories,2,FALSE)</f>
        <v>Dairy Products</v>
      </c>
      <c r="P701" s="6">
        <f>VLOOKUP(A701,[1]Order_Details!$A$1:$F$2156,3,FALSE)</f>
        <v>55</v>
      </c>
      <c r="Q701">
        <f>VLOOKUP(A701,[1]Order_Details!$A$1:$F$2156,4,FALSE)</f>
        <v>4</v>
      </c>
      <c r="R701">
        <f>VLOOKUP(A701,[1]Order_Details!$A$1:$F$2156,5,FALSE)</f>
        <v>0</v>
      </c>
      <c r="S701" s="6">
        <f>VLOOKUP(A701,[1]Order_Details!$A$1:$F$2156,6,FALSE)</f>
        <v>220</v>
      </c>
      <c r="T701" s="6">
        <f>VLOOKUP(A701,[1]!Orders,8,FALSE)</f>
        <v>3.26</v>
      </c>
    </row>
    <row r="702" spans="1:20" x14ac:dyDescent="0.3">
      <c r="A702" s="2">
        <v>10948</v>
      </c>
      <c r="B702" s="2" t="s">
        <v>40</v>
      </c>
      <c r="C702" s="2">
        <v>3</v>
      </c>
      <c r="D702" s="3">
        <v>35867</v>
      </c>
      <c r="E702" t="str">
        <f>VLOOKUP(C702,[1]Employees!$A$1:$O$10,4,FALSE)</f>
        <v>Leverling Janet</v>
      </c>
      <c r="F702">
        <f>VLOOKUP(A702,[1]!Orders,7,FALSE)</f>
        <v>3</v>
      </c>
      <c r="G702" t="str">
        <f>VLOOKUP(F702,[1]!Shippers,2,FALSE)</f>
        <v>Federal Shipping</v>
      </c>
      <c r="H702" t="str">
        <f>VLOOKUP(C702,[1]EmployeeTerritories!$A$1:$B$50,2,FALSE)</f>
        <v>30346</v>
      </c>
      <c r="I702">
        <f>VLOOKUP(C702,[1]EmployeeTerritories!$A$1:$B$50,1,FALSE)</f>
        <v>3</v>
      </c>
      <c r="J702">
        <f>VLOOKUP(H702,[1]!Territories,3,FALSE)</f>
        <v>4</v>
      </c>
      <c r="K702" t="str">
        <f>VLOOKUP(J702,[1]!Region,2,FALSE)</f>
        <v>Southern</v>
      </c>
      <c r="L702">
        <f>VLOOKUP(A702,[1]Order_Details!$A$1:$F$2156,2,FALSE)</f>
        <v>50</v>
      </c>
      <c r="M702" t="str">
        <f>VLOOKUP(L702,[1]!Products,2,FALSE)</f>
        <v>Valkoinen suklaa</v>
      </c>
      <c r="N702">
        <f>VLOOKUP(L702,[1]!Products,4,FALSE)</f>
        <v>3</v>
      </c>
      <c r="O702" s="6" t="str">
        <f>VLOOKUP(N702,[1]!Categories,2,FALSE)</f>
        <v>Confections</v>
      </c>
      <c r="P702" s="6">
        <f>VLOOKUP(A702,[1]Order_Details!$A$1:$F$2156,3,FALSE)</f>
        <v>16.25</v>
      </c>
      <c r="Q702">
        <f>VLOOKUP(A702,[1]Order_Details!$A$1:$F$2156,4,FALSE)</f>
        <v>9</v>
      </c>
      <c r="R702">
        <f>VLOOKUP(A702,[1]Order_Details!$A$1:$F$2156,5,FALSE)</f>
        <v>0</v>
      </c>
      <c r="S702" s="6">
        <f>VLOOKUP(A702,[1]Order_Details!$A$1:$F$2156,6,FALSE)</f>
        <v>146.25</v>
      </c>
      <c r="T702" s="6">
        <f>VLOOKUP(A702,[1]!Orders,8,FALSE)</f>
        <v>23.39</v>
      </c>
    </row>
    <row r="703" spans="1:20" x14ac:dyDescent="0.3">
      <c r="A703" s="2">
        <v>10949</v>
      </c>
      <c r="B703" s="2" t="s">
        <v>70</v>
      </c>
      <c r="C703" s="2">
        <v>2</v>
      </c>
      <c r="D703" s="3">
        <v>35867</v>
      </c>
      <c r="E703" t="str">
        <f>VLOOKUP(C703,[1]Employees!$A$1:$O$10,4,FALSE)</f>
        <v>Fuller Andrew</v>
      </c>
      <c r="F703">
        <f>VLOOKUP(A703,[1]!Orders,7,FALSE)</f>
        <v>3</v>
      </c>
      <c r="G703" t="str">
        <f>VLOOKUP(F703,[1]!Shippers,2,FALSE)</f>
        <v>Federal Shipping</v>
      </c>
      <c r="H703" t="str">
        <f>VLOOKUP(C703,[1]EmployeeTerritories!$A$1:$B$50,2,FALSE)</f>
        <v>01581</v>
      </c>
      <c r="I703">
        <f>VLOOKUP(C703,[1]EmployeeTerritories!$A$1:$B$50,1,FALSE)</f>
        <v>2</v>
      </c>
      <c r="J703">
        <f>VLOOKUP(H703,[1]!Territories,3,FALSE)</f>
        <v>1</v>
      </c>
      <c r="K703" t="str">
        <f>VLOOKUP(J703,[1]!Region,2,FALSE)</f>
        <v>Eastern</v>
      </c>
      <c r="L703">
        <f>VLOOKUP(A703,[1]Order_Details!$A$1:$F$2156,2,FALSE)</f>
        <v>6</v>
      </c>
      <c r="M703" t="str">
        <f>VLOOKUP(L703,[1]!Products,2,FALSE)</f>
        <v>Grandma's Boysenberry Spread</v>
      </c>
      <c r="N703">
        <f>VLOOKUP(L703,[1]!Products,4,FALSE)</f>
        <v>2</v>
      </c>
      <c r="O703" s="6" t="str">
        <f>VLOOKUP(N703,[1]!Categories,2,FALSE)</f>
        <v>Condiments</v>
      </c>
      <c r="P703" s="6">
        <f>VLOOKUP(A703,[1]Order_Details!$A$1:$F$2156,3,FALSE)</f>
        <v>25</v>
      </c>
      <c r="Q703">
        <f>VLOOKUP(A703,[1]Order_Details!$A$1:$F$2156,4,FALSE)</f>
        <v>12</v>
      </c>
      <c r="R703">
        <f>VLOOKUP(A703,[1]Order_Details!$A$1:$F$2156,5,FALSE)</f>
        <v>0</v>
      </c>
      <c r="S703" s="6">
        <f>VLOOKUP(A703,[1]Order_Details!$A$1:$F$2156,6,FALSE)</f>
        <v>300</v>
      </c>
      <c r="T703" s="6">
        <f>VLOOKUP(A703,[1]!Orders,8,FALSE)</f>
        <v>74.44</v>
      </c>
    </row>
    <row r="704" spans="1:20" x14ac:dyDescent="0.3">
      <c r="A704" s="2">
        <v>10950</v>
      </c>
      <c r="B704" s="2" t="s">
        <v>26</v>
      </c>
      <c r="C704" s="2">
        <v>1</v>
      </c>
      <c r="D704" s="3">
        <v>35870</v>
      </c>
      <c r="E704" t="str">
        <f>VLOOKUP(C704,[1]Employees!$A$1:$O$10,4,FALSE)</f>
        <v>Davolio Nancy</v>
      </c>
      <c r="F704">
        <f>VLOOKUP(A704,[1]!Orders,7,FALSE)</f>
        <v>2</v>
      </c>
      <c r="G704" t="str">
        <f>VLOOKUP(F704,[1]!Shippers,2,FALSE)</f>
        <v>United Package</v>
      </c>
      <c r="H704" t="str">
        <f>VLOOKUP(C704,[1]EmployeeTerritories!$A$1:$B$50,2,FALSE)</f>
        <v>06897</v>
      </c>
      <c r="I704">
        <f>VLOOKUP(C704,[1]EmployeeTerritories!$A$1:$B$50,1,FALSE)</f>
        <v>1</v>
      </c>
      <c r="J704">
        <f>VLOOKUP(H704,[1]!Territories,3,FALSE)</f>
        <v>1</v>
      </c>
      <c r="K704" t="str">
        <f>VLOOKUP(J704,[1]!Region,2,FALSE)</f>
        <v>Eastern</v>
      </c>
      <c r="L704">
        <f>VLOOKUP(A704,[1]Order_Details!$A$1:$F$2156,2,FALSE)</f>
        <v>4</v>
      </c>
      <c r="M704" t="str">
        <f>VLOOKUP(L704,[1]!Products,2,FALSE)</f>
        <v>Chef Anton's Cajun Seasoning</v>
      </c>
      <c r="N704">
        <f>VLOOKUP(L704,[1]!Products,4,FALSE)</f>
        <v>2</v>
      </c>
      <c r="O704" s="6" t="str">
        <f>VLOOKUP(N704,[1]!Categories,2,FALSE)</f>
        <v>Condiments</v>
      </c>
      <c r="P704" s="6">
        <f>VLOOKUP(A704,[1]Order_Details!$A$1:$F$2156,3,FALSE)</f>
        <v>22</v>
      </c>
      <c r="Q704">
        <f>VLOOKUP(A704,[1]Order_Details!$A$1:$F$2156,4,FALSE)</f>
        <v>5</v>
      </c>
      <c r="R704">
        <f>VLOOKUP(A704,[1]Order_Details!$A$1:$F$2156,5,FALSE)</f>
        <v>0</v>
      </c>
      <c r="S704" s="6">
        <f>VLOOKUP(A704,[1]Order_Details!$A$1:$F$2156,6,FALSE)</f>
        <v>110</v>
      </c>
      <c r="T704" s="6">
        <f>VLOOKUP(A704,[1]!Orders,8,FALSE)</f>
        <v>2.5</v>
      </c>
    </row>
    <row r="705" spans="1:20" x14ac:dyDescent="0.3">
      <c r="A705" s="2">
        <v>10951</v>
      </c>
      <c r="B705" s="2" t="s">
        <v>10</v>
      </c>
      <c r="C705" s="2">
        <v>9</v>
      </c>
      <c r="D705" s="3">
        <v>35870</v>
      </c>
      <c r="E705" t="str">
        <f>VLOOKUP(C705,[1]Employees!$A$1:$O$10,4,FALSE)</f>
        <v>Dodsworth Anne</v>
      </c>
      <c r="F705">
        <f>VLOOKUP(A705,[1]!Orders,7,FALSE)</f>
        <v>2</v>
      </c>
      <c r="G705" t="str">
        <f>VLOOKUP(F705,[1]!Shippers,2,FALSE)</f>
        <v>United Package</v>
      </c>
      <c r="H705" t="str">
        <f>VLOOKUP(C705,[1]EmployeeTerritories!$A$1:$B$50,2,FALSE)</f>
        <v>03049</v>
      </c>
      <c r="I705">
        <f>VLOOKUP(C705,[1]EmployeeTerritories!$A$1:$B$50,1,FALSE)</f>
        <v>9</v>
      </c>
      <c r="J705">
        <f>VLOOKUP(H705,[1]!Territories,3,FALSE)</f>
        <v>3</v>
      </c>
      <c r="K705" t="str">
        <f>VLOOKUP(J705,[1]!Region,2,FALSE)</f>
        <v>Northern</v>
      </c>
      <c r="L705">
        <f>VLOOKUP(A705,[1]Order_Details!$A$1:$F$2156,2,FALSE)</f>
        <v>33</v>
      </c>
      <c r="M705" t="str">
        <f>VLOOKUP(L705,[1]!Products,2,FALSE)</f>
        <v>Geitost</v>
      </c>
      <c r="N705">
        <f>VLOOKUP(L705,[1]!Products,4,FALSE)</f>
        <v>4</v>
      </c>
      <c r="O705" s="6" t="str">
        <f>VLOOKUP(N705,[1]!Categories,2,FALSE)</f>
        <v>Dairy Products</v>
      </c>
      <c r="P705" s="6">
        <f>VLOOKUP(A705,[1]Order_Details!$A$1:$F$2156,3,FALSE)</f>
        <v>2.5</v>
      </c>
      <c r="Q705">
        <f>VLOOKUP(A705,[1]Order_Details!$A$1:$F$2156,4,FALSE)</f>
        <v>15</v>
      </c>
      <c r="R705">
        <f>VLOOKUP(A705,[1]Order_Details!$A$1:$F$2156,5,FALSE)</f>
        <v>5.000000074505806E-2</v>
      </c>
      <c r="S705" s="6">
        <f>VLOOKUP(A705,[1]Order_Details!$A$1:$F$2156,6,FALSE)</f>
        <v>35.624999972060323</v>
      </c>
      <c r="T705" s="6">
        <f>VLOOKUP(A705,[1]!Orders,8,FALSE)</f>
        <v>30.85</v>
      </c>
    </row>
    <row r="706" spans="1:20" x14ac:dyDescent="0.3">
      <c r="A706" s="2">
        <v>10952</v>
      </c>
      <c r="B706" s="2" t="s">
        <v>89</v>
      </c>
      <c r="C706" s="2">
        <v>1</v>
      </c>
      <c r="D706" s="3">
        <v>35870</v>
      </c>
      <c r="E706" t="str">
        <f>VLOOKUP(C706,[1]Employees!$A$1:$O$10,4,FALSE)</f>
        <v>Davolio Nancy</v>
      </c>
      <c r="F706">
        <f>VLOOKUP(A706,[1]!Orders,7,FALSE)</f>
        <v>1</v>
      </c>
      <c r="G706" t="str">
        <f>VLOOKUP(F706,[1]!Shippers,2,FALSE)</f>
        <v>Speedy Express</v>
      </c>
      <c r="H706" t="str">
        <f>VLOOKUP(C706,[1]EmployeeTerritories!$A$1:$B$50,2,FALSE)</f>
        <v>06897</v>
      </c>
      <c r="I706">
        <f>VLOOKUP(C706,[1]EmployeeTerritories!$A$1:$B$50,1,FALSE)</f>
        <v>1</v>
      </c>
      <c r="J706">
        <f>VLOOKUP(H706,[1]!Territories,3,FALSE)</f>
        <v>1</v>
      </c>
      <c r="K706" t="str">
        <f>VLOOKUP(J706,[1]!Region,2,FALSE)</f>
        <v>Eastern</v>
      </c>
      <c r="L706">
        <f>VLOOKUP(A706,[1]Order_Details!$A$1:$F$2156,2,FALSE)</f>
        <v>6</v>
      </c>
      <c r="M706" t="str">
        <f>VLOOKUP(L706,[1]!Products,2,FALSE)</f>
        <v>Grandma's Boysenberry Spread</v>
      </c>
      <c r="N706">
        <f>VLOOKUP(L706,[1]!Products,4,FALSE)</f>
        <v>2</v>
      </c>
      <c r="O706" s="6" t="str">
        <f>VLOOKUP(N706,[1]!Categories,2,FALSE)</f>
        <v>Condiments</v>
      </c>
      <c r="P706" s="6">
        <f>VLOOKUP(A706,[1]Order_Details!$A$1:$F$2156,3,FALSE)</f>
        <v>25</v>
      </c>
      <c r="Q706">
        <f>VLOOKUP(A706,[1]Order_Details!$A$1:$F$2156,4,FALSE)</f>
        <v>16</v>
      </c>
      <c r="R706">
        <f>VLOOKUP(A706,[1]Order_Details!$A$1:$F$2156,5,FALSE)</f>
        <v>5.000000074505806E-2</v>
      </c>
      <c r="S706" s="6">
        <f>VLOOKUP(A706,[1]Order_Details!$A$1:$F$2156,6,FALSE)</f>
        <v>379.99999970197678</v>
      </c>
      <c r="T706" s="6">
        <f>VLOOKUP(A706,[1]!Orders,8,FALSE)</f>
        <v>40.42</v>
      </c>
    </row>
    <row r="707" spans="1:20" x14ac:dyDescent="0.3">
      <c r="A707" s="2">
        <v>10953</v>
      </c>
      <c r="B707" s="2" t="s">
        <v>59</v>
      </c>
      <c r="C707" s="2">
        <v>9</v>
      </c>
      <c r="D707" s="3">
        <v>35870</v>
      </c>
      <c r="E707" t="str">
        <f>VLOOKUP(C707,[1]Employees!$A$1:$O$10,4,FALSE)</f>
        <v>Dodsworth Anne</v>
      </c>
      <c r="F707">
        <f>VLOOKUP(A707,[1]!Orders,7,FALSE)</f>
        <v>2</v>
      </c>
      <c r="G707" t="str">
        <f>VLOOKUP(F707,[1]!Shippers,2,FALSE)</f>
        <v>United Package</v>
      </c>
      <c r="H707" t="str">
        <f>VLOOKUP(C707,[1]EmployeeTerritories!$A$1:$B$50,2,FALSE)</f>
        <v>03049</v>
      </c>
      <c r="I707">
        <f>VLOOKUP(C707,[1]EmployeeTerritories!$A$1:$B$50,1,FALSE)</f>
        <v>9</v>
      </c>
      <c r="J707">
        <f>VLOOKUP(H707,[1]!Territories,3,FALSE)</f>
        <v>3</v>
      </c>
      <c r="K707" t="str">
        <f>VLOOKUP(J707,[1]!Region,2,FALSE)</f>
        <v>Northern</v>
      </c>
      <c r="L707">
        <f>VLOOKUP(A707,[1]Order_Details!$A$1:$F$2156,2,FALSE)</f>
        <v>20</v>
      </c>
      <c r="M707" t="str">
        <f>VLOOKUP(L707,[1]!Products,2,FALSE)</f>
        <v>Sir Rodney's Marmalade</v>
      </c>
      <c r="N707">
        <f>VLOOKUP(L707,[1]!Products,4,FALSE)</f>
        <v>3</v>
      </c>
      <c r="O707" s="6" t="str">
        <f>VLOOKUP(N707,[1]!Categories,2,FALSE)</f>
        <v>Confections</v>
      </c>
      <c r="P707" s="6">
        <f>VLOOKUP(A707,[1]Order_Details!$A$1:$F$2156,3,FALSE)</f>
        <v>81</v>
      </c>
      <c r="Q707">
        <f>VLOOKUP(A707,[1]Order_Details!$A$1:$F$2156,4,FALSE)</f>
        <v>50</v>
      </c>
      <c r="R707">
        <f>VLOOKUP(A707,[1]Order_Details!$A$1:$F$2156,5,FALSE)</f>
        <v>5.000000074505806E-2</v>
      </c>
      <c r="S707" s="6">
        <f>VLOOKUP(A707,[1]Order_Details!$A$1:$F$2156,6,FALSE)</f>
        <v>3847.4999969825149</v>
      </c>
      <c r="T707" s="6">
        <f>VLOOKUP(A707,[1]!Orders,8,FALSE)</f>
        <v>23.72</v>
      </c>
    </row>
    <row r="708" spans="1:20" x14ac:dyDescent="0.3">
      <c r="A708" s="2">
        <v>10954</v>
      </c>
      <c r="B708" s="2" t="s">
        <v>71</v>
      </c>
      <c r="C708" s="2">
        <v>5</v>
      </c>
      <c r="D708" s="3">
        <v>35871</v>
      </c>
      <c r="E708" t="str">
        <f>VLOOKUP(C708,[1]Employees!$A$1:$O$10,4,FALSE)</f>
        <v>Buchanan Steven</v>
      </c>
      <c r="F708">
        <f>VLOOKUP(A708,[1]!Orders,7,FALSE)</f>
        <v>1</v>
      </c>
      <c r="G708" t="str">
        <f>VLOOKUP(F708,[1]!Shippers,2,FALSE)</f>
        <v>Speedy Express</v>
      </c>
      <c r="H708" t="str">
        <f>VLOOKUP(C708,[1]EmployeeTerritories!$A$1:$B$50,2,FALSE)</f>
        <v>02903</v>
      </c>
      <c r="I708">
        <f>VLOOKUP(C708,[1]EmployeeTerritories!$A$1:$B$50,1,FALSE)</f>
        <v>5</v>
      </c>
      <c r="J708">
        <f>VLOOKUP(H708,[1]!Territories,3,FALSE)</f>
        <v>1</v>
      </c>
      <c r="K708" t="str">
        <f>VLOOKUP(J708,[1]!Region,2,FALSE)</f>
        <v>Eastern</v>
      </c>
      <c r="L708">
        <f>VLOOKUP(A708,[1]Order_Details!$A$1:$F$2156,2,FALSE)</f>
        <v>16</v>
      </c>
      <c r="M708" t="str">
        <f>VLOOKUP(L708,[1]!Products,2,FALSE)</f>
        <v>Pavlova</v>
      </c>
      <c r="N708">
        <f>VLOOKUP(L708,[1]!Products,4,FALSE)</f>
        <v>3</v>
      </c>
      <c r="O708" s="6" t="str">
        <f>VLOOKUP(N708,[1]!Categories,2,FALSE)</f>
        <v>Confections</v>
      </c>
      <c r="P708" s="6">
        <f>VLOOKUP(A708,[1]Order_Details!$A$1:$F$2156,3,FALSE)</f>
        <v>17.45</v>
      </c>
      <c r="Q708">
        <f>VLOOKUP(A708,[1]Order_Details!$A$1:$F$2156,4,FALSE)</f>
        <v>28</v>
      </c>
      <c r="R708">
        <f>VLOOKUP(A708,[1]Order_Details!$A$1:$F$2156,5,FALSE)</f>
        <v>0.15000000596046448</v>
      </c>
      <c r="S708" s="6">
        <f>VLOOKUP(A708,[1]Order_Details!$A$1:$F$2156,6,FALSE)</f>
        <v>415.30999708771702</v>
      </c>
      <c r="T708" s="6">
        <f>VLOOKUP(A708,[1]!Orders,8,FALSE)</f>
        <v>27.91</v>
      </c>
    </row>
    <row r="709" spans="1:20" x14ac:dyDescent="0.3">
      <c r="A709" s="2">
        <v>10955</v>
      </c>
      <c r="B709" s="2" t="s">
        <v>18</v>
      </c>
      <c r="C709" s="2">
        <v>8</v>
      </c>
      <c r="D709" s="3">
        <v>35871</v>
      </c>
      <c r="E709" t="str">
        <f>VLOOKUP(C709,[1]Employees!$A$1:$O$10,4,FALSE)</f>
        <v>Callahan Laura</v>
      </c>
      <c r="F709">
        <f>VLOOKUP(A709,[1]!Orders,7,FALSE)</f>
        <v>2</v>
      </c>
      <c r="G709" t="str">
        <f>VLOOKUP(F709,[1]!Shippers,2,FALSE)</f>
        <v>United Package</v>
      </c>
      <c r="H709" t="str">
        <f>VLOOKUP(C709,[1]EmployeeTerritories!$A$1:$B$50,2,FALSE)</f>
        <v>19428</v>
      </c>
      <c r="I709">
        <f>VLOOKUP(C709,[1]EmployeeTerritories!$A$1:$B$50,1,FALSE)</f>
        <v>8</v>
      </c>
      <c r="J709">
        <f>VLOOKUP(H709,[1]!Territories,3,FALSE)</f>
        <v>3</v>
      </c>
      <c r="K709" t="str">
        <f>VLOOKUP(J709,[1]!Region,2,FALSE)</f>
        <v>Northern</v>
      </c>
      <c r="L709">
        <f>VLOOKUP(A709,[1]Order_Details!$A$1:$F$2156,2,FALSE)</f>
        <v>75</v>
      </c>
      <c r="M709" t="str">
        <f>VLOOKUP(L709,[1]!Products,2,FALSE)</f>
        <v>Rhönbräu Klosterbier</v>
      </c>
      <c r="N709">
        <f>VLOOKUP(L709,[1]!Products,4,FALSE)</f>
        <v>1</v>
      </c>
      <c r="O709" s="6" t="str">
        <f>VLOOKUP(N709,[1]!Categories,2,FALSE)</f>
        <v>Beverages</v>
      </c>
      <c r="P709" s="6">
        <f>VLOOKUP(A709,[1]Order_Details!$A$1:$F$2156,3,FALSE)</f>
        <v>7.75</v>
      </c>
      <c r="Q709">
        <f>VLOOKUP(A709,[1]Order_Details!$A$1:$F$2156,4,FALSE)</f>
        <v>12</v>
      </c>
      <c r="R709">
        <f>VLOOKUP(A709,[1]Order_Details!$A$1:$F$2156,5,FALSE)</f>
        <v>0.20000000298023224</v>
      </c>
      <c r="S709" s="6">
        <f>VLOOKUP(A709,[1]Order_Details!$A$1:$F$2156,6,FALSE)</f>
        <v>74.399999722838402</v>
      </c>
      <c r="T709" s="6">
        <f>VLOOKUP(A709,[1]!Orders,8,FALSE)</f>
        <v>3.26</v>
      </c>
    </row>
    <row r="710" spans="1:20" x14ac:dyDescent="0.3">
      <c r="A710" s="2">
        <v>10956</v>
      </c>
      <c r="B710" s="2" t="s">
        <v>80</v>
      </c>
      <c r="C710" s="2">
        <v>6</v>
      </c>
      <c r="D710" s="3">
        <v>35871</v>
      </c>
      <c r="E710" t="str">
        <f>VLOOKUP(C710,[1]Employees!$A$1:$O$10,4,FALSE)</f>
        <v>Suyama Michael</v>
      </c>
      <c r="F710">
        <f>VLOOKUP(A710,[1]!Orders,7,FALSE)</f>
        <v>2</v>
      </c>
      <c r="G710" t="str">
        <f>VLOOKUP(F710,[1]!Shippers,2,FALSE)</f>
        <v>United Package</v>
      </c>
      <c r="H710" t="str">
        <f>VLOOKUP(C710,[1]EmployeeTerritories!$A$1:$B$50,2,FALSE)</f>
        <v>85014</v>
      </c>
      <c r="I710">
        <f>VLOOKUP(C710,[1]EmployeeTerritories!$A$1:$B$50,1,FALSE)</f>
        <v>6</v>
      </c>
      <c r="J710">
        <f>VLOOKUP(H710,[1]!Territories,3,FALSE)</f>
        <v>2</v>
      </c>
      <c r="K710" t="str">
        <f>VLOOKUP(J710,[1]!Region,2,FALSE)</f>
        <v>Western</v>
      </c>
      <c r="L710">
        <f>VLOOKUP(A710,[1]Order_Details!$A$1:$F$2156,2,FALSE)</f>
        <v>21</v>
      </c>
      <c r="M710" t="str">
        <f>VLOOKUP(L710,[1]!Products,2,FALSE)</f>
        <v>Sir Rodney's Scones</v>
      </c>
      <c r="N710">
        <f>VLOOKUP(L710,[1]!Products,4,FALSE)</f>
        <v>3</v>
      </c>
      <c r="O710" s="6" t="str">
        <f>VLOOKUP(N710,[1]!Categories,2,FALSE)</f>
        <v>Confections</v>
      </c>
      <c r="P710" s="6">
        <f>VLOOKUP(A710,[1]Order_Details!$A$1:$F$2156,3,FALSE)</f>
        <v>10</v>
      </c>
      <c r="Q710">
        <f>VLOOKUP(A710,[1]Order_Details!$A$1:$F$2156,4,FALSE)</f>
        <v>12</v>
      </c>
      <c r="R710">
        <f>VLOOKUP(A710,[1]Order_Details!$A$1:$F$2156,5,FALSE)</f>
        <v>0</v>
      </c>
      <c r="S710" s="6">
        <f>VLOOKUP(A710,[1]Order_Details!$A$1:$F$2156,6,FALSE)</f>
        <v>120</v>
      </c>
      <c r="T710" s="6">
        <f>VLOOKUP(A710,[1]!Orders,8,FALSE)</f>
        <v>44.65</v>
      </c>
    </row>
    <row r="711" spans="1:20" x14ac:dyDescent="0.3">
      <c r="A711" s="2">
        <v>10957</v>
      </c>
      <c r="B711" s="2" t="s">
        <v>12</v>
      </c>
      <c r="C711" s="2">
        <v>8</v>
      </c>
      <c r="D711" s="3">
        <v>35872</v>
      </c>
      <c r="E711" t="str">
        <f>VLOOKUP(C711,[1]Employees!$A$1:$O$10,4,FALSE)</f>
        <v>Callahan Laura</v>
      </c>
      <c r="F711">
        <f>VLOOKUP(A711,[1]!Orders,7,FALSE)</f>
        <v>3</v>
      </c>
      <c r="G711" t="str">
        <f>VLOOKUP(F711,[1]!Shippers,2,FALSE)</f>
        <v>Federal Shipping</v>
      </c>
      <c r="H711" t="str">
        <f>VLOOKUP(C711,[1]EmployeeTerritories!$A$1:$B$50,2,FALSE)</f>
        <v>19428</v>
      </c>
      <c r="I711">
        <f>VLOOKUP(C711,[1]EmployeeTerritories!$A$1:$B$50,1,FALSE)</f>
        <v>8</v>
      </c>
      <c r="J711">
        <f>VLOOKUP(H711,[1]!Territories,3,FALSE)</f>
        <v>3</v>
      </c>
      <c r="K711" t="str">
        <f>VLOOKUP(J711,[1]!Region,2,FALSE)</f>
        <v>Northern</v>
      </c>
      <c r="L711">
        <f>VLOOKUP(A711,[1]Order_Details!$A$1:$F$2156,2,FALSE)</f>
        <v>30</v>
      </c>
      <c r="M711" t="str">
        <f>VLOOKUP(L711,[1]!Products,2,FALSE)</f>
        <v>Nord-Ost Matjeshering</v>
      </c>
      <c r="N711">
        <f>VLOOKUP(L711,[1]!Products,4,FALSE)</f>
        <v>8</v>
      </c>
      <c r="O711" s="6" t="str">
        <f>VLOOKUP(N711,[1]!Categories,2,FALSE)</f>
        <v>Seafood</v>
      </c>
      <c r="P711" s="6">
        <f>VLOOKUP(A711,[1]Order_Details!$A$1:$F$2156,3,FALSE)</f>
        <v>25.89</v>
      </c>
      <c r="Q711">
        <f>VLOOKUP(A711,[1]Order_Details!$A$1:$F$2156,4,FALSE)</f>
        <v>30</v>
      </c>
      <c r="R711">
        <f>VLOOKUP(A711,[1]Order_Details!$A$1:$F$2156,5,FALSE)</f>
        <v>0</v>
      </c>
      <c r="S711" s="6">
        <f>VLOOKUP(A711,[1]Order_Details!$A$1:$F$2156,6,FALSE)</f>
        <v>776.7</v>
      </c>
      <c r="T711" s="6">
        <f>VLOOKUP(A711,[1]!Orders,8,FALSE)</f>
        <v>105.36</v>
      </c>
    </row>
    <row r="712" spans="1:20" x14ac:dyDescent="0.3">
      <c r="A712" s="2">
        <v>10958</v>
      </c>
      <c r="B712" s="2" t="s">
        <v>73</v>
      </c>
      <c r="C712" s="2">
        <v>7</v>
      </c>
      <c r="D712" s="3">
        <v>35872</v>
      </c>
      <c r="E712" t="str">
        <f>VLOOKUP(C712,[1]Employees!$A$1:$O$10,4,FALSE)</f>
        <v>King Robert</v>
      </c>
      <c r="F712">
        <f>VLOOKUP(A712,[1]!Orders,7,FALSE)</f>
        <v>2</v>
      </c>
      <c r="G712" t="str">
        <f>VLOOKUP(F712,[1]!Shippers,2,FALSE)</f>
        <v>United Package</v>
      </c>
      <c r="H712" t="str">
        <f>VLOOKUP(C712,[1]EmployeeTerritories!$A$1:$B$50,2,FALSE)</f>
        <v>60179</v>
      </c>
      <c r="I712">
        <f>VLOOKUP(C712,[1]EmployeeTerritories!$A$1:$B$50,1,FALSE)</f>
        <v>7</v>
      </c>
      <c r="J712">
        <f>VLOOKUP(H712,[1]!Territories,3,FALSE)</f>
        <v>2</v>
      </c>
      <c r="K712" t="str">
        <f>VLOOKUP(J712,[1]!Region,2,FALSE)</f>
        <v>Western</v>
      </c>
      <c r="L712">
        <f>VLOOKUP(A712,[1]Order_Details!$A$1:$F$2156,2,FALSE)</f>
        <v>5</v>
      </c>
      <c r="M712" t="str">
        <f>VLOOKUP(L712,[1]!Products,2,FALSE)</f>
        <v>Chef Anton's Gumbo Mix</v>
      </c>
      <c r="N712">
        <f>VLOOKUP(L712,[1]!Products,4,FALSE)</f>
        <v>2</v>
      </c>
      <c r="O712" s="6" t="str">
        <f>VLOOKUP(N712,[1]!Categories,2,FALSE)</f>
        <v>Condiments</v>
      </c>
      <c r="P712" s="6">
        <f>VLOOKUP(A712,[1]Order_Details!$A$1:$F$2156,3,FALSE)</f>
        <v>21.35</v>
      </c>
      <c r="Q712">
        <f>VLOOKUP(A712,[1]Order_Details!$A$1:$F$2156,4,FALSE)</f>
        <v>20</v>
      </c>
      <c r="R712">
        <f>VLOOKUP(A712,[1]Order_Details!$A$1:$F$2156,5,FALSE)</f>
        <v>0</v>
      </c>
      <c r="S712" s="6">
        <f>VLOOKUP(A712,[1]Order_Details!$A$1:$F$2156,6,FALSE)</f>
        <v>427</v>
      </c>
      <c r="T712" s="6">
        <f>VLOOKUP(A712,[1]!Orders,8,FALSE)</f>
        <v>49.56</v>
      </c>
    </row>
    <row r="713" spans="1:20" x14ac:dyDescent="0.3">
      <c r="A713" s="2">
        <v>10959</v>
      </c>
      <c r="B713" s="2" t="s">
        <v>75</v>
      </c>
      <c r="C713" s="2">
        <v>6</v>
      </c>
      <c r="D713" s="3">
        <v>35872</v>
      </c>
      <c r="E713" t="str">
        <f>VLOOKUP(C713,[1]Employees!$A$1:$O$10,4,FALSE)</f>
        <v>Suyama Michael</v>
      </c>
      <c r="F713">
        <f>VLOOKUP(A713,[1]!Orders,7,FALSE)</f>
        <v>2</v>
      </c>
      <c r="G713" t="str">
        <f>VLOOKUP(F713,[1]!Shippers,2,FALSE)</f>
        <v>United Package</v>
      </c>
      <c r="H713" t="str">
        <f>VLOOKUP(C713,[1]EmployeeTerritories!$A$1:$B$50,2,FALSE)</f>
        <v>85014</v>
      </c>
      <c r="I713">
        <f>VLOOKUP(C713,[1]EmployeeTerritories!$A$1:$B$50,1,FALSE)</f>
        <v>6</v>
      </c>
      <c r="J713">
        <f>VLOOKUP(H713,[1]!Territories,3,FALSE)</f>
        <v>2</v>
      </c>
      <c r="K713" t="str">
        <f>VLOOKUP(J713,[1]!Region,2,FALSE)</f>
        <v>Western</v>
      </c>
      <c r="L713">
        <f>VLOOKUP(A713,[1]Order_Details!$A$1:$F$2156,2,FALSE)</f>
        <v>75</v>
      </c>
      <c r="M713" t="str">
        <f>VLOOKUP(L713,[1]!Products,2,FALSE)</f>
        <v>Rhönbräu Klosterbier</v>
      </c>
      <c r="N713">
        <f>VLOOKUP(L713,[1]!Products,4,FALSE)</f>
        <v>1</v>
      </c>
      <c r="O713" s="6" t="str">
        <f>VLOOKUP(N713,[1]!Categories,2,FALSE)</f>
        <v>Beverages</v>
      </c>
      <c r="P713" s="6">
        <f>VLOOKUP(A713,[1]Order_Details!$A$1:$F$2156,3,FALSE)</f>
        <v>7.75</v>
      </c>
      <c r="Q713">
        <f>VLOOKUP(A713,[1]Order_Details!$A$1:$F$2156,4,FALSE)</f>
        <v>20</v>
      </c>
      <c r="R713">
        <f>VLOOKUP(A713,[1]Order_Details!$A$1:$F$2156,5,FALSE)</f>
        <v>0.15000000596046448</v>
      </c>
      <c r="S713" s="6">
        <f>VLOOKUP(A713,[1]Order_Details!$A$1:$F$2156,6,FALSE)</f>
        <v>131.74999907612801</v>
      </c>
      <c r="T713" s="6">
        <f>VLOOKUP(A713,[1]!Orders,8,FALSE)</f>
        <v>4.9800000000000004</v>
      </c>
    </row>
    <row r="714" spans="1:20" x14ac:dyDescent="0.3">
      <c r="A714" s="2">
        <v>10960</v>
      </c>
      <c r="B714" s="2" t="s">
        <v>12</v>
      </c>
      <c r="C714" s="2">
        <v>3</v>
      </c>
      <c r="D714" s="3">
        <v>35873</v>
      </c>
      <c r="E714" t="str">
        <f>VLOOKUP(C714,[1]Employees!$A$1:$O$10,4,FALSE)</f>
        <v>Leverling Janet</v>
      </c>
      <c r="F714">
        <f>VLOOKUP(A714,[1]!Orders,7,FALSE)</f>
        <v>1</v>
      </c>
      <c r="G714" t="str">
        <f>VLOOKUP(F714,[1]!Shippers,2,FALSE)</f>
        <v>Speedy Express</v>
      </c>
      <c r="H714" t="str">
        <f>VLOOKUP(C714,[1]EmployeeTerritories!$A$1:$B$50,2,FALSE)</f>
        <v>30346</v>
      </c>
      <c r="I714">
        <f>VLOOKUP(C714,[1]EmployeeTerritories!$A$1:$B$50,1,FALSE)</f>
        <v>3</v>
      </c>
      <c r="J714">
        <f>VLOOKUP(H714,[1]!Territories,3,FALSE)</f>
        <v>4</v>
      </c>
      <c r="K714" t="str">
        <f>VLOOKUP(J714,[1]!Region,2,FALSE)</f>
        <v>Southern</v>
      </c>
      <c r="L714">
        <f>VLOOKUP(A714,[1]Order_Details!$A$1:$F$2156,2,FALSE)</f>
        <v>24</v>
      </c>
      <c r="M714" t="str">
        <f>VLOOKUP(L714,[1]!Products,2,FALSE)</f>
        <v>Guaraná Fantástica</v>
      </c>
      <c r="N714">
        <f>VLOOKUP(L714,[1]!Products,4,FALSE)</f>
        <v>1</v>
      </c>
      <c r="O714" s="6" t="str">
        <f>VLOOKUP(N714,[1]!Categories,2,FALSE)</f>
        <v>Beverages</v>
      </c>
      <c r="P714" s="6">
        <f>VLOOKUP(A714,[1]Order_Details!$A$1:$F$2156,3,FALSE)</f>
        <v>4.5</v>
      </c>
      <c r="Q714">
        <f>VLOOKUP(A714,[1]Order_Details!$A$1:$F$2156,4,FALSE)</f>
        <v>10</v>
      </c>
      <c r="R714">
        <f>VLOOKUP(A714,[1]Order_Details!$A$1:$F$2156,5,FALSE)</f>
        <v>0.25</v>
      </c>
      <c r="S714" s="6">
        <f>VLOOKUP(A714,[1]Order_Details!$A$1:$F$2156,6,FALSE)</f>
        <v>33.75</v>
      </c>
      <c r="T714" s="6">
        <f>VLOOKUP(A714,[1]!Orders,8,FALSE)</f>
        <v>2.08</v>
      </c>
    </row>
    <row r="715" spans="1:20" x14ac:dyDescent="0.3">
      <c r="A715" s="2">
        <v>10961</v>
      </c>
      <c r="B715" s="2" t="s">
        <v>66</v>
      </c>
      <c r="C715" s="2">
        <v>8</v>
      </c>
      <c r="D715" s="3">
        <v>35873</v>
      </c>
      <c r="E715" t="str">
        <f>VLOOKUP(C715,[1]Employees!$A$1:$O$10,4,FALSE)</f>
        <v>Callahan Laura</v>
      </c>
      <c r="F715">
        <f>VLOOKUP(A715,[1]!Orders,7,FALSE)</f>
        <v>1</v>
      </c>
      <c r="G715" t="str">
        <f>VLOOKUP(F715,[1]!Shippers,2,FALSE)</f>
        <v>Speedy Express</v>
      </c>
      <c r="H715" t="str">
        <f>VLOOKUP(C715,[1]EmployeeTerritories!$A$1:$B$50,2,FALSE)</f>
        <v>19428</v>
      </c>
      <c r="I715">
        <f>VLOOKUP(C715,[1]EmployeeTerritories!$A$1:$B$50,1,FALSE)</f>
        <v>8</v>
      </c>
      <c r="J715">
        <f>VLOOKUP(H715,[1]!Territories,3,FALSE)</f>
        <v>3</v>
      </c>
      <c r="K715" t="str">
        <f>VLOOKUP(J715,[1]!Region,2,FALSE)</f>
        <v>Northern</v>
      </c>
      <c r="L715">
        <f>VLOOKUP(A715,[1]Order_Details!$A$1:$F$2156,2,FALSE)</f>
        <v>52</v>
      </c>
      <c r="M715" t="str">
        <f>VLOOKUP(L715,[1]!Products,2,FALSE)</f>
        <v>Filo Mix</v>
      </c>
      <c r="N715">
        <f>VLOOKUP(L715,[1]!Products,4,FALSE)</f>
        <v>5</v>
      </c>
      <c r="O715" s="6" t="str">
        <f>VLOOKUP(N715,[1]!Categories,2,FALSE)</f>
        <v>Grains/Cereals</v>
      </c>
      <c r="P715" s="6">
        <f>VLOOKUP(A715,[1]Order_Details!$A$1:$F$2156,3,FALSE)</f>
        <v>7</v>
      </c>
      <c r="Q715">
        <f>VLOOKUP(A715,[1]Order_Details!$A$1:$F$2156,4,FALSE)</f>
        <v>6</v>
      </c>
      <c r="R715">
        <f>VLOOKUP(A715,[1]Order_Details!$A$1:$F$2156,5,FALSE)</f>
        <v>5.000000074505806E-2</v>
      </c>
      <c r="S715" s="6">
        <f>VLOOKUP(A715,[1]Order_Details!$A$1:$F$2156,6,FALSE)</f>
        <v>39.899999968707561</v>
      </c>
      <c r="T715" s="6">
        <f>VLOOKUP(A715,[1]!Orders,8,FALSE)</f>
        <v>104.47</v>
      </c>
    </row>
    <row r="716" spans="1:20" x14ac:dyDescent="0.3">
      <c r="A716" s="2">
        <v>10962</v>
      </c>
      <c r="B716" s="2" t="s">
        <v>25</v>
      </c>
      <c r="C716" s="2">
        <v>8</v>
      </c>
      <c r="D716" s="3">
        <v>35873</v>
      </c>
      <c r="E716" t="str">
        <f>VLOOKUP(C716,[1]Employees!$A$1:$O$10,4,FALSE)</f>
        <v>Callahan Laura</v>
      </c>
      <c r="F716">
        <f>VLOOKUP(A716,[1]!Orders,7,FALSE)</f>
        <v>2</v>
      </c>
      <c r="G716" t="str">
        <f>VLOOKUP(F716,[1]!Shippers,2,FALSE)</f>
        <v>United Package</v>
      </c>
      <c r="H716" t="str">
        <f>VLOOKUP(C716,[1]EmployeeTerritories!$A$1:$B$50,2,FALSE)</f>
        <v>19428</v>
      </c>
      <c r="I716">
        <f>VLOOKUP(C716,[1]EmployeeTerritories!$A$1:$B$50,1,FALSE)</f>
        <v>8</v>
      </c>
      <c r="J716">
        <f>VLOOKUP(H716,[1]!Territories,3,FALSE)</f>
        <v>3</v>
      </c>
      <c r="K716" t="str">
        <f>VLOOKUP(J716,[1]!Region,2,FALSE)</f>
        <v>Northern</v>
      </c>
      <c r="L716">
        <f>VLOOKUP(A716,[1]Order_Details!$A$1:$F$2156,2,FALSE)</f>
        <v>7</v>
      </c>
      <c r="M716" t="str">
        <f>VLOOKUP(L716,[1]!Products,2,FALSE)</f>
        <v>Uncle Bob's Organic Dried Pears</v>
      </c>
      <c r="N716">
        <f>VLOOKUP(L716,[1]!Products,4,FALSE)</f>
        <v>7</v>
      </c>
      <c r="O716" s="6" t="str">
        <f>VLOOKUP(N716,[1]!Categories,2,FALSE)</f>
        <v>Produce</v>
      </c>
      <c r="P716" s="6">
        <f>VLOOKUP(A716,[1]Order_Details!$A$1:$F$2156,3,FALSE)</f>
        <v>30</v>
      </c>
      <c r="Q716">
        <f>VLOOKUP(A716,[1]Order_Details!$A$1:$F$2156,4,FALSE)</f>
        <v>45</v>
      </c>
      <c r="R716">
        <f>VLOOKUP(A716,[1]Order_Details!$A$1:$F$2156,5,FALSE)</f>
        <v>0</v>
      </c>
      <c r="S716" s="6">
        <f>VLOOKUP(A716,[1]Order_Details!$A$1:$F$2156,6,FALSE)</f>
        <v>1350</v>
      </c>
      <c r="T716" s="6">
        <f>VLOOKUP(A716,[1]!Orders,8,FALSE)</f>
        <v>275.79000000000002</v>
      </c>
    </row>
    <row r="717" spans="1:20" x14ac:dyDescent="0.3">
      <c r="A717" s="2">
        <v>10963</v>
      </c>
      <c r="B717" s="2" t="s">
        <v>51</v>
      </c>
      <c r="C717" s="2">
        <v>9</v>
      </c>
      <c r="D717" s="3">
        <v>35873</v>
      </c>
      <c r="E717" t="str">
        <f>VLOOKUP(C717,[1]Employees!$A$1:$O$10,4,FALSE)</f>
        <v>Dodsworth Anne</v>
      </c>
      <c r="F717">
        <f>VLOOKUP(A717,[1]!Orders,7,FALSE)</f>
        <v>3</v>
      </c>
      <c r="G717" t="str">
        <f>VLOOKUP(F717,[1]!Shippers,2,FALSE)</f>
        <v>Federal Shipping</v>
      </c>
      <c r="H717" t="str">
        <f>VLOOKUP(C717,[1]EmployeeTerritories!$A$1:$B$50,2,FALSE)</f>
        <v>03049</v>
      </c>
      <c r="I717">
        <f>VLOOKUP(C717,[1]EmployeeTerritories!$A$1:$B$50,1,FALSE)</f>
        <v>9</v>
      </c>
      <c r="J717">
        <f>VLOOKUP(H717,[1]!Territories,3,FALSE)</f>
        <v>3</v>
      </c>
      <c r="K717" t="str">
        <f>VLOOKUP(J717,[1]!Region,2,FALSE)</f>
        <v>Northern</v>
      </c>
      <c r="L717">
        <f>VLOOKUP(A717,[1]Order_Details!$A$1:$F$2156,2,FALSE)</f>
        <v>60</v>
      </c>
      <c r="M717" t="str">
        <f>VLOOKUP(L717,[1]!Products,2,FALSE)</f>
        <v>Camembert Pierrot</v>
      </c>
      <c r="N717">
        <f>VLOOKUP(L717,[1]!Products,4,FALSE)</f>
        <v>4</v>
      </c>
      <c r="O717" s="6" t="str">
        <f>VLOOKUP(N717,[1]!Categories,2,FALSE)</f>
        <v>Dairy Products</v>
      </c>
      <c r="P717" s="6">
        <f>VLOOKUP(A717,[1]Order_Details!$A$1:$F$2156,3,FALSE)</f>
        <v>34</v>
      </c>
      <c r="Q717">
        <f>VLOOKUP(A717,[1]Order_Details!$A$1:$F$2156,4,FALSE)</f>
        <v>2</v>
      </c>
      <c r="R717">
        <f>VLOOKUP(A717,[1]Order_Details!$A$1:$F$2156,5,FALSE)</f>
        <v>0.15000000596046448</v>
      </c>
      <c r="S717" s="6">
        <f>VLOOKUP(A717,[1]Order_Details!$A$1:$F$2156,6,FALSE)</f>
        <v>57.799999594688416</v>
      </c>
      <c r="T717" s="6">
        <f>VLOOKUP(A717,[1]!Orders,8,FALSE)</f>
        <v>2.7</v>
      </c>
    </row>
    <row r="718" spans="1:20" x14ac:dyDescent="0.3">
      <c r="A718" s="2">
        <v>10964</v>
      </c>
      <c r="B718" s="2" t="s">
        <v>91</v>
      </c>
      <c r="C718" s="2">
        <v>3</v>
      </c>
      <c r="D718" s="3">
        <v>35874</v>
      </c>
      <c r="E718" t="str">
        <f>VLOOKUP(C718,[1]Employees!$A$1:$O$10,4,FALSE)</f>
        <v>Leverling Janet</v>
      </c>
      <c r="F718">
        <f>VLOOKUP(A718,[1]!Orders,7,FALSE)</f>
        <v>2</v>
      </c>
      <c r="G718" t="str">
        <f>VLOOKUP(F718,[1]!Shippers,2,FALSE)</f>
        <v>United Package</v>
      </c>
      <c r="H718" t="str">
        <f>VLOOKUP(C718,[1]EmployeeTerritories!$A$1:$B$50,2,FALSE)</f>
        <v>30346</v>
      </c>
      <c r="I718">
        <f>VLOOKUP(C718,[1]EmployeeTerritories!$A$1:$B$50,1,FALSE)</f>
        <v>3</v>
      </c>
      <c r="J718">
        <f>VLOOKUP(H718,[1]!Territories,3,FALSE)</f>
        <v>4</v>
      </c>
      <c r="K718" t="str">
        <f>VLOOKUP(J718,[1]!Region,2,FALSE)</f>
        <v>Southern</v>
      </c>
      <c r="L718">
        <f>VLOOKUP(A718,[1]Order_Details!$A$1:$F$2156,2,FALSE)</f>
        <v>18</v>
      </c>
      <c r="M718" t="str">
        <f>VLOOKUP(L718,[1]!Products,2,FALSE)</f>
        <v>Carnarvon Tigers</v>
      </c>
      <c r="N718">
        <f>VLOOKUP(L718,[1]!Products,4,FALSE)</f>
        <v>8</v>
      </c>
      <c r="O718" s="6" t="str">
        <f>VLOOKUP(N718,[1]!Categories,2,FALSE)</f>
        <v>Seafood</v>
      </c>
      <c r="P718" s="6">
        <f>VLOOKUP(A718,[1]Order_Details!$A$1:$F$2156,3,FALSE)</f>
        <v>62.5</v>
      </c>
      <c r="Q718">
        <f>VLOOKUP(A718,[1]Order_Details!$A$1:$F$2156,4,FALSE)</f>
        <v>6</v>
      </c>
      <c r="R718">
        <f>VLOOKUP(A718,[1]Order_Details!$A$1:$F$2156,5,FALSE)</f>
        <v>0</v>
      </c>
      <c r="S718" s="6">
        <f>VLOOKUP(A718,[1]Order_Details!$A$1:$F$2156,6,FALSE)</f>
        <v>375</v>
      </c>
      <c r="T718" s="6">
        <f>VLOOKUP(A718,[1]!Orders,8,FALSE)</f>
        <v>87.38</v>
      </c>
    </row>
    <row r="719" spans="1:20" x14ac:dyDescent="0.3">
      <c r="A719" s="2">
        <v>10965</v>
      </c>
      <c r="B719" s="2" t="s">
        <v>41</v>
      </c>
      <c r="C719" s="2">
        <v>6</v>
      </c>
      <c r="D719" s="3">
        <v>35874</v>
      </c>
      <c r="E719" t="str">
        <f>VLOOKUP(C719,[1]Employees!$A$1:$O$10,4,FALSE)</f>
        <v>Suyama Michael</v>
      </c>
      <c r="F719">
        <f>VLOOKUP(A719,[1]!Orders,7,FALSE)</f>
        <v>3</v>
      </c>
      <c r="G719" t="str">
        <f>VLOOKUP(F719,[1]!Shippers,2,FALSE)</f>
        <v>Federal Shipping</v>
      </c>
      <c r="H719" t="str">
        <f>VLOOKUP(C719,[1]EmployeeTerritories!$A$1:$B$50,2,FALSE)</f>
        <v>85014</v>
      </c>
      <c r="I719">
        <f>VLOOKUP(C719,[1]EmployeeTerritories!$A$1:$B$50,1,FALSE)</f>
        <v>6</v>
      </c>
      <c r="J719">
        <f>VLOOKUP(H719,[1]!Territories,3,FALSE)</f>
        <v>2</v>
      </c>
      <c r="K719" t="str">
        <f>VLOOKUP(J719,[1]!Region,2,FALSE)</f>
        <v>Western</v>
      </c>
      <c r="L719">
        <f>VLOOKUP(A719,[1]Order_Details!$A$1:$F$2156,2,FALSE)</f>
        <v>51</v>
      </c>
      <c r="M719" t="str">
        <f>VLOOKUP(L719,[1]!Products,2,FALSE)</f>
        <v>Manjimup Dried Apples</v>
      </c>
      <c r="N719">
        <f>VLOOKUP(L719,[1]!Products,4,FALSE)</f>
        <v>7</v>
      </c>
      <c r="O719" s="6" t="str">
        <f>VLOOKUP(N719,[1]!Categories,2,FALSE)</f>
        <v>Produce</v>
      </c>
      <c r="P719" s="6">
        <f>VLOOKUP(A719,[1]Order_Details!$A$1:$F$2156,3,FALSE)</f>
        <v>53</v>
      </c>
      <c r="Q719">
        <f>VLOOKUP(A719,[1]Order_Details!$A$1:$F$2156,4,FALSE)</f>
        <v>16</v>
      </c>
      <c r="R719">
        <f>VLOOKUP(A719,[1]Order_Details!$A$1:$F$2156,5,FALSE)</f>
        <v>0</v>
      </c>
      <c r="S719" s="6">
        <f>VLOOKUP(A719,[1]Order_Details!$A$1:$F$2156,6,FALSE)</f>
        <v>848</v>
      </c>
      <c r="T719" s="6">
        <f>VLOOKUP(A719,[1]!Orders,8,FALSE)</f>
        <v>144.38</v>
      </c>
    </row>
    <row r="720" spans="1:20" x14ac:dyDescent="0.3">
      <c r="A720" s="2">
        <v>10966</v>
      </c>
      <c r="B720" s="2" t="s">
        <v>9</v>
      </c>
      <c r="C720" s="2">
        <v>4</v>
      </c>
      <c r="D720" s="3">
        <v>35874</v>
      </c>
      <c r="E720" t="str">
        <f>VLOOKUP(C720,[1]Employees!$A$1:$O$10,4,FALSE)</f>
        <v>Peacock Margaret</v>
      </c>
      <c r="F720">
        <f>VLOOKUP(A720,[1]!Orders,7,FALSE)</f>
        <v>1</v>
      </c>
      <c r="G720" t="str">
        <f>VLOOKUP(F720,[1]!Shippers,2,FALSE)</f>
        <v>Speedy Express</v>
      </c>
      <c r="H720" t="str">
        <f>VLOOKUP(C720,[1]EmployeeTerritories!$A$1:$B$50,2,FALSE)</f>
        <v>20852</v>
      </c>
      <c r="I720">
        <f>VLOOKUP(C720,[1]EmployeeTerritories!$A$1:$B$50,1,FALSE)</f>
        <v>4</v>
      </c>
      <c r="J720">
        <f>VLOOKUP(H720,[1]!Territories,3,FALSE)</f>
        <v>1</v>
      </c>
      <c r="K720" t="str">
        <f>VLOOKUP(J720,[1]!Region,2,FALSE)</f>
        <v>Eastern</v>
      </c>
      <c r="L720">
        <f>VLOOKUP(A720,[1]Order_Details!$A$1:$F$2156,2,FALSE)</f>
        <v>37</v>
      </c>
      <c r="M720" t="str">
        <f>VLOOKUP(L720,[1]!Products,2,FALSE)</f>
        <v>Gravad lax</v>
      </c>
      <c r="N720">
        <f>VLOOKUP(L720,[1]!Products,4,FALSE)</f>
        <v>8</v>
      </c>
      <c r="O720" s="6" t="str">
        <f>VLOOKUP(N720,[1]!Categories,2,FALSE)</f>
        <v>Seafood</v>
      </c>
      <c r="P720" s="6">
        <f>VLOOKUP(A720,[1]Order_Details!$A$1:$F$2156,3,FALSE)</f>
        <v>26</v>
      </c>
      <c r="Q720">
        <f>VLOOKUP(A720,[1]Order_Details!$A$1:$F$2156,4,FALSE)</f>
        <v>8</v>
      </c>
      <c r="R720">
        <f>VLOOKUP(A720,[1]Order_Details!$A$1:$F$2156,5,FALSE)</f>
        <v>0</v>
      </c>
      <c r="S720" s="6">
        <f>VLOOKUP(A720,[1]Order_Details!$A$1:$F$2156,6,FALSE)</f>
        <v>208</v>
      </c>
      <c r="T720" s="6">
        <f>VLOOKUP(A720,[1]!Orders,8,FALSE)</f>
        <v>27.19</v>
      </c>
    </row>
    <row r="721" spans="1:20" x14ac:dyDescent="0.3">
      <c r="A721" s="2">
        <v>10967</v>
      </c>
      <c r="B721" s="2" t="s">
        <v>5</v>
      </c>
      <c r="C721" s="2">
        <v>2</v>
      </c>
      <c r="D721" s="3">
        <v>35877</v>
      </c>
      <c r="E721" t="str">
        <f>VLOOKUP(C721,[1]Employees!$A$1:$O$10,4,FALSE)</f>
        <v>Fuller Andrew</v>
      </c>
      <c r="F721">
        <f>VLOOKUP(A721,[1]!Orders,7,FALSE)</f>
        <v>2</v>
      </c>
      <c r="G721" t="str">
        <f>VLOOKUP(F721,[1]!Shippers,2,FALSE)</f>
        <v>United Package</v>
      </c>
      <c r="H721" t="str">
        <f>VLOOKUP(C721,[1]EmployeeTerritories!$A$1:$B$50,2,FALSE)</f>
        <v>01581</v>
      </c>
      <c r="I721">
        <f>VLOOKUP(C721,[1]EmployeeTerritories!$A$1:$B$50,1,FALSE)</f>
        <v>2</v>
      </c>
      <c r="J721">
        <f>VLOOKUP(H721,[1]!Territories,3,FALSE)</f>
        <v>1</v>
      </c>
      <c r="K721" t="str">
        <f>VLOOKUP(J721,[1]!Region,2,FALSE)</f>
        <v>Eastern</v>
      </c>
      <c r="L721">
        <f>VLOOKUP(A721,[1]Order_Details!$A$1:$F$2156,2,FALSE)</f>
        <v>19</v>
      </c>
      <c r="M721" t="str">
        <f>VLOOKUP(L721,[1]!Products,2,FALSE)</f>
        <v>Teatime Chocolate Biscuits</v>
      </c>
      <c r="N721">
        <f>VLOOKUP(L721,[1]!Products,4,FALSE)</f>
        <v>3</v>
      </c>
      <c r="O721" s="6" t="str">
        <f>VLOOKUP(N721,[1]!Categories,2,FALSE)</f>
        <v>Confections</v>
      </c>
      <c r="P721" s="6">
        <f>VLOOKUP(A721,[1]Order_Details!$A$1:$F$2156,3,FALSE)</f>
        <v>9.1999999999999993</v>
      </c>
      <c r="Q721">
        <f>VLOOKUP(A721,[1]Order_Details!$A$1:$F$2156,4,FALSE)</f>
        <v>12</v>
      </c>
      <c r="R721">
        <f>VLOOKUP(A721,[1]Order_Details!$A$1:$F$2156,5,FALSE)</f>
        <v>0</v>
      </c>
      <c r="S721" s="6">
        <f>VLOOKUP(A721,[1]Order_Details!$A$1:$F$2156,6,FALSE)</f>
        <v>110.39999999999999</v>
      </c>
      <c r="T721" s="6">
        <f>VLOOKUP(A721,[1]!Orders,8,FALSE)</f>
        <v>62.22</v>
      </c>
    </row>
    <row r="722" spans="1:20" x14ac:dyDescent="0.3">
      <c r="A722" s="2">
        <v>10968</v>
      </c>
      <c r="B722" s="2" t="s">
        <v>13</v>
      </c>
      <c r="C722" s="2">
        <v>1</v>
      </c>
      <c r="D722" s="3">
        <v>35877</v>
      </c>
      <c r="E722" t="str">
        <f>VLOOKUP(C722,[1]Employees!$A$1:$O$10,4,FALSE)</f>
        <v>Davolio Nancy</v>
      </c>
      <c r="F722">
        <f>VLOOKUP(A722,[1]!Orders,7,FALSE)</f>
        <v>3</v>
      </c>
      <c r="G722" t="str">
        <f>VLOOKUP(F722,[1]!Shippers,2,FALSE)</f>
        <v>Federal Shipping</v>
      </c>
      <c r="H722" t="str">
        <f>VLOOKUP(C722,[1]EmployeeTerritories!$A$1:$B$50,2,FALSE)</f>
        <v>06897</v>
      </c>
      <c r="I722">
        <f>VLOOKUP(C722,[1]EmployeeTerritories!$A$1:$B$50,1,FALSE)</f>
        <v>1</v>
      </c>
      <c r="J722">
        <f>VLOOKUP(H722,[1]!Territories,3,FALSE)</f>
        <v>1</v>
      </c>
      <c r="K722" t="str">
        <f>VLOOKUP(J722,[1]!Region,2,FALSE)</f>
        <v>Eastern</v>
      </c>
      <c r="L722">
        <f>VLOOKUP(A722,[1]Order_Details!$A$1:$F$2156,2,FALSE)</f>
        <v>12</v>
      </c>
      <c r="M722" t="str">
        <f>VLOOKUP(L722,[1]!Products,2,FALSE)</f>
        <v>Queso Manchego La Pastora</v>
      </c>
      <c r="N722">
        <f>VLOOKUP(L722,[1]!Products,4,FALSE)</f>
        <v>4</v>
      </c>
      <c r="O722" s="6" t="str">
        <f>VLOOKUP(N722,[1]!Categories,2,FALSE)</f>
        <v>Dairy Products</v>
      </c>
      <c r="P722" s="6">
        <f>VLOOKUP(A722,[1]Order_Details!$A$1:$F$2156,3,FALSE)</f>
        <v>38</v>
      </c>
      <c r="Q722">
        <f>VLOOKUP(A722,[1]Order_Details!$A$1:$F$2156,4,FALSE)</f>
        <v>30</v>
      </c>
      <c r="R722">
        <f>VLOOKUP(A722,[1]Order_Details!$A$1:$F$2156,5,FALSE)</f>
        <v>0</v>
      </c>
      <c r="S722" s="6">
        <f>VLOOKUP(A722,[1]Order_Details!$A$1:$F$2156,6,FALSE)</f>
        <v>1140</v>
      </c>
      <c r="T722" s="6">
        <f>VLOOKUP(A722,[1]!Orders,8,FALSE)</f>
        <v>74.599999999999994</v>
      </c>
    </row>
    <row r="723" spans="1:20" x14ac:dyDescent="0.3">
      <c r="A723" s="2">
        <v>10969</v>
      </c>
      <c r="B723" s="2" t="s">
        <v>36</v>
      </c>
      <c r="C723" s="2">
        <v>1</v>
      </c>
      <c r="D723" s="3">
        <v>35877</v>
      </c>
      <c r="E723" t="str">
        <f>VLOOKUP(C723,[1]Employees!$A$1:$O$10,4,FALSE)</f>
        <v>Davolio Nancy</v>
      </c>
      <c r="F723">
        <f>VLOOKUP(A723,[1]!Orders,7,FALSE)</f>
        <v>2</v>
      </c>
      <c r="G723" t="str">
        <f>VLOOKUP(F723,[1]!Shippers,2,FALSE)</f>
        <v>United Package</v>
      </c>
      <c r="H723" t="str">
        <f>VLOOKUP(C723,[1]EmployeeTerritories!$A$1:$B$50,2,FALSE)</f>
        <v>06897</v>
      </c>
      <c r="I723">
        <f>VLOOKUP(C723,[1]EmployeeTerritories!$A$1:$B$50,1,FALSE)</f>
        <v>1</v>
      </c>
      <c r="J723">
        <f>VLOOKUP(H723,[1]!Territories,3,FALSE)</f>
        <v>1</v>
      </c>
      <c r="K723" t="str">
        <f>VLOOKUP(J723,[1]!Region,2,FALSE)</f>
        <v>Eastern</v>
      </c>
      <c r="L723">
        <f>VLOOKUP(A723,[1]Order_Details!$A$1:$F$2156,2,FALSE)</f>
        <v>46</v>
      </c>
      <c r="M723" t="str">
        <f>VLOOKUP(L723,[1]!Products,2,FALSE)</f>
        <v>Spegesild</v>
      </c>
      <c r="N723">
        <f>VLOOKUP(L723,[1]!Products,4,FALSE)</f>
        <v>8</v>
      </c>
      <c r="O723" s="6" t="str">
        <f>VLOOKUP(N723,[1]!Categories,2,FALSE)</f>
        <v>Seafood</v>
      </c>
      <c r="P723" s="6">
        <f>VLOOKUP(A723,[1]Order_Details!$A$1:$F$2156,3,FALSE)</f>
        <v>12</v>
      </c>
      <c r="Q723">
        <f>VLOOKUP(A723,[1]Order_Details!$A$1:$F$2156,4,FALSE)</f>
        <v>9</v>
      </c>
      <c r="R723">
        <f>VLOOKUP(A723,[1]Order_Details!$A$1:$F$2156,5,FALSE)</f>
        <v>0</v>
      </c>
      <c r="S723" s="6">
        <f>VLOOKUP(A723,[1]Order_Details!$A$1:$F$2156,6,FALSE)</f>
        <v>108</v>
      </c>
      <c r="T723" s="6">
        <f>VLOOKUP(A723,[1]!Orders,8,FALSE)</f>
        <v>0.21</v>
      </c>
    </row>
    <row r="724" spans="1:20" x14ac:dyDescent="0.3">
      <c r="A724" s="2">
        <v>10970</v>
      </c>
      <c r="B724" s="2" t="s">
        <v>50</v>
      </c>
      <c r="C724" s="2">
        <v>9</v>
      </c>
      <c r="D724" s="3">
        <v>35878</v>
      </c>
      <c r="E724" t="str">
        <f>VLOOKUP(C724,[1]Employees!$A$1:$O$10,4,FALSE)</f>
        <v>Dodsworth Anne</v>
      </c>
      <c r="F724">
        <f>VLOOKUP(A724,[1]!Orders,7,FALSE)</f>
        <v>1</v>
      </c>
      <c r="G724" t="str">
        <f>VLOOKUP(F724,[1]!Shippers,2,FALSE)</f>
        <v>Speedy Express</v>
      </c>
      <c r="H724" t="str">
        <f>VLOOKUP(C724,[1]EmployeeTerritories!$A$1:$B$50,2,FALSE)</f>
        <v>03049</v>
      </c>
      <c r="I724">
        <f>VLOOKUP(C724,[1]EmployeeTerritories!$A$1:$B$50,1,FALSE)</f>
        <v>9</v>
      </c>
      <c r="J724">
        <f>VLOOKUP(H724,[1]!Territories,3,FALSE)</f>
        <v>3</v>
      </c>
      <c r="K724" t="str">
        <f>VLOOKUP(J724,[1]!Region,2,FALSE)</f>
        <v>Northern</v>
      </c>
      <c r="L724">
        <f>VLOOKUP(A724,[1]Order_Details!$A$1:$F$2156,2,FALSE)</f>
        <v>52</v>
      </c>
      <c r="M724" t="str">
        <f>VLOOKUP(L724,[1]!Products,2,FALSE)</f>
        <v>Filo Mix</v>
      </c>
      <c r="N724">
        <f>VLOOKUP(L724,[1]!Products,4,FALSE)</f>
        <v>5</v>
      </c>
      <c r="O724" s="6" t="str">
        <f>VLOOKUP(N724,[1]!Categories,2,FALSE)</f>
        <v>Grains/Cereals</v>
      </c>
      <c r="P724" s="6">
        <f>VLOOKUP(A724,[1]Order_Details!$A$1:$F$2156,3,FALSE)</f>
        <v>7</v>
      </c>
      <c r="Q724">
        <f>VLOOKUP(A724,[1]Order_Details!$A$1:$F$2156,4,FALSE)</f>
        <v>40</v>
      </c>
      <c r="R724">
        <f>VLOOKUP(A724,[1]Order_Details!$A$1:$F$2156,5,FALSE)</f>
        <v>0.20000000298023224</v>
      </c>
      <c r="S724" s="6">
        <f>VLOOKUP(A724,[1]Order_Details!$A$1:$F$2156,6,FALSE)</f>
        <v>223.99999916553497</v>
      </c>
      <c r="T724" s="6">
        <f>VLOOKUP(A724,[1]!Orders,8,FALSE)</f>
        <v>16.16</v>
      </c>
    </row>
    <row r="725" spans="1:20" x14ac:dyDescent="0.3">
      <c r="A725" s="2">
        <v>10971</v>
      </c>
      <c r="B725" s="2" t="s">
        <v>90</v>
      </c>
      <c r="C725" s="2">
        <v>2</v>
      </c>
      <c r="D725" s="3">
        <v>35878</v>
      </c>
      <c r="E725" t="str">
        <f>VLOOKUP(C725,[1]Employees!$A$1:$O$10,4,FALSE)</f>
        <v>Fuller Andrew</v>
      </c>
      <c r="F725">
        <f>VLOOKUP(A725,[1]!Orders,7,FALSE)</f>
        <v>2</v>
      </c>
      <c r="G725" t="str">
        <f>VLOOKUP(F725,[1]!Shippers,2,FALSE)</f>
        <v>United Package</v>
      </c>
      <c r="H725" t="str">
        <f>VLOOKUP(C725,[1]EmployeeTerritories!$A$1:$B$50,2,FALSE)</f>
        <v>01581</v>
      </c>
      <c r="I725">
        <f>VLOOKUP(C725,[1]EmployeeTerritories!$A$1:$B$50,1,FALSE)</f>
        <v>2</v>
      </c>
      <c r="J725">
        <f>VLOOKUP(H725,[1]!Territories,3,FALSE)</f>
        <v>1</v>
      </c>
      <c r="K725" t="str">
        <f>VLOOKUP(J725,[1]!Region,2,FALSE)</f>
        <v>Eastern</v>
      </c>
      <c r="L725">
        <f>VLOOKUP(A725,[1]Order_Details!$A$1:$F$2156,2,FALSE)</f>
        <v>29</v>
      </c>
      <c r="M725" t="str">
        <f>VLOOKUP(L725,[1]!Products,2,FALSE)</f>
        <v>Thüringer Rostbratwurst</v>
      </c>
      <c r="N725">
        <f>VLOOKUP(L725,[1]!Products,4,FALSE)</f>
        <v>6</v>
      </c>
      <c r="O725" s="6" t="str">
        <f>VLOOKUP(N725,[1]!Categories,2,FALSE)</f>
        <v>Meat/Poultry</v>
      </c>
      <c r="P725" s="6">
        <f>VLOOKUP(A725,[1]Order_Details!$A$1:$F$2156,3,FALSE)</f>
        <v>123.79</v>
      </c>
      <c r="Q725">
        <f>VLOOKUP(A725,[1]Order_Details!$A$1:$F$2156,4,FALSE)</f>
        <v>14</v>
      </c>
      <c r="R725">
        <f>VLOOKUP(A725,[1]Order_Details!$A$1:$F$2156,5,FALSE)</f>
        <v>0</v>
      </c>
      <c r="S725" s="6">
        <f>VLOOKUP(A725,[1]Order_Details!$A$1:$F$2156,6,FALSE)</f>
        <v>1733.0600000000002</v>
      </c>
      <c r="T725" s="6">
        <f>VLOOKUP(A725,[1]!Orders,8,FALSE)</f>
        <v>121.82</v>
      </c>
    </row>
    <row r="726" spans="1:20" x14ac:dyDescent="0.3">
      <c r="A726" s="2">
        <v>10972</v>
      </c>
      <c r="B726" s="2" t="s">
        <v>92</v>
      </c>
      <c r="C726" s="2">
        <v>4</v>
      </c>
      <c r="D726" s="3">
        <v>35878</v>
      </c>
      <c r="E726" t="str">
        <f>VLOOKUP(C726,[1]Employees!$A$1:$O$10,4,FALSE)</f>
        <v>Peacock Margaret</v>
      </c>
      <c r="F726">
        <f>VLOOKUP(A726,[1]!Orders,7,FALSE)</f>
        <v>2</v>
      </c>
      <c r="G726" t="str">
        <f>VLOOKUP(F726,[1]!Shippers,2,FALSE)</f>
        <v>United Package</v>
      </c>
      <c r="H726" t="str">
        <f>VLOOKUP(C726,[1]EmployeeTerritories!$A$1:$B$50,2,FALSE)</f>
        <v>20852</v>
      </c>
      <c r="I726">
        <f>VLOOKUP(C726,[1]EmployeeTerritories!$A$1:$B$50,1,FALSE)</f>
        <v>4</v>
      </c>
      <c r="J726">
        <f>VLOOKUP(H726,[1]!Territories,3,FALSE)</f>
        <v>1</v>
      </c>
      <c r="K726" t="str">
        <f>VLOOKUP(J726,[1]!Region,2,FALSE)</f>
        <v>Eastern</v>
      </c>
      <c r="L726">
        <f>VLOOKUP(A726,[1]Order_Details!$A$1:$F$2156,2,FALSE)</f>
        <v>17</v>
      </c>
      <c r="M726" t="str">
        <f>VLOOKUP(L726,[1]!Products,2,FALSE)</f>
        <v>Alice Mutton</v>
      </c>
      <c r="N726">
        <f>VLOOKUP(L726,[1]!Products,4,FALSE)</f>
        <v>6</v>
      </c>
      <c r="O726" s="6" t="str">
        <f>VLOOKUP(N726,[1]!Categories,2,FALSE)</f>
        <v>Meat/Poultry</v>
      </c>
      <c r="P726" s="6">
        <f>VLOOKUP(A726,[1]Order_Details!$A$1:$F$2156,3,FALSE)</f>
        <v>39</v>
      </c>
      <c r="Q726">
        <f>VLOOKUP(A726,[1]Order_Details!$A$1:$F$2156,4,FALSE)</f>
        <v>6</v>
      </c>
      <c r="R726">
        <f>VLOOKUP(A726,[1]Order_Details!$A$1:$F$2156,5,FALSE)</f>
        <v>0</v>
      </c>
      <c r="S726" s="6">
        <f>VLOOKUP(A726,[1]Order_Details!$A$1:$F$2156,6,FALSE)</f>
        <v>234</v>
      </c>
      <c r="T726" s="6">
        <f>VLOOKUP(A726,[1]!Orders,8,FALSE)</f>
        <v>0.02</v>
      </c>
    </row>
    <row r="727" spans="1:20" x14ac:dyDescent="0.3">
      <c r="A727" s="2">
        <v>10973</v>
      </c>
      <c r="B727" s="2" t="s">
        <v>92</v>
      </c>
      <c r="C727" s="2">
        <v>6</v>
      </c>
      <c r="D727" s="3">
        <v>35878</v>
      </c>
      <c r="E727" t="str">
        <f>VLOOKUP(C727,[1]Employees!$A$1:$O$10,4,FALSE)</f>
        <v>Suyama Michael</v>
      </c>
      <c r="F727">
        <f>VLOOKUP(A727,[1]!Orders,7,FALSE)</f>
        <v>2</v>
      </c>
      <c r="G727" t="str">
        <f>VLOOKUP(F727,[1]!Shippers,2,FALSE)</f>
        <v>United Package</v>
      </c>
      <c r="H727" t="str">
        <f>VLOOKUP(C727,[1]EmployeeTerritories!$A$1:$B$50,2,FALSE)</f>
        <v>85014</v>
      </c>
      <c r="I727">
        <f>VLOOKUP(C727,[1]EmployeeTerritories!$A$1:$B$50,1,FALSE)</f>
        <v>6</v>
      </c>
      <c r="J727">
        <f>VLOOKUP(H727,[1]!Territories,3,FALSE)</f>
        <v>2</v>
      </c>
      <c r="K727" t="str">
        <f>VLOOKUP(J727,[1]!Region,2,FALSE)</f>
        <v>Western</v>
      </c>
      <c r="L727">
        <f>VLOOKUP(A727,[1]Order_Details!$A$1:$F$2156,2,FALSE)</f>
        <v>26</v>
      </c>
      <c r="M727" t="str">
        <f>VLOOKUP(L727,[1]!Products,2,FALSE)</f>
        <v>Gumbär Gummibärchen</v>
      </c>
      <c r="N727">
        <f>VLOOKUP(L727,[1]!Products,4,FALSE)</f>
        <v>3</v>
      </c>
      <c r="O727" s="6" t="str">
        <f>VLOOKUP(N727,[1]!Categories,2,FALSE)</f>
        <v>Confections</v>
      </c>
      <c r="P727" s="6">
        <f>VLOOKUP(A727,[1]Order_Details!$A$1:$F$2156,3,FALSE)</f>
        <v>31.23</v>
      </c>
      <c r="Q727">
        <f>VLOOKUP(A727,[1]Order_Details!$A$1:$F$2156,4,FALSE)</f>
        <v>5</v>
      </c>
      <c r="R727">
        <f>VLOOKUP(A727,[1]Order_Details!$A$1:$F$2156,5,FALSE)</f>
        <v>0</v>
      </c>
      <c r="S727" s="6">
        <f>VLOOKUP(A727,[1]Order_Details!$A$1:$F$2156,6,FALSE)</f>
        <v>156.15</v>
      </c>
      <c r="T727" s="6">
        <f>VLOOKUP(A727,[1]!Orders,8,FALSE)</f>
        <v>15.17</v>
      </c>
    </row>
    <row r="728" spans="1:20" x14ac:dyDescent="0.3">
      <c r="A728" s="2">
        <v>10974</v>
      </c>
      <c r="B728" s="2" t="s">
        <v>24</v>
      </c>
      <c r="C728" s="2">
        <v>3</v>
      </c>
      <c r="D728" s="3">
        <v>35879</v>
      </c>
      <c r="E728" t="str">
        <f>VLOOKUP(C728,[1]Employees!$A$1:$O$10,4,FALSE)</f>
        <v>Leverling Janet</v>
      </c>
      <c r="F728">
        <f>VLOOKUP(A728,[1]!Orders,7,FALSE)</f>
        <v>3</v>
      </c>
      <c r="G728" t="str">
        <f>VLOOKUP(F728,[1]!Shippers,2,FALSE)</f>
        <v>Federal Shipping</v>
      </c>
      <c r="H728" t="str">
        <f>VLOOKUP(C728,[1]EmployeeTerritories!$A$1:$B$50,2,FALSE)</f>
        <v>30346</v>
      </c>
      <c r="I728">
        <f>VLOOKUP(C728,[1]EmployeeTerritories!$A$1:$B$50,1,FALSE)</f>
        <v>3</v>
      </c>
      <c r="J728">
        <f>VLOOKUP(H728,[1]!Territories,3,FALSE)</f>
        <v>4</v>
      </c>
      <c r="K728" t="str">
        <f>VLOOKUP(J728,[1]!Region,2,FALSE)</f>
        <v>Southern</v>
      </c>
      <c r="L728">
        <f>VLOOKUP(A728,[1]Order_Details!$A$1:$F$2156,2,FALSE)</f>
        <v>63</v>
      </c>
      <c r="M728" t="str">
        <f>VLOOKUP(L728,[1]!Products,2,FALSE)</f>
        <v>Vegie-spread</v>
      </c>
      <c r="N728">
        <f>VLOOKUP(L728,[1]!Products,4,FALSE)</f>
        <v>2</v>
      </c>
      <c r="O728" s="6" t="str">
        <f>VLOOKUP(N728,[1]!Categories,2,FALSE)</f>
        <v>Condiments</v>
      </c>
      <c r="P728" s="6">
        <f>VLOOKUP(A728,[1]Order_Details!$A$1:$F$2156,3,FALSE)</f>
        <v>43.9</v>
      </c>
      <c r="Q728">
        <f>VLOOKUP(A728,[1]Order_Details!$A$1:$F$2156,4,FALSE)</f>
        <v>10</v>
      </c>
      <c r="R728">
        <f>VLOOKUP(A728,[1]Order_Details!$A$1:$F$2156,5,FALSE)</f>
        <v>0</v>
      </c>
      <c r="S728" s="6">
        <f>VLOOKUP(A728,[1]Order_Details!$A$1:$F$2156,6,FALSE)</f>
        <v>439</v>
      </c>
      <c r="T728" s="6">
        <f>VLOOKUP(A728,[1]!Orders,8,FALSE)</f>
        <v>12.96</v>
      </c>
    </row>
    <row r="729" spans="1:20" x14ac:dyDescent="0.3">
      <c r="A729" s="2">
        <v>10975</v>
      </c>
      <c r="B729" s="2" t="s">
        <v>70</v>
      </c>
      <c r="C729" s="2">
        <v>1</v>
      </c>
      <c r="D729" s="3">
        <v>35879</v>
      </c>
      <c r="E729" t="str">
        <f>VLOOKUP(C729,[1]Employees!$A$1:$O$10,4,FALSE)</f>
        <v>Davolio Nancy</v>
      </c>
      <c r="F729">
        <f>VLOOKUP(A729,[1]!Orders,7,FALSE)</f>
        <v>3</v>
      </c>
      <c r="G729" t="str">
        <f>VLOOKUP(F729,[1]!Shippers,2,FALSE)</f>
        <v>Federal Shipping</v>
      </c>
      <c r="H729" t="str">
        <f>VLOOKUP(C729,[1]EmployeeTerritories!$A$1:$B$50,2,FALSE)</f>
        <v>06897</v>
      </c>
      <c r="I729">
        <f>VLOOKUP(C729,[1]EmployeeTerritories!$A$1:$B$50,1,FALSE)</f>
        <v>1</v>
      </c>
      <c r="J729">
        <f>VLOOKUP(H729,[1]!Territories,3,FALSE)</f>
        <v>1</v>
      </c>
      <c r="K729" t="str">
        <f>VLOOKUP(J729,[1]!Region,2,FALSE)</f>
        <v>Eastern</v>
      </c>
      <c r="L729">
        <f>VLOOKUP(A729,[1]Order_Details!$A$1:$F$2156,2,FALSE)</f>
        <v>8</v>
      </c>
      <c r="M729" t="str">
        <f>VLOOKUP(L729,[1]!Products,2,FALSE)</f>
        <v>Northwoods Cranberry Sauce</v>
      </c>
      <c r="N729">
        <f>VLOOKUP(L729,[1]!Products,4,FALSE)</f>
        <v>2</v>
      </c>
      <c r="O729" s="6" t="str">
        <f>VLOOKUP(N729,[1]!Categories,2,FALSE)</f>
        <v>Condiments</v>
      </c>
      <c r="P729" s="6">
        <f>VLOOKUP(A729,[1]Order_Details!$A$1:$F$2156,3,FALSE)</f>
        <v>40</v>
      </c>
      <c r="Q729">
        <f>VLOOKUP(A729,[1]Order_Details!$A$1:$F$2156,4,FALSE)</f>
        <v>16</v>
      </c>
      <c r="R729">
        <f>VLOOKUP(A729,[1]Order_Details!$A$1:$F$2156,5,FALSE)</f>
        <v>0</v>
      </c>
      <c r="S729" s="6">
        <f>VLOOKUP(A729,[1]Order_Details!$A$1:$F$2156,6,FALSE)</f>
        <v>640</v>
      </c>
      <c r="T729" s="6">
        <f>VLOOKUP(A729,[1]!Orders,8,FALSE)</f>
        <v>32.270000000000003</v>
      </c>
    </row>
    <row r="730" spans="1:20" x14ac:dyDescent="0.3">
      <c r="A730" s="2">
        <v>10976</v>
      </c>
      <c r="B730" s="2" t="s">
        <v>12</v>
      </c>
      <c r="C730" s="2">
        <v>1</v>
      </c>
      <c r="D730" s="3">
        <v>35879</v>
      </c>
      <c r="E730" t="str">
        <f>VLOOKUP(C730,[1]Employees!$A$1:$O$10,4,FALSE)</f>
        <v>Davolio Nancy</v>
      </c>
      <c r="F730">
        <f>VLOOKUP(A730,[1]!Orders,7,FALSE)</f>
        <v>1</v>
      </c>
      <c r="G730" t="str">
        <f>VLOOKUP(F730,[1]!Shippers,2,FALSE)</f>
        <v>Speedy Express</v>
      </c>
      <c r="H730" t="str">
        <f>VLOOKUP(C730,[1]EmployeeTerritories!$A$1:$B$50,2,FALSE)</f>
        <v>06897</v>
      </c>
      <c r="I730">
        <f>VLOOKUP(C730,[1]EmployeeTerritories!$A$1:$B$50,1,FALSE)</f>
        <v>1</v>
      </c>
      <c r="J730">
        <f>VLOOKUP(H730,[1]!Territories,3,FALSE)</f>
        <v>1</v>
      </c>
      <c r="K730" t="str">
        <f>VLOOKUP(J730,[1]!Region,2,FALSE)</f>
        <v>Eastern</v>
      </c>
      <c r="L730">
        <f>VLOOKUP(A730,[1]Order_Details!$A$1:$F$2156,2,FALSE)</f>
        <v>28</v>
      </c>
      <c r="M730" t="str">
        <f>VLOOKUP(L730,[1]!Products,2,FALSE)</f>
        <v>Rössle Sauerkraut</v>
      </c>
      <c r="N730">
        <f>VLOOKUP(L730,[1]!Products,4,FALSE)</f>
        <v>7</v>
      </c>
      <c r="O730" s="6" t="str">
        <f>VLOOKUP(N730,[1]!Categories,2,FALSE)</f>
        <v>Produce</v>
      </c>
      <c r="P730" s="6">
        <f>VLOOKUP(A730,[1]Order_Details!$A$1:$F$2156,3,FALSE)</f>
        <v>45.6</v>
      </c>
      <c r="Q730">
        <f>VLOOKUP(A730,[1]Order_Details!$A$1:$F$2156,4,FALSE)</f>
        <v>20</v>
      </c>
      <c r="R730">
        <f>VLOOKUP(A730,[1]Order_Details!$A$1:$F$2156,5,FALSE)</f>
        <v>0</v>
      </c>
      <c r="S730" s="6">
        <f>VLOOKUP(A730,[1]Order_Details!$A$1:$F$2156,6,FALSE)</f>
        <v>912</v>
      </c>
      <c r="T730" s="6">
        <f>VLOOKUP(A730,[1]!Orders,8,FALSE)</f>
        <v>37.97</v>
      </c>
    </row>
    <row r="731" spans="1:20" x14ac:dyDescent="0.3">
      <c r="A731" s="2">
        <v>10977</v>
      </c>
      <c r="B731" s="2" t="s">
        <v>18</v>
      </c>
      <c r="C731" s="2">
        <v>8</v>
      </c>
      <c r="D731" s="3">
        <v>35880</v>
      </c>
      <c r="E731" t="str">
        <f>VLOOKUP(C731,[1]Employees!$A$1:$O$10,4,FALSE)</f>
        <v>Callahan Laura</v>
      </c>
      <c r="F731">
        <f>VLOOKUP(A731,[1]!Orders,7,FALSE)</f>
        <v>3</v>
      </c>
      <c r="G731" t="str">
        <f>VLOOKUP(F731,[1]!Shippers,2,FALSE)</f>
        <v>Federal Shipping</v>
      </c>
      <c r="H731" t="str">
        <f>VLOOKUP(C731,[1]EmployeeTerritories!$A$1:$B$50,2,FALSE)</f>
        <v>19428</v>
      </c>
      <c r="I731">
        <f>VLOOKUP(C731,[1]EmployeeTerritories!$A$1:$B$50,1,FALSE)</f>
        <v>8</v>
      </c>
      <c r="J731">
        <f>VLOOKUP(H731,[1]!Territories,3,FALSE)</f>
        <v>3</v>
      </c>
      <c r="K731" t="str">
        <f>VLOOKUP(J731,[1]!Region,2,FALSE)</f>
        <v>Northern</v>
      </c>
      <c r="L731">
        <f>VLOOKUP(A731,[1]Order_Details!$A$1:$F$2156,2,FALSE)</f>
        <v>39</v>
      </c>
      <c r="M731" t="str">
        <f>VLOOKUP(L731,[1]!Products,2,FALSE)</f>
        <v>Chartreuse verte</v>
      </c>
      <c r="N731">
        <f>VLOOKUP(L731,[1]!Products,4,FALSE)</f>
        <v>1</v>
      </c>
      <c r="O731" s="6" t="str">
        <f>VLOOKUP(N731,[1]!Categories,2,FALSE)</f>
        <v>Beverages</v>
      </c>
      <c r="P731" s="6">
        <f>VLOOKUP(A731,[1]Order_Details!$A$1:$F$2156,3,FALSE)</f>
        <v>18</v>
      </c>
      <c r="Q731">
        <f>VLOOKUP(A731,[1]Order_Details!$A$1:$F$2156,4,FALSE)</f>
        <v>30</v>
      </c>
      <c r="R731">
        <f>VLOOKUP(A731,[1]Order_Details!$A$1:$F$2156,5,FALSE)</f>
        <v>0</v>
      </c>
      <c r="S731" s="6">
        <f>VLOOKUP(A731,[1]Order_Details!$A$1:$F$2156,6,FALSE)</f>
        <v>540</v>
      </c>
      <c r="T731" s="6">
        <f>VLOOKUP(A731,[1]!Orders,8,FALSE)</f>
        <v>208.5</v>
      </c>
    </row>
    <row r="732" spans="1:20" x14ac:dyDescent="0.3">
      <c r="A732" s="2">
        <v>10978</v>
      </c>
      <c r="B732" s="2" t="s">
        <v>84</v>
      </c>
      <c r="C732" s="2">
        <v>9</v>
      </c>
      <c r="D732" s="3">
        <v>35880</v>
      </c>
      <c r="E732" t="str">
        <f>VLOOKUP(C732,[1]Employees!$A$1:$O$10,4,FALSE)</f>
        <v>Dodsworth Anne</v>
      </c>
      <c r="F732">
        <f>VLOOKUP(A732,[1]!Orders,7,FALSE)</f>
        <v>2</v>
      </c>
      <c r="G732" t="str">
        <f>VLOOKUP(F732,[1]!Shippers,2,FALSE)</f>
        <v>United Package</v>
      </c>
      <c r="H732" t="str">
        <f>VLOOKUP(C732,[1]EmployeeTerritories!$A$1:$B$50,2,FALSE)</f>
        <v>03049</v>
      </c>
      <c r="I732">
        <f>VLOOKUP(C732,[1]EmployeeTerritories!$A$1:$B$50,1,FALSE)</f>
        <v>9</v>
      </c>
      <c r="J732">
        <f>VLOOKUP(H732,[1]!Territories,3,FALSE)</f>
        <v>3</v>
      </c>
      <c r="K732" t="str">
        <f>VLOOKUP(J732,[1]!Region,2,FALSE)</f>
        <v>Northern</v>
      </c>
      <c r="L732">
        <f>VLOOKUP(A732,[1]Order_Details!$A$1:$F$2156,2,FALSE)</f>
        <v>8</v>
      </c>
      <c r="M732" t="str">
        <f>VLOOKUP(L732,[1]!Products,2,FALSE)</f>
        <v>Northwoods Cranberry Sauce</v>
      </c>
      <c r="N732">
        <f>VLOOKUP(L732,[1]!Products,4,FALSE)</f>
        <v>2</v>
      </c>
      <c r="O732" s="6" t="str">
        <f>VLOOKUP(N732,[1]!Categories,2,FALSE)</f>
        <v>Condiments</v>
      </c>
      <c r="P732" s="6">
        <f>VLOOKUP(A732,[1]Order_Details!$A$1:$F$2156,3,FALSE)</f>
        <v>40</v>
      </c>
      <c r="Q732">
        <f>VLOOKUP(A732,[1]Order_Details!$A$1:$F$2156,4,FALSE)</f>
        <v>20</v>
      </c>
      <c r="R732">
        <f>VLOOKUP(A732,[1]Order_Details!$A$1:$F$2156,5,FALSE)</f>
        <v>0.15000000596046448</v>
      </c>
      <c r="S732" s="6">
        <f>VLOOKUP(A732,[1]Order_Details!$A$1:$F$2156,6,FALSE)</f>
        <v>679.99999523162842</v>
      </c>
      <c r="T732" s="6">
        <f>VLOOKUP(A732,[1]!Orders,8,FALSE)</f>
        <v>32.82</v>
      </c>
    </row>
    <row r="733" spans="1:20" x14ac:dyDescent="0.3">
      <c r="A733" s="2">
        <v>10979</v>
      </c>
      <c r="B733" s="2" t="s">
        <v>13</v>
      </c>
      <c r="C733" s="2">
        <v>8</v>
      </c>
      <c r="D733" s="3">
        <v>35880</v>
      </c>
      <c r="E733" t="str">
        <f>VLOOKUP(C733,[1]Employees!$A$1:$O$10,4,FALSE)</f>
        <v>Callahan Laura</v>
      </c>
      <c r="F733">
        <f>VLOOKUP(A733,[1]!Orders,7,FALSE)</f>
        <v>2</v>
      </c>
      <c r="G733" t="str">
        <f>VLOOKUP(F733,[1]!Shippers,2,FALSE)</f>
        <v>United Package</v>
      </c>
      <c r="H733" t="str">
        <f>VLOOKUP(C733,[1]EmployeeTerritories!$A$1:$B$50,2,FALSE)</f>
        <v>19428</v>
      </c>
      <c r="I733">
        <f>VLOOKUP(C733,[1]EmployeeTerritories!$A$1:$B$50,1,FALSE)</f>
        <v>8</v>
      </c>
      <c r="J733">
        <f>VLOOKUP(H733,[1]!Territories,3,FALSE)</f>
        <v>3</v>
      </c>
      <c r="K733" t="str">
        <f>VLOOKUP(J733,[1]!Region,2,FALSE)</f>
        <v>Northern</v>
      </c>
      <c r="L733">
        <f>VLOOKUP(A733,[1]Order_Details!$A$1:$F$2156,2,FALSE)</f>
        <v>7</v>
      </c>
      <c r="M733" t="str">
        <f>VLOOKUP(L733,[1]!Products,2,FALSE)</f>
        <v>Uncle Bob's Organic Dried Pears</v>
      </c>
      <c r="N733">
        <f>VLOOKUP(L733,[1]!Products,4,FALSE)</f>
        <v>7</v>
      </c>
      <c r="O733" s="6" t="str">
        <f>VLOOKUP(N733,[1]!Categories,2,FALSE)</f>
        <v>Produce</v>
      </c>
      <c r="P733" s="6">
        <f>VLOOKUP(A733,[1]Order_Details!$A$1:$F$2156,3,FALSE)</f>
        <v>30</v>
      </c>
      <c r="Q733">
        <f>VLOOKUP(A733,[1]Order_Details!$A$1:$F$2156,4,FALSE)</f>
        <v>18</v>
      </c>
      <c r="R733">
        <f>VLOOKUP(A733,[1]Order_Details!$A$1:$F$2156,5,FALSE)</f>
        <v>0</v>
      </c>
      <c r="S733" s="6">
        <f>VLOOKUP(A733,[1]Order_Details!$A$1:$F$2156,6,FALSE)</f>
        <v>540</v>
      </c>
      <c r="T733" s="6">
        <f>VLOOKUP(A733,[1]!Orders,8,FALSE)</f>
        <v>353.07</v>
      </c>
    </row>
    <row r="734" spans="1:20" x14ac:dyDescent="0.3">
      <c r="A734" s="2">
        <v>10980</v>
      </c>
      <c r="B734" s="2" t="s">
        <v>18</v>
      </c>
      <c r="C734" s="2">
        <v>4</v>
      </c>
      <c r="D734" s="3">
        <v>35881</v>
      </c>
      <c r="E734" t="str">
        <f>VLOOKUP(C734,[1]Employees!$A$1:$O$10,4,FALSE)</f>
        <v>Peacock Margaret</v>
      </c>
      <c r="F734">
        <f>VLOOKUP(A734,[1]!Orders,7,FALSE)</f>
        <v>1</v>
      </c>
      <c r="G734" t="str">
        <f>VLOOKUP(F734,[1]!Shippers,2,FALSE)</f>
        <v>Speedy Express</v>
      </c>
      <c r="H734" t="str">
        <f>VLOOKUP(C734,[1]EmployeeTerritories!$A$1:$B$50,2,FALSE)</f>
        <v>20852</v>
      </c>
      <c r="I734">
        <f>VLOOKUP(C734,[1]EmployeeTerritories!$A$1:$B$50,1,FALSE)</f>
        <v>4</v>
      </c>
      <c r="J734">
        <f>VLOOKUP(H734,[1]!Territories,3,FALSE)</f>
        <v>1</v>
      </c>
      <c r="K734" t="str">
        <f>VLOOKUP(J734,[1]!Region,2,FALSE)</f>
        <v>Eastern</v>
      </c>
      <c r="L734">
        <f>VLOOKUP(A734,[1]Order_Details!$A$1:$F$2156,2,FALSE)</f>
        <v>75</v>
      </c>
      <c r="M734" t="str">
        <f>VLOOKUP(L734,[1]!Products,2,FALSE)</f>
        <v>Rhönbräu Klosterbier</v>
      </c>
      <c r="N734">
        <f>VLOOKUP(L734,[1]!Products,4,FALSE)</f>
        <v>1</v>
      </c>
      <c r="O734" s="6" t="str">
        <f>VLOOKUP(N734,[1]!Categories,2,FALSE)</f>
        <v>Beverages</v>
      </c>
      <c r="P734" s="6">
        <f>VLOOKUP(A734,[1]Order_Details!$A$1:$F$2156,3,FALSE)</f>
        <v>7.75</v>
      </c>
      <c r="Q734">
        <f>VLOOKUP(A734,[1]Order_Details!$A$1:$F$2156,4,FALSE)</f>
        <v>40</v>
      </c>
      <c r="R734">
        <f>VLOOKUP(A734,[1]Order_Details!$A$1:$F$2156,5,FALSE)</f>
        <v>0.20000000298023224</v>
      </c>
      <c r="S734" s="6">
        <f>VLOOKUP(A734,[1]Order_Details!$A$1:$F$2156,6,FALSE)</f>
        <v>247.99999907612801</v>
      </c>
      <c r="T734" s="6">
        <f>VLOOKUP(A734,[1]!Orders,8,FALSE)</f>
        <v>1.26</v>
      </c>
    </row>
    <row r="735" spans="1:20" x14ac:dyDescent="0.3">
      <c r="A735" s="2">
        <v>10981</v>
      </c>
      <c r="B735" s="2" t="s">
        <v>6</v>
      </c>
      <c r="C735" s="2">
        <v>1</v>
      </c>
      <c r="D735" s="3">
        <v>35881</v>
      </c>
      <c r="E735" t="str">
        <f>VLOOKUP(C735,[1]Employees!$A$1:$O$10,4,FALSE)</f>
        <v>Davolio Nancy</v>
      </c>
      <c r="F735">
        <f>VLOOKUP(A735,[1]!Orders,7,FALSE)</f>
        <v>2</v>
      </c>
      <c r="G735" t="str">
        <f>VLOOKUP(F735,[1]!Shippers,2,FALSE)</f>
        <v>United Package</v>
      </c>
      <c r="H735" t="str">
        <f>VLOOKUP(C735,[1]EmployeeTerritories!$A$1:$B$50,2,FALSE)</f>
        <v>06897</v>
      </c>
      <c r="I735">
        <f>VLOOKUP(C735,[1]EmployeeTerritories!$A$1:$B$50,1,FALSE)</f>
        <v>1</v>
      </c>
      <c r="J735">
        <f>VLOOKUP(H735,[1]!Territories,3,FALSE)</f>
        <v>1</v>
      </c>
      <c r="K735" t="str">
        <f>VLOOKUP(J735,[1]!Region,2,FALSE)</f>
        <v>Eastern</v>
      </c>
      <c r="L735">
        <f>VLOOKUP(A735,[1]Order_Details!$A$1:$F$2156,2,FALSE)</f>
        <v>38</v>
      </c>
      <c r="M735" t="str">
        <f>VLOOKUP(L735,[1]!Products,2,FALSE)</f>
        <v>Côte de Blaye</v>
      </c>
      <c r="N735">
        <f>VLOOKUP(L735,[1]!Products,4,FALSE)</f>
        <v>1</v>
      </c>
      <c r="O735" s="6" t="str">
        <f>VLOOKUP(N735,[1]!Categories,2,FALSE)</f>
        <v>Beverages</v>
      </c>
      <c r="P735" s="6">
        <f>VLOOKUP(A735,[1]Order_Details!$A$1:$F$2156,3,FALSE)</f>
        <v>263.5</v>
      </c>
      <c r="Q735">
        <f>VLOOKUP(A735,[1]Order_Details!$A$1:$F$2156,4,FALSE)</f>
        <v>60</v>
      </c>
      <c r="R735">
        <f>VLOOKUP(A735,[1]Order_Details!$A$1:$F$2156,5,FALSE)</f>
        <v>0</v>
      </c>
      <c r="S735" s="6">
        <f>VLOOKUP(A735,[1]Order_Details!$A$1:$F$2156,6,FALSE)</f>
        <v>15810</v>
      </c>
      <c r="T735" s="6">
        <f>VLOOKUP(A735,[1]!Orders,8,FALSE)</f>
        <v>193.37</v>
      </c>
    </row>
    <row r="736" spans="1:20" x14ac:dyDescent="0.3">
      <c r="A736" s="2">
        <v>10982</v>
      </c>
      <c r="B736" s="2" t="s">
        <v>70</v>
      </c>
      <c r="C736" s="2">
        <v>2</v>
      </c>
      <c r="D736" s="3">
        <v>35881</v>
      </c>
      <c r="E736" t="str">
        <f>VLOOKUP(C736,[1]Employees!$A$1:$O$10,4,FALSE)</f>
        <v>Fuller Andrew</v>
      </c>
      <c r="F736">
        <f>VLOOKUP(A736,[1]!Orders,7,FALSE)</f>
        <v>1</v>
      </c>
      <c r="G736" t="str">
        <f>VLOOKUP(F736,[1]!Shippers,2,FALSE)</f>
        <v>Speedy Express</v>
      </c>
      <c r="H736" t="str">
        <f>VLOOKUP(C736,[1]EmployeeTerritories!$A$1:$B$50,2,FALSE)</f>
        <v>01581</v>
      </c>
      <c r="I736">
        <f>VLOOKUP(C736,[1]EmployeeTerritories!$A$1:$B$50,1,FALSE)</f>
        <v>2</v>
      </c>
      <c r="J736">
        <f>VLOOKUP(H736,[1]!Territories,3,FALSE)</f>
        <v>1</v>
      </c>
      <c r="K736" t="str">
        <f>VLOOKUP(J736,[1]!Region,2,FALSE)</f>
        <v>Eastern</v>
      </c>
      <c r="L736">
        <f>VLOOKUP(A736,[1]Order_Details!$A$1:$F$2156,2,FALSE)</f>
        <v>7</v>
      </c>
      <c r="M736" t="str">
        <f>VLOOKUP(L736,[1]!Products,2,FALSE)</f>
        <v>Uncle Bob's Organic Dried Pears</v>
      </c>
      <c r="N736">
        <f>VLOOKUP(L736,[1]!Products,4,FALSE)</f>
        <v>7</v>
      </c>
      <c r="O736" s="6" t="str">
        <f>VLOOKUP(N736,[1]!Categories,2,FALSE)</f>
        <v>Produce</v>
      </c>
      <c r="P736" s="6">
        <f>VLOOKUP(A736,[1]Order_Details!$A$1:$F$2156,3,FALSE)</f>
        <v>30</v>
      </c>
      <c r="Q736">
        <f>VLOOKUP(A736,[1]Order_Details!$A$1:$F$2156,4,FALSE)</f>
        <v>20</v>
      </c>
      <c r="R736">
        <f>VLOOKUP(A736,[1]Order_Details!$A$1:$F$2156,5,FALSE)</f>
        <v>0</v>
      </c>
      <c r="S736" s="6">
        <f>VLOOKUP(A736,[1]Order_Details!$A$1:$F$2156,6,FALSE)</f>
        <v>600</v>
      </c>
      <c r="T736" s="6">
        <f>VLOOKUP(A736,[1]!Orders,8,FALSE)</f>
        <v>14.01</v>
      </c>
    </row>
    <row r="737" spans="1:20" x14ac:dyDescent="0.3">
      <c r="A737" s="2">
        <v>10983</v>
      </c>
      <c r="B737" s="2" t="s">
        <v>49</v>
      </c>
      <c r="C737" s="2">
        <v>2</v>
      </c>
      <c r="D737" s="3">
        <v>35881</v>
      </c>
      <c r="E737" t="str">
        <f>VLOOKUP(C737,[1]Employees!$A$1:$O$10,4,FALSE)</f>
        <v>Fuller Andrew</v>
      </c>
      <c r="F737">
        <f>VLOOKUP(A737,[1]!Orders,7,FALSE)</f>
        <v>2</v>
      </c>
      <c r="G737" t="str">
        <f>VLOOKUP(F737,[1]!Shippers,2,FALSE)</f>
        <v>United Package</v>
      </c>
      <c r="H737" t="str">
        <f>VLOOKUP(C737,[1]EmployeeTerritories!$A$1:$B$50,2,FALSE)</f>
        <v>01581</v>
      </c>
      <c r="I737">
        <f>VLOOKUP(C737,[1]EmployeeTerritories!$A$1:$B$50,1,FALSE)</f>
        <v>2</v>
      </c>
      <c r="J737">
        <f>VLOOKUP(H737,[1]!Territories,3,FALSE)</f>
        <v>1</v>
      </c>
      <c r="K737" t="str">
        <f>VLOOKUP(J737,[1]!Region,2,FALSE)</f>
        <v>Eastern</v>
      </c>
      <c r="L737">
        <f>VLOOKUP(A737,[1]Order_Details!$A$1:$F$2156,2,FALSE)</f>
        <v>13</v>
      </c>
      <c r="M737" t="str">
        <f>VLOOKUP(L737,[1]!Products,2,FALSE)</f>
        <v>Konbu</v>
      </c>
      <c r="N737">
        <f>VLOOKUP(L737,[1]!Products,4,FALSE)</f>
        <v>8</v>
      </c>
      <c r="O737" s="6" t="str">
        <f>VLOOKUP(N737,[1]!Categories,2,FALSE)</f>
        <v>Seafood</v>
      </c>
      <c r="P737" s="6">
        <f>VLOOKUP(A737,[1]Order_Details!$A$1:$F$2156,3,FALSE)</f>
        <v>6</v>
      </c>
      <c r="Q737">
        <f>VLOOKUP(A737,[1]Order_Details!$A$1:$F$2156,4,FALSE)</f>
        <v>84</v>
      </c>
      <c r="R737">
        <f>VLOOKUP(A737,[1]Order_Details!$A$1:$F$2156,5,FALSE)</f>
        <v>0.15000000596046448</v>
      </c>
      <c r="S737" s="6">
        <f>VLOOKUP(A737,[1]Order_Details!$A$1:$F$2156,6,FALSE)</f>
        <v>428.3999969959259</v>
      </c>
      <c r="T737" s="6">
        <f>VLOOKUP(A737,[1]!Orders,8,FALSE)</f>
        <v>657.54</v>
      </c>
    </row>
    <row r="738" spans="1:20" x14ac:dyDescent="0.3">
      <c r="A738" s="2">
        <v>10984</v>
      </c>
      <c r="B738" s="2" t="s">
        <v>49</v>
      </c>
      <c r="C738" s="2">
        <v>1</v>
      </c>
      <c r="D738" s="3">
        <v>35884</v>
      </c>
      <c r="E738" t="str">
        <f>VLOOKUP(C738,[1]Employees!$A$1:$O$10,4,FALSE)</f>
        <v>Davolio Nancy</v>
      </c>
      <c r="F738">
        <f>VLOOKUP(A738,[1]!Orders,7,FALSE)</f>
        <v>3</v>
      </c>
      <c r="G738" t="str">
        <f>VLOOKUP(F738,[1]!Shippers,2,FALSE)</f>
        <v>Federal Shipping</v>
      </c>
      <c r="H738" t="str">
        <f>VLOOKUP(C738,[1]EmployeeTerritories!$A$1:$B$50,2,FALSE)</f>
        <v>06897</v>
      </c>
      <c r="I738">
        <f>VLOOKUP(C738,[1]EmployeeTerritories!$A$1:$B$50,1,FALSE)</f>
        <v>1</v>
      </c>
      <c r="J738">
        <f>VLOOKUP(H738,[1]!Territories,3,FALSE)</f>
        <v>1</v>
      </c>
      <c r="K738" t="str">
        <f>VLOOKUP(J738,[1]!Region,2,FALSE)</f>
        <v>Eastern</v>
      </c>
      <c r="L738">
        <f>VLOOKUP(A738,[1]Order_Details!$A$1:$F$2156,2,FALSE)</f>
        <v>16</v>
      </c>
      <c r="M738" t="str">
        <f>VLOOKUP(L738,[1]!Products,2,FALSE)</f>
        <v>Pavlova</v>
      </c>
      <c r="N738">
        <f>VLOOKUP(L738,[1]!Products,4,FALSE)</f>
        <v>3</v>
      </c>
      <c r="O738" s="6" t="str">
        <f>VLOOKUP(N738,[1]!Categories,2,FALSE)</f>
        <v>Confections</v>
      </c>
      <c r="P738" s="6">
        <f>VLOOKUP(A738,[1]Order_Details!$A$1:$F$2156,3,FALSE)</f>
        <v>17.45</v>
      </c>
      <c r="Q738">
        <f>VLOOKUP(A738,[1]Order_Details!$A$1:$F$2156,4,FALSE)</f>
        <v>55</v>
      </c>
      <c r="R738">
        <f>VLOOKUP(A738,[1]Order_Details!$A$1:$F$2156,5,FALSE)</f>
        <v>0</v>
      </c>
      <c r="S738" s="6">
        <f>VLOOKUP(A738,[1]Order_Details!$A$1:$F$2156,6,FALSE)</f>
        <v>959.75</v>
      </c>
      <c r="T738" s="6">
        <f>VLOOKUP(A738,[1]!Orders,8,FALSE)</f>
        <v>211.22</v>
      </c>
    </row>
    <row r="739" spans="1:20" x14ac:dyDescent="0.3">
      <c r="A739" s="2">
        <v>10985</v>
      </c>
      <c r="B739" s="2" t="s">
        <v>38</v>
      </c>
      <c r="C739" s="2">
        <v>2</v>
      </c>
      <c r="D739" s="3">
        <v>35884</v>
      </c>
      <c r="E739" t="str">
        <f>VLOOKUP(C739,[1]Employees!$A$1:$O$10,4,FALSE)</f>
        <v>Fuller Andrew</v>
      </c>
      <c r="F739">
        <f>VLOOKUP(A739,[1]!Orders,7,FALSE)</f>
        <v>1</v>
      </c>
      <c r="G739" t="str">
        <f>VLOOKUP(F739,[1]!Shippers,2,FALSE)</f>
        <v>Speedy Express</v>
      </c>
      <c r="H739" t="str">
        <f>VLOOKUP(C739,[1]EmployeeTerritories!$A$1:$B$50,2,FALSE)</f>
        <v>01581</v>
      </c>
      <c r="I739">
        <f>VLOOKUP(C739,[1]EmployeeTerritories!$A$1:$B$50,1,FALSE)</f>
        <v>2</v>
      </c>
      <c r="J739">
        <f>VLOOKUP(H739,[1]!Territories,3,FALSE)</f>
        <v>1</v>
      </c>
      <c r="K739" t="str">
        <f>VLOOKUP(J739,[1]!Region,2,FALSE)</f>
        <v>Eastern</v>
      </c>
      <c r="L739">
        <f>VLOOKUP(A739,[1]Order_Details!$A$1:$F$2156,2,FALSE)</f>
        <v>16</v>
      </c>
      <c r="M739" t="str">
        <f>VLOOKUP(L739,[1]!Products,2,FALSE)</f>
        <v>Pavlova</v>
      </c>
      <c r="N739">
        <f>VLOOKUP(L739,[1]!Products,4,FALSE)</f>
        <v>3</v>
      </c>
      <c r="O739" s="6" t="str">
        <f>VLOOKUP(N739,[1]!Categories,2,FALSE)</f>
        <v>Confections</v>
      </c>
      <c r="P739" s="6">
        <f>VLOOKUP(A739,[1]Order_Details!$A$1:$F$2156,3,FALSE)</f>
        <v>17.45</v>
      </c>
      <c r="Q739">
        <f>VLOOKUP(A739,[1]Order_Details!$A$1:$F$2156,4,FALSE)</f>
        <v>36</v>
      </c>
      <c r="R739">
        <f>VLOOKUP(A739,[1]Order_Details!$A$1:$F$2156,5,FALSE)</f>
        <v>0.10000000149011612</v>
      </c>
      <c r="S739" s="6">
        <f>VLOOKUP(A739,[1]Order_Details!$A$1:$F$2156,6,FALSE)</f>
        <v>565.37999906390894</v>
      </c>
      <c r="T739" s="6">
        <f>VLOOKUP(A739,[1]!Orders,8,FALSE)</f>
        <v>91.51</v>
      </c>
    </row>
    <row r="740" spans="1:20" x14ac:dyDescent="0.3">
      <c r="A740" s="2">
        <v>10986</v>
      </c>
      <c r="B740" s="2" t="s">
        <v>73</v>
      </c>
      <c r="C740" s="2">
        <v>8</v>
      </c>
      <c r="D740" s="3">
        <v>35884</v>
      </c>
      <c r="E740" t="str">
        <f>VLOOKUP(C740,[1]Employees!$A$1:$O$10,4,FALSE)</f>
        <v>Callahan Laura</v>
      </c>
      <c r="F740">
        <f>VLOOKUP(A740,[1]!Orders,7,FALSE)</f>
        <v>2</v>
      </c>
      <c r="G740" t="str">
        <f>VLOOKUP(F740,[1]!Shippers,2,FALSE)</f>
        <v>United Package</v>
      </c>
      <c r="H740" t="str">
        <f>VLOOKUP(C740,[1]EmployeeTerritories!$A$1:$B$50,2,FALSE)</f>
        <v>19428</v>
      </c>
      <c r="I740">
        <f>VLOOKUP(C740,[1]EmployeeTerritories!$A$1:$B$50,1,FALSE)</f>
        <v>8</v>
      </c>
      <c r="J740">
        <f>VLOOKUP(H740,[1]!Territories,3,FALSE)</f>
        <v>3</v>
      </c>
      <c r="K740" t="str">
        <f>VLOOKUP(J740,[1]!Region,2,FALSE)</f>
        <v>Northern</v>
      </c>
      <c r="L740">
        <f>VLOOKUP(A740,[1]Order_Details!$A$1:$F$2156,2,FALSE)</f>
        <v>11</v>
      </c>
      <c r="M740" t="str">
        <f>VLOOKUP(L740,[1]!Products,2,FALSE)</f>
        <v>Queso Cabrales</v>
      </c>
      <c r="N740">
        <f>VLOOKUP(L740,[1]!Products,4,FALSE)</f>
        <v>4</v>
      </c>
      <c r="O740" s="6" t="str">
        <f>VLOOKUP(N740,[1]!Categories,2,FALSE)</f>
        <v>Dairy Products</v>
      </c>
      <c r="P740" s="6">
        <f>VLOOKUP(A740,[1]Order_Details!$A$1:$F$2156,3,FALSE)</f>
        <v>21</v>
      </c>
      <c r="Q740">
        <f>VLOOKUP(A740,[1]Order_Details!$A$1:$F$2156,4,FALSE)</f>
        <v>30</v>
      </c>
      <c r="R740">
        <f>VLOOKUP(A740,[1]Order_Details!$A$1:$F$2156,5,FALSE)</f>
        <v>0</v>
      </c>
      <c r="S740" s="6">
        <f>VLOOKUP(A740,[1]Order_Details!$A$1:$F$2156,6,FALSE)</f>
        <v>630</v>
      </c>
      <c r="T740" s="6">
        <f>VLOOKUP(A740,[1]!Orders,8,FALSE)</f>
        <v>217.86</v>
      </c>
    </row>
    <row r="741" spans="1:20" x14ac:dyDescent="0.3">
      <c r="A741" s="2">
        <v>10987</v>
      </c>
      <c r="B741" s="2" t="s">
        <v>62</v>
      </c>
      <c r="C741" s="2">
        <v>8</v>
      </c>
      <c r="D741" s="3">
        <v>35885</v>
      </c>
      <c r="E741" t="str">
        <f>VLOOKUP(C741,[1]Employees!$A$1:$O$10,4,FALSE)</f>
        <v>Callahan Laura</v>
      </c>
      <c r="F741">
        <f>VLOOKUP(A741,[1]!Orders,7,FALSE)</f>
        <v>1</v>
      </c>
      <c r="G741" t="str">
        <f>VLOOKUP(F741,[1]!Shippers,2,FALSE)</f>
        <v>Speedy Express</v>
      </c>
      <c r="H741" t="str">
        <f>VLOOKUP(C741,[1]EmployeeTerritories!$A$1:$B$50,2,FALSE)</f>
        <v>19428</v>
      </c>
      <c r="I741">
        <f>VLOOKUP(C741,[1]EmployeeTerritories!$A$1:$B$50,1,FALSE)</f>
        <v>8</v>
      </c>
      <c r="J741">
        <f>VLOOKUP(H741,[1]!Territories,3,FALSE)</f>
        <v>3</v>
      </c>
      <c r="K741" t="str">
        <f>VLOOKUP(J741,[1]!Region,2,FALSE)</f>
        <v>Northern</v>
      </c>
      <c r="L741">
        <f>VLOOKUP(A741,[1]Order_Details!$A$1:$F$2156,2,FALSE)</f>
        <v>7</v>
      </c>
      <c r="M741" t="str">
        <f>VLOOKUP(L741,[1]!Products,2,FALSE)</f>
        <v>Uncle Bob's Organic Dried Pears</v>
      </c>
      <c r="N741">
        <f>VLOOKUP(L741,[1]!Products,4,FALSE)</f>
        <v>7</v>
      </c>
      <c r="O741" s="6" t="str">
        <f>VLOOKUP(N741,[1]!Categories,2,FALSE)</f>
        <v>Produce</v>
      </c>
      <c r="P741" s="6">
        <f>VLOOKUP(A741,[1]Order_Details!$A$1:$F$2156,3,FALSE)</f>
        <v>30</v>
      </c>
      <c r="Q741">
        <f>VLOOKUP(A741,[1]Order_Details!$A$1:$F$2156,4,FALSE)</f>
        <v>60</v>
      </c>
      <c r="R741">
        <f>VLOOKUP(A741,[1]Order_Details!$A$1:$F$2156,5,FALSE)</f>
        <v>0</v>
      </c>
      <c r="S741" s="6">
        <f>VLOOKUP(A741,[1]Order_Details!$A$1:$F$2156,6,FALSE)</f>
        <v>1800</v>
      </c>
      <c r="T741" s="6">
        <f>VLOOKUP(A741,[1]!Orders,8,FALSE)</f>
        <v>185.48</v>
      </c>
    </row>
    <row r="742" spans="1:20" x14ac:dyDescent="0.3">
      <c r="A742" s="2">
        <v>10988</v>
      </c>
      <c r="B742" s="2" t="s">
        <v>17</v>
      </c>
      <c r="C742" s="2">
        <v>3</v>
      </c>
      <c r="D742" s="3">
        <v>35885</v>
      </c>
      <c r="E742" t="str">
        <f>VLOOKUP(C742,[1]Employees!$A$1:$O$10,4,FALSE)</f>
        <v>Leverling Janet</v>
      </c>
      <c r="F742">
        <f>VLOOKUP(A742,[1]!Orders,7,FALSE)</f>
        <v>2</v>
      </c>
      <c r="G742" t="str">
        <f>VLOOKUP(F742,[1]!Shippers,2,FALSE)</f>
        <v>United Package</v>
      </c>
      <c r="H742" t="str">
        <f>VLOOKUP(C742,[1]EmployeeTerritories!$A$1:$B$50,2,FALSE)</f>
        <v>30346</v>
      </c>
      <c r="I742">
        <f>VLOOKUP(C742,[1]EmployeeTerritories!$A$1:$B$50,1,FALSE)</f>
        <v>3</v>
      </c>
      <c r="J742">
        <f>VLOOKUP(H742,[1]!Territories,3,FALSE)</f>
        <v>4</v>
      </c>
      <c r="K742" t="str">
        <f>VLOOKUP(J742,[1]!Region,2,FALSE)</f>
        <v>Southern</v>
      </c>
      <c r="L742">
        <f>VLOOKUP(A742,[1]Order_Details!$A$1:$F$2156,2,FALSE)</f>
        <v>7</v>
      </c>
      <c r="M742" t="str">
        <f>VLOOKUP(L742,[1]!Products,2,FALSE)</f>
        <v>Uncle Bob's Organic Dried Pears</v>
      </c>
      <c r="N742">
        <f>VLOOKUP(L742,[1]!Products,4,FALSE)</f>
        <v>7</v>
      </c>
      <c r="O742" s="6" t="str">
        <f>VLOOKUP(N742,[1]!Categories,2,FALSE)</f>
        <v>Produce</v>
      </c>
      <c r="P742" s="6">
        <f>VLOOKUP(A742,[1]Order_Details!$A$1:$F$2156,3,FALSE)</f>
        <v>30</v>
      </c>
      <c r="Q742">
        <f>VLOOKUP(A742,[1]Order_Details!$A$1:$F$2156,4,FALSE)</f>
        <v>60</v>
      </c>
      <c r="R742">
        <f>VLOOKUP(A742,[1]Order_Details!$A$1:$F$2156,5,FALSE)</f>
        <v>0</v>
      </c>
      <c r="S742" s="6">
        <f>VLOOKUP(A742,[1]Order_Details!$A$1:$F$2156,6,FALSE)</f>
        <v>1800</v>
      </c>
      <c r="T742" s="6">
        <f>VLOOKUP(A742,[1]!Orders,8,FALSE)</f>
        <v>61.14</v>
      </c>
    </row>
    <row r="743" spans="1:20" x14ac:dyDescent="0.3">
      <c r="A743" s="2">
        <v>10989</v>
      </c>
      <c r="B743" s="2" t="s">
        <v>16</v>
      </c>
      <c r="C743" s="2">
        <v>2</v>
      </c>
      <c r="D743" s="3">
        <v>35885</v>
      </c>
      <c r="E743" t="str">
        <f>VLOOKUP(C743,[1]Employees!$A$1:$O$10,4,FALSE)</f>
        <v>Fuller Andrew</v>
      </c>
      <c r="F743">
        <f>VLOOKUP(A743,[1]!Orders,7,FALSE)</f>
        <v>1</v>
      </c>
      <c r="G743" t="str">
        <f>VLOOKUP(F743,[1]!Shippers,2,FALSE)</f>
        <v>Speedy Express</v>
      </c>
      <c r="H743" t="str">
        <f>VLOOKUP(C743,[1]EmployeeTerritories!$A$1:$B$50,2,FALSE)</f>
        <v>01581</v>
      </c>
      <c r="I743">
        <f>VLOOKUP(C743,[1]EmployeeTerritories!$A$1:$B$50,1,FALSE)</f>
        <v>2</v>
      </c>
      <c r="J743">
        <f>VLOOKUP(H743,[1]!Territories,3,FALSE)</f>
        <v>1</v>
      </c>
      <c r="K743" t="str">
        <f>VLOOKUP(J743,[1]!Region,2,FALSE)</f>
        <v>Eastern</v>
      </c>
      <c r="L743">
        <f>VLOOKUP(A743,[1]Order_Details!$A$1:$F$2156,2,FALSE)</f>
        <v>6</v>
      </c>
      <c r="M743" t="str">
        <f>VLOOKUP(L743,[1]!Products,2,FALSE)</f>
        <v>Grandma's Boysenberry Spread</v>
      </c>
      <c r="N743">
        <f>VLOOKUP(L743,[1]!Products,4,FALSE)</f>
        <v>2</v>
      </c>
      <c r="O743" s="6" t="str">
        <f>VLOOKUP(N743,[1]!Categories,2,FALSE)</f>
        <v>Condiments</v>
      </c>
      <c r="P743" s="6">
        <f>VLOOKUP(A743,[1]Order_Details!$A$1:$F$2156,3,FALSE)</f>
        <v>25</v>
      </c>
      <c r="Q743">
        <f>VLOOKUP(A743,[1]Order_Details!$A$1:$F$2156,4,FALSE)</f>
        <v>40</v>
      </c>
      <c r="R743">
        <f>VLOOKUP(A743,[1]Order_Details!$A$1:$F$2156,5,FALSE)</f>
        <v>0</v>
      </c>
      <c r="S743" s="6">
        <f>VLOOKUP(A743,[1]Order_Details!$A$1:$F$2156,6,FALSE)</f>
        <v>1000</v>
      </c>
      <c r="T743" s="6">
        <f>VLOOKUP(A743,[1]!Orders,8,FALSE)</f>
        <v>34.76</v>
      </c>
    </row>
    <row r="744" spans="1:20" x14ac:dyDescent="0.3">
      <c r="A744" s="2">
        <v>10990</v>
      </c>
      <c r="B744" s="2" t="s">
        <v>13</v>
      </c>
      <c r="C744" s="2">
        <v>2</v>
      </c>
      <c r="D744" s="3">
        <v>35886</v>
      </c>
      <c r="E744" t="str">
        <f>VLOOKUP(C744,[1]Employees!$A$1:$O$10,4,FALSE)</f>
        <v>Fuller Andrew</v>
      </c>
      <c r="F744">
        <f>VLOOKUP(A744,[1]!Orders,7,FALSE)</f>
        <v>3</v>
      </c>
      <c r="G744" t="str">
        <f>VLOOKUP(F744,[1]!Shippers,2,FALSE)</f>
        <v>Federal Shipping</v>
      </c>
      <c r="H744" t="str">
        <f>VLOOKUP(C744,[1]EmployeeTerritories!$A$1:$B$50,2,FALSE)</f>
        <v>01581</v>
      </c>
      <c r="I744">
        <f>VLOOKUP(C744,[1]EmployeeTerritories!$A$1:$B$50,1,FALSE)</f>
        <v>2</v>
      </c>
      <c r="J744">
        <f>VLOOKUP(H744,[1]!Territories,3,FALSE)</f>
        <v>1</v>
      </c>
      <c r="K744" t="str">
        <f>VLOOKUP(J744,[1]!Region,2,FALSE)</f>
        <v>Eastern</v>
      </c>
      <c r="L744">
        <f>VLOOKUP(A744,[1]Order_Details!$A$1:$F$2156,2,FALSE)</f>
        <v>21</v>
      </c>
      <c r="M744" t="str">
        <f>VLOOKUP(L744,[1]!Products,2,FALSE)</f>
        <v>Sir Rodney's Scones</v>
      </c>
      <c r="N744">
        <f>VLOOKUP(L744,[1]!Products,4,FALSE)</f>
        <v>3</v>
      </c>
      <c r="O744" s="6" t="str">
        <f>VLOOKUP(N744,[1]!Categories,2,FALSE)</f>
        <v>Confections</v>
      </c>
      <c r="P744" s="6">
        <f>VLOOKUP(A744,[1]Order_Details!$A$1:$F$2156,3,FALSE)</f>
        <v>10</v>
      </c>
      <c r="Q744">
        <f>VLOOKUP(A744,[1]Order_Details!$A$1:$F$2156,4,FALSE)</f>
        <v>65</v>
      </c>
      <c r="R744">
        <f>VLOOKUP(A744,[1]Order_Details!$A$1:$F$2156,5,FALSE)</f>
        <v>0</v>
      </c>
      <c r="S744" s="6">
        <f>VLOOKUP(A744,[1]Order_Details!$A$1:$F$2156,6,FALSE)</f>
        <v>650</v>
      </c>
      <c r="T744" s="6">
        <f>VLOOKUP(A744,[1]!Orders,8,FALSE)</f>
        <v>117.61</v>
      </c>
    </row>
    <row r="745" spans="1:20" x14ac:dyDescent="0.3">
      <c r="A745" s="2">
        <v>10991</v>
      </c>
      <c r="B745" s="2" t="s">
        <v>25</v>
      </c>
      <c r="C745" s="2">
        <v>1</v>
      </c>
      <c r="D745" s="3">
        <v>35886</v>
      </c>
      <c r="E745" t="str">
        <f>VLOOKUP(C745,[1]Employees!$A$1:$O$10,4,FALSE)</f>
        <v>Davolio Nancy</v>
      </c>
      <c r="F745">
        <f>VLOOKUP(A745,[1]!Orders,7,FALSE)</f>
        <v>1</v>
      </c>
      <c r="G745" t="str">
        <f>VLOOKUP(F745,[1]!Shippers,2,FALSE)</f>
        <v>Speedy Express</v>
      </c>
      <c r="H745" t="str">
        <f>VLOOKUP(C745,[1]EmployeeTerritories!$A$1:$B$50,2,FALSE)</f>
        <v>06897</v>
      </c>
      <c r="I745">
        <f>VLOOKUP(C745,[1]EmployeeTerritories!$A$1:$B$50,1,FALSE)</f>
        <v>1</v>
      </c>
      <c r="J745">
        <f>VLOOKUP(H745,[1]!Territories,3,FALSE)</f>
        <v>1</v>
      </c>
      <c r="K745" t="str">
        <f>VLOOKUP(J745,[1]!Region,2,FALSE)</f>
        <v>Eastern</v>
      </c>
      <c r="L745">
        <f>VLOOKUP(A745,[1]Order_Details!$A$1:$F$2156,2,FALSE)</f>
        <v>2</v>
      </c>
      <c r="M745" t="str">
        <f>VLOOKUP(L745,[1]!Products,2,FALSE)</f>
        <v>Chang</v>
      </c>
      <c r="N745">
        <f>VLOOKUP(L745,[1]!Products,4,FALSE)</f>
        <v>1</v>
      </c>
      <c r="O745" s="6" t="str">
        <f>VLOOKUP(N745,[1]!Categories,2,FALSE)</f>
        <v>Beverages</v>
      </c>
      <c r="P745" s="6">
        <f>VLOOKUP(A745,[1]Order_Details!$A$1:$F$2156,3,FALSE)</f>
        <v>19</v>
      </c>
      <c r="Q745">
        <f>VLOOKUP(A745,[1]Order_Details!$A$1:$F$2156,4,FALSE)</f>
        <v>50</v>
      </c>
      <c r="R745">
        <f>VLOOKUP(A745,[1]Order_Details!$A$1:$F$2156,5,FALSE)</f>
        <v>0.20000000298023224</v>
      </c>
      <c r="S745" s="6">
        <f>VLOOKUP(A745,[1]Order_Details!$A$1:$F$2156,6,FALSE)</f>
        <v>759.99999716877937</v>
      </c>
      <c r="T745" s="6">
        <f>VLOOKUP(A745,[1]!Orders,8,FALSE)</f>
        <v>38.51</v>
      </c>
    </row>
    <row r="746" spans="1:20" x14ac:dyDescent="0.3">
      <c r="A746" s="2">
        <v>10992</v>
      </c>
      <c r="B746" s="2" t="s">
        <v>44</v>
      </c>
      <c r="C746" s="2">
        <v>1</v>
      </c>
      <c r="D746" s="3">
        <v>35886</v>
      </c>
      <c r="E746" t="str">
        <f>VLOOKUP(C746,[1]Employees!$A$1:$O$10,4,FALSE)</f>
        <v>Davolio Nancy</v>
      </c>
      <c r="F746">
        <f>VLOOKUP(A746,[1]!Orders,7,FALSE)</f>
        <v>3</v>
      </c>
      <c r="G746" t="str">
        <f>VLOOKUP(F746,[1]!Shippers,2,FALSE)</f>
        <v>Federal Shipping</v>
      </c>
      <c r="H746" t="str">
        <f>VLOOKUP(C746,[1]EmployeeTerritories!$A$1:$B$50,2,FALSE)</f>
        <v>06897</v>
      </c>
      <c r="I746">
        <f>VLOOKUP(C746,[1]EmployeeTerritories!$A$1:$B$50,1,FALSE)</f>
        <v>1</v>
      </c>
      <c r="J746">
        <f>VLOOKUP(H746,[1]!Territories,3,FALSE)</f>
        <v>1</v>
      </c>
      <c r="K746" t="str">
        <f>VLOOKUP(J746,[1]!Region,2,FALSE)</f>
        <v>Eastern</v>
      </c>
      <c r="L746">
        <f>VLOOKUP(A746,[1]Order_Details!$A$1:$F$2156,2,FALSE)</f>
        <v>72</v>
      </c>
      <c r="M746" t="str">
        <f>VLOOKUP(L746,[1]!Products,2,FALSE)</f>
        <v>Mozzarella di Giovanni</v>
      </c>
      <c r="N746">
        <f>VLOOKUP(L746,[1]!Products,4,FALSE)</f>
        <v>4</v>
      </c>
      <c r="O746" s="6" t="str">
        <f>VLOOKUP(N746,[1]!Categories,2,FALSE)</f>
        <v>Dairy Products</v>
      </c>
      <c r="P746" s="6">
        <f>VLOOKUP(A746,[1]Order_Details!$A$1:$F$2156,3,FALSE)</f>
        <v>34.799999999999997</v>
      </c>
      <c r="Q746">
        <f>VLOOKUP(A746,[1]Order_Details!$A$1:$F$2156,4,FALSE)</f>
        <v>2</v>
      </c>
      <c r="R746">
        <f>VLOOKUP(A746,[1]Order_Details!$A$1:$F$2156,5,FALSE)</f>
        <v>0</v>
      </c>
      <c r="S746" s="6">
        <f>VLOOKUP(A746,[1]Order_Details!$A$1:$F$2156,6,FALSE)</f>
        <v>69.599999999999994</v>
      </c>
      <c r="T746" s="6">
        <f>VLOOKUP(A746,[1]!Orders,8,FALSE)</f>
        <v>4.2699999999999996</v>
      </c>
    </row>
    <row r="747" spans="1:20" x14ac:dyDescent="0.3">
      <c r="A747" s="2">
        <v>10993</v>
      </c>
      <c r="B747" s="2" t="s">
        <v>18</v>
      </c>
      <c r="C747" s="2">
        <v>7</v>
      </c>
      <c r="D747" s="3">
        <v>35886</v>
      </c>
      <c r="E747" t="str">
        <f>VLOOKUP(C747,[1]Employees!$A$1:$O$10,4,FALSE)</f>
        <v>King Robert</v>
      </c>
      <c r="F747">
        <f>VLOOKUP(A747,[1]!Orders,7,FALSE)</f>
        <v>3</v>
      </c>
      <c r="G747" t="str">
        <f>VLOOKUP(F747,[1]!Shippers,2,FALSE)</f>
        <v>Federal Shipping</v>
      </c>
      <c r="H747" t="str">
        <f>VLOOKUP(C747,[1]EmployeeTerritories!$A$1:$B$50,2,FALSE)</f>
        <v>60179</v>
      </c>
      <c r="I747">
        <f>VLOOKUP(C747,[1]EmployeeTerritories!$A$1:$B$50,1,FALSE)</f>
        <v>7</v>
      </c>
      <c r="J747">
        <f>VLOOKUP(H747,[1]!Territories,3,FALSE)</f>
        <v>2</v>
      </c>
      <c r="K747" t="str">
        <f>VLOOKUP(J747,[1]!Region,2,FALSE)</f>
        <v>Western</v>
      </c>
      <c r="L747">
        <f>VLOOKUP(A747,[1]Order_Details!$A$1:$F$2156,2,FALSE)</f>
        <v>29</v>
      </c>
      <c r="M747" t="str">
        <f>VLOOKUP(L747,[1]!Products,2,FALSE)</f>
        <v>Thüringer Rostbratwurst</v>
      </c>
      <c r="N747">
        <f>VLOOKUP(L747,[1]!Products,4,FALSE)</f>
        <v>6</v>
      </c>
      <c r="O747" s="6" t="str">
        <f>VLOOKUP(N747,[1]!Categories,2,FALSE)</f>
        <v>Meat/Poultry</v>
      </c>
      <c r="P747" s="6">
        <f>VLOOKUP(A747,[1]Order_Details!$A$1:$F$2156,3,FALSE)</f>
        <v>123.79</v>
      </c>
      <c r="Q747">
        <f>VLOOKUP(A747,[1]Order_Details!$A$1:$F$2156,4,FALSE)</f>
        <v>50</v>
      </c>
      <c r="R747">
        <f>VLOOKUP(A747,[1]Order_Details!$A$1:$F$2156,5,FALSE)</f>
        <v>0.25</v>
      </c>
      <c r="S747" s="6">
        <f>VLOOKUP(A747,[1]Order_Details!$A$1:$F$2156,6,FALSE)</f>
        <v>4642.125</v>
      </c>
      <c r="T747" s="6">
        <f>VLOOKUP(A747,[1]!Orders,8,FALSE)</f>
        <v>8.81</v>
      </c>
    </row>
    <row r="748" spans="1:20" x14ac:dyDescent="0.3">
      <c r="A748" s="2">
        <v>10994</v>
      </c>
      <c r="B748" s="2" t="s">
        <v>65</v>
      </c>
      <c r="C748" s="2">
        <v>2</v>
      </c>
      <c r="D748" s="3">
        <v>35887</v>
      </c>
      <c r="E748" t="str">
        <f>VLOOKUP(C748,[1]Employees!$A$1:$O$10,4,FALSE)</f>
        <v>Fuller Andrew</v>
      </c>
      <c r="F748">
        <f>VLOOKUP(A748,[1]!Orders,7,FALSE)</f>
        <v>3</v>
      </c>
      <c r="G748" t="str">
        <f>VLOOKUP(F748,[1]!Shippers,2,FALSE)</f>
        <v>Federal Shipping</v>
      </c>
      <c r="H748" t="str">
        <f>VLOOKUP(C748,[1]EmployeeTerritories!$A$1:$B$50,2,FALSE)</f>
        <v>01581</v>
      </c>
      <c r="I748">
        <f>VLOOKUP(C748,[1]EmployeeTerritories!$A$1:$B$50,1,FALSE)</f>
        <v>2</v>
      </c>
      <c r="J748">
        <f>VLOOKUP(H748,[1]!Territories,3,FALSE)</f>
        <v>1</v>
      </c>
      <c r="K748" t="str">
        <f>VLOOKUP(J748,[1]!Region,2,FALSE)</f>
        <v>Eastern</v>
      </c>
      <c r="L748">
        <f>VLOOKUP(A748,[1]Order_Details!$A$1:$F$2156,2,FALSE)</f>
        <v>59</v>
      </c>
      <c r="M748" t="str">
        <f>VLOOKUP(L748,[1]!Products,2,FALSE)</f>
        <v>Raclette Courdavault</v>
      </c>
      <c r="N748">
        <f>VLOOKUP(L748,[1]!Products,4,FALSE)</f>
        <v>4</v>
      </c>
      <c r="O748" s="6" t="str">
        <f>VLOOKUP(N748,[1]!Categories,2,FALSE)</f>
        <v>Dairy Products</v>
      </c>
      <c r="P748" s="6">
        <f>VLOOKUP(A748,[1]Order_Details!$A$1:$F$2156,3,FALSE)</f>
        <v>55</v>
      </c>
      <c r="Q748">
        <f>VLOOKUP(A748,[1]Order_Details!$A$1:$F$2156,4,FALSE)</f>
        <v>18</v>
      </c>
      <c r="R748">
        <f>VLOOKUP(A748,[1]Order_Details!$A$1:$F$2156,5,FALSE)</f>
        <v>5.000000074505806E-2</v>
      </c>
      <c r="S748" s="6">
        <f>VLOOKUP(A748,[1]Order_Details!$A$1:$F$2156,6,FALSE)</f>
        <v>940.49999926239252</v>
      </c>
      <c r="T748" s="6">
        <f>VLOOKUP(A748,[1]!Orders,8,FALSE)</f>
        <v>65.53</v>
      </c>
    </row>
    <row r="749" spans="1:20" x14ac:dyDescent="0.3">
      <c r="A749" s="2">
        <v>10995</v>
      </c>
      <c r="B749" s="2" t="s">
        <v>47</v>
      </c>
      <c r="C749" s="2">
        <v>1</v>
      </c>
      <c r="D749" s="3">
        <v>35887</v>
      </c>
      <c r="E749" t="str">
        <f>VLOOKUP(C749,[1]Employees!$A$1:$O$10,4,FALSE)</f>
        <v>Davolio Nancy</v>
      </c>
      <c r="F749">
        <f>VLOOKUP(A749,[1]!Orders,7,FALSE)</f>
        <v>3</v>
      </c>
      <c r="G749" t="str">
        <f>VLOOKUP(F749,[1]!Shippers,2,FALSE)</f>
        <v>Federal Shipping</v>
      </c>
      <c r="H749" t="str">
        <f>VLOOKUP(C749,[1]EmployeeTerritories!$A$1:$B$50,2,FALSE)</f>
        <v>06897</v>
      </c>
      <c r="I749">
        <f>VLOOKUP(C749,[1]EmployeeTerritories!$A$1:$B$50,1,FALSE)</f>
        <v>1</v>
      </c>
      <c r="J749">
        <f>VLOOKUP(H749,[1]!Territories,3,FALSE)</f>
        <v>1</v>
      </c>
      <c r="K749" t="str">
        <f>VLOOKUP(J749,[1]!Region,2,FALSE)</f>
        <v>Eastern</v>
      </c>
      <c r="L749">
        <f>VLOOKUP(A749,[1]Order_Details!$A$1:$F$2156,2,FALSE)</f>
        <v>51</v>
      </c>
      <c r="M749" t="str">
        <f>VLOOKUP(L749,[1]!Products,2,FALSE)</f>
        <v>Manjimup Dried Apples</v>
      </c>
      <c r="N749">
        <f>VLOOKUP(L749,[1]!Products,4,FALSE)</f>
        <v>7</v>
      </c>
      <c r="O749" s="6" t="str">
        <f>VLOOKUP(N749,[1]!Categories,2,FALSE)</f>
        <v>Produce</v>
      </c>
      <c r="P749" s="6">
        <f>VLOOKUP(A749,[1]Order_Details!$A$1:$F$2156,3,FALSE)</f>
        <v>53</v>
      </c>
      <c r="Q749">
        <f>VLOOKUP(A749,[1]Order_Details!$A$1:$F$2156,4,FALSE)</f>
        <v>20</v>
      </c>
      <c r="R749">
        <f>VLOOKUP(A749,[1]Order_Details!$A$1:$F$2156,5,FALSE)</f>
        <v>0</v>
      </c>
      <c r="S749" s="6">
        <f>VLOOKUP(A749,[1]Order_Details!$A$1:$F$2156,6,FALSE)</f>
        <v>1060</v>
      </c>
      <c r="T749" s="6">
        <f>VLOOKUP(A749,[1]!Orders,8,FALSE)</f>
        <v>46</v>
      </c>
    </row>
    <row r="750" spans="1:20" x14ac:dyDescent="0.3">
      <c r="A750" s="2">
        <v>10996</v>
      </c>
      <c r="B750" s="2" t="s">
        <v>25</v>
      </c>
      <c r="C750" s="2">
        <v>4</v>
      </c>
      <c r="D750" s="3">
        <v>35887</v>
      </c>
      <c r="E750" t="str">
        <f>VLOOKUP(C750,[1]Employees!$A$1:$O$10,4,FALSE)</f>
        <v>Peacock Margaret</v>
      </c>
      <c r="F750">
        <f>VLOOKUP(A750,[1]!Orders,7,FALSE)</f>
        <v>2</v>
      </c>
      <c r="G750" t="str">
        <f>VLOOKUP(F750,[1]!Shippers,2,FALSE)</f>
        <v>United Package</v>
      </c>
      <c r="H750" t="str">
        <f>VLOOKUP(C750,[1]EmployeeTerritories!$A$1:$B$50,2,FALSE)</f>
        <v>20852</v>
      </c>
      <c r="I750">
        <f>VLOOKUP(C750,[1]EmployeeTerritories!$A$1:$B$50,1,FALSE)</f>
        <v>4</v>
      </c>
      <c r="J750">
        <f>VLOOKUP(H750,[1]!Territories,3,FALSE)</f>
        <v>1</v>
      </c>
      <c r="K750" t="str">
        <f>VLOOKUP(J750,[1]!Region,2,FALSE)</f>
        <v>Eastern</v>
      </c>
      <c r="L750">
        <f>VLOOKUP(A750,[1]Order_Details!$A$1:$F$2156,2,FALSE)</f>
        <v>42</v>
      </c>
      <c r="M750" t="str">
        <f>VLOOKUP(L750,[1]!Products,2,FALSE)</f>
        <v>Singaporean Hokkien Fried Mee</v>
      </c>
      <c r="N750">
        <f>VLOOKUP(L750,[1]!Products,4,FALSE)</f>
        <v>5</v>
      </c>
      <c r="O750" s="6" t="str">
        <f>VLOOKUP(N750,[1]!Categories,2,FALSE)</f>
        <v>Grains/Cereals</v>
      </c>
      <c r="P750" s="6">
        <f>VLOOKUP(A750,[1]Order_Details!$A$1:$F$2156,3,FALSE)</f>
        <v>14</v>
      </c>
      <c r="Q750">
        <f>VLOOKUP(A750,[1]Order_Details!$A$1:$F$2156,4,FALSE)</f>
        <v>40</v>
      </c>
      <c r="R750">
        <f>VLOOKUP(A750,[1]Order_Details!$A$1:$F$2156,5,FALSE)</f>
        <v>0</v>
      </c>
      <c r="S750" s="6">
        <f>VLOOKUP(A750,[1]Order_Details!$A$1:$F$2156,6,FALSE)</f>
        <v>560</v>
      </c>
      <c r="T750" s="6">
        <f>VLOOKUP(A750,[1]!Orders,8,FALSE)</f>
        <v>1.1200000000000001</v>
      </c>
    </row>
    <row r="751" spans="1:20" x14ac:dyDescent="0.3">
      <c r="A751" s="2">
        <v>10997</v>
      </c>
      <c r="B751" s="2" t="s">
        <v>32</v>
      </c>
      <c r="C751" s="2">
        <v>8</v>
      </c>
      <c r="D751" s="3">
        <v>35888</v>
      </c>
      <c r="E751" t="str">
        <f>VLOOKUP(C751,[1]Employees!$A$1:$O$10,4,FALSE)</f>
        <v>Callahan Laura</v>
      </c>
      <c r="F751">
        <f>VLOOKUP(A751,[1]!Orders,7,FALSE)</f>
        <v>2</v>
      </c>
      <c r="G751" t="str">
        <f>VLOOKUP(F751,[1]!Shippers,2,FALSE)</f>
        <v>United Package</v>
      </c>
      <c r="H751" t="str">
        <f>VLOOKUP(C751,[1]EmployeeTerritories!$A$1:$B$50,2,FALSE)</f>
        <v>19428</v>
      </c>
      <c r="I751">
        <f>VLOOKUP(C751,[1]EmployeeTerritories!$A$1:$B$50,1,FALSE)</f>
        <v>8</v>
      </c>
      <c r="J751">
        <f>VLOOKUP(H751,[1]!Territories,3,FALSE)</f>
        <v>3</v>
      </c>
      <c r="K751" t="str">
        <f>VLOOKUP(J751,[1]!Region,2,FALSE)</f>
        <v>Northern</v>
      </c>
      <c r="L751">
        <f>VLOOKUP(A751,[1]Order_Details!$A$1:$F$2156,2,FALSE)</f>
        <v>32</v>
      </c>
      <c r="M751" t="str">
        <f>VLOOKUP(L751,[1]!Products,2,FALSE)</f>
        <v>Mascarpone Fabioli</v>
      </c>
      <c r="N751">
        <f>VLOOKUP(L751,[1]!Products,4,FALSE)</f>
        <v>4</v>
      </c>
      <c r="O751" s="6" t="str">
        <f>VLOOKUP(N751,[1]!Categories,2,FALSE)</f>
        <v>Dairy Products</v>
      </c>
      <c r="P751" s="6">
        <f>VLOOKUP(A751,[1]Order_Details!$A$1:$F$2156,3,FALSE)</f>
        <v>32</v>
      </c>
      <c r="Q751">
        <f>VLOOKUP(A751,[1]Order_Details!$A$1:$F$2156,4,FALSE)</f>
        <v>50</v>
      </c>
      <c r="R751">
        <f>VLOOKUP(A751,[1]Order_Details!$A$1:$F$2156,5,FALSE)</f>
        <v>0</v>
      </c>
      <c r="S751" s="6">
        <f>VLOOKUP(A751,[1]Order_Details!$A$1:$F$2156,6,FALSE)</f>
        <v>1600</v>
      </c>
      <c r="T751" s="6">
        <f>VLOOKUP(A751,[1]!Orders,8,FALSE)</f>
        <v>73.91</v>
      </c>
    </row>
    <row r="752" spans="1:20" x14ac:dyDescent="0.3">
      <c r="A752" s="2">
        <v>10998</v>
      </c>
      <c r="B752" s="2" t="s">
        <v>67</v>
      </c>
      <c r="C752" s="2">
        <v>8</v>
      </c>
      <c r="D752" s="3">
        <v>35888</v>
      </c>
      <c r="E752" t="str">
        <f>VLOOKUP(C752,[1]Employees!$A$1:$O$10,4,FALSE)</f>
        <v>Callahan Laura</v>
      </c>
      <c r="F752">
        <f>VLOOKUP(A752,[1]!Orders,7,FALSE)</f>
        <v>2</v>
      </c>
      <c r="G752" t="str">
        <f>VLOOKUP(F752,[1]!Shippers,2,FALSE)</f>
        <v>United Package</v>
      </c>
      <c r="H752" t="str">
        <f>VLOOKUP(C752,[1]EmployeeTerritories!$A$1:$B$50,2,FALSE)</f>
        <v>19428</v>
      </c>
      <c r="I752">
        <f>VLOOKUP(C752,[1]EmployeeTerritories!$A$1:$B$50,1,FALSE)</f>
        <v>8</v>
      </c>
      <c r="J752">
        <f>VLOOKUP(H752,[1]!Territories,3,FALSE)</f>
        <v>3</v>
      </c>
      <c r="K752" t="str">
        <f>VLOOKUP(J752,[1]!Region,2,FALSE)</f>
        <v>Northern</v>
      </c>
      <c r="L752">
        <f>VLOOKUP(A752,[1]Order_Details!$A$1:$F$2156,2,FALSE)</f>
        <v>24</v>
      </c>
      <c r="M752" t="str">
        <f>VLOOKUP(L752,[1]!Products,2,FALSE)</f>
        <v>Guaraná Fantástica</v>
      </c>
      <c r="N752">
        <f>VLOOKUP(L752,[1]!Products,4,FALSE)</f>
        <v>1</v>
      </c>
      <c r="O752" s="6" t="str">
        <f>VLOOKUP(N752,[1]!Categories,2,FALSE)</f>
        <v>Beverages</v>
      </c>
      <c r="P752" s="6">
        <f>VLOOKUP(A752,[1]Order_Details!$A$1:$F$2156,3,FALSE)</f>
        <v>4.5</v>
      </c>
      <c r="Q752">
        <f>VLOOKUP(A752,[1]Order_Details!$A$1:$F$2156,4,FALSE)</f>
        <v>12</v>
      </c>
      <c r="R752">
        <f>VLOOKUP(A752,[1]Order_Details!$A$1:$F$2156,5,FALSE)</f>
        <v>0</v>
      </c>
      <c r="S752" s="6">
        <f>VLOOKUP(A752,[1]Order_Details!$A$1:$F$2156,6,FALSE)</f>
        <v>54</v>
      </c>
      <c r="T752" s="6">
        <f>VLOOKUP(A752,[1]!Orders,8,FALSE)</f>
        <v>20.309999999999999</v>
      </c>
    </row>
    <row r="753" spans="1:20" x14ac:dyDescent="0.3">
      <c r="A753" s="2">
        <v>10999</v>
      </c>
      <c r="B753" s="2" t="s">
        <v>15</v>
      </c>
      <c r="C753" s="2">
        <v>6</v>
      </c>
      <c r="D753" s="3">
        <v>35888</v>
      </c>
      <c r="E753" t="str">
        <f>VLOOKUP(C753,[1]Employees!$A$1:$O$10,4,FALSE)</f>
        <v>Suyama Michael</v>
      </c>
      <c r="F753">
        <f>VLOOKUP(A753,[1]!Orders,7,FALSE)</f>
        <v>2</v>
      </c>
      <c r="G753" t="str">
        <f>VLOOKUP(F753,[1]!Shippers,2,FALSE)</f>
        <v>United Package</v>
      </c>
      <c r="H753" t="str">
        <f>VLOOKUP(C753,[1]EmployeeTerritories!$A$1:$B$50,2,FALSE)</f>
        <v>85014</v>
      </c>
      <c r="I753">
        <f>VLOOKUP(C753,[1]EmployeeTerritories!$A$1:$B$50,1,FALSE)</f>
        <v>6</v>
      </c>
      <c r="J753">
        <f>VLOOKUP(H753,[1]!Territories,3,FALSE)</f>
        <v>2</v>
      </c>
      <c r="K753" t="str">
        <f>VLOOKUP(J753,[1]!Region,2,FALSE)</f>
        <v>Western</v>
      </c>
      <c r="L753">
        <f>VLOOKUP(A753,[1]Order_Details!$A$1:$F$2156,2,FALSE)</f>
        <v>41</v>
      </c>
      <c r="M753" t="str">
        <f>VLOOKUP(L753,[1]!Products,2,FALSE)</f>
        <v>Jack's New England Clam Chowder</v>
      </c>
      <c r="N753">
        <f>VLOOKUP(L753,[1]!Products,4,FALSE)</f>
        <v>8</v>
      </c>
      <c r="O753" s="6" t="str">
        <f>VLOOKUP(N753,[1]!Categories,2,FALSE)</f>
        <v>Seafood</v>
      </c>
      <c r="P753" s="6">
        <f>VLOOKUP(A753,[1]Order_Details!$A$1:$F$2156,3,FALSE)</f>
        <v>9.65</v>
      </c>
      <c r="Q753">
        <f>VLOOKUP(A753,[1]Order_Details!$A$1:$F$2156,4,FALSE)</f>
        <v>20</v>
      </c>
      <c r="R753">
        <f>VLOOKUP(A753,[1]Order_Details!$A$1:$F$2156,5,FALSE)</f>
        <v>5.000000074505806E-2</v>
      </c>
      <c r="S753" s="6">
        <f>VLOOKUP(A753,[1]Order_Details!$A$1:$F$2156,6,FALSE)</f>
        <v>183.34999985620379</v>
      </c>
      <c r="T753" s="6">
        <f>VLOOKUP(A753,[1]!Orders,8,FALSE)</f>
        <v>96.35</v>
      </c>
    </row>
    <row r="754" spans="1:20" x14ac:dyDescent="0.3">
      <c r="A754" s="2">
        <v>11000</v>
      </c>
      <c r="B754" s="2" t="s">
        <v>17</v>
      </c>
      <c r="C754" s="2">
        <v>2</v>
      </c>
      <c r="D754" s="3">
        <v>35891</v>
      </c>
      <c r="E754" t="str">
        <f>VLOOKUP(C754,[1]Employees!$A$1:$O$10,4,FALSE)</f>
        <v>Fuller Andrew</v>
      </c>
      <c r="F754">
        <f>VLOOKUP(A754,[1]!Orders,7,FALSE)</f>
        <v>3</v>
      </c>
      <c r="G754" t="str">
        <f>VLOOKUP(F754,[1]!Shippers,2,FALSE)</f>
        <v>Federal Shipping</v>
      </c>
      <c r="H754" t="str">
        <f>VLOOKUP(C754,[1]EmployeeTerritories!$A$1:$B$50,2,FALSE)</f>
        <v>01581</v>
      </c>
      <c r="I754">
        <f>VLOOKUP(C754,[1]EmployeeTerritories!$A$1:$B$50,1,FALSE)</f>
        <v>2</v>
      </c>
      <c r="J754">
        <f>VLOOKUP(H754,[1]!Territories,3,FALSE)</f>
        <v>1</v>
      </c>
      <c r="K754" t="str">
        <f>VLOOKUP(J754,[1]!Region,2,FALSE)</f>
        <v>Eastern</v>
      </c>
      <c r="L754">
        <f>VLOOKUP(A754,[1]Order_Details!$A$1:$F$2156,2,FALSE)</f>
        <v>4</v>
      </c>
      <c r="M754" t="str">
        <f>VLOOKUP(L754,[1]!Products,2,FALSE)</f>
        <v>Chef Anton's Cajun Seasoning</v>
      </c>
      <c r="N754">
        <f>VLOOKUP(L754,[1]!Products,4,FALSE)</f>
        <v>2</v>
      </c>
      <c r="O754" s="6" t="str">
        <f>VLOOKUP(N754,[1]!Categories,2,FALSE)</f>
        <v>Condiments</v>
      </c>
      <c r="P754" s="6">
        <f>VLOOKUP(A754,[1]Order_Details!$A$1:$F$2156,3,FALSE)</f>
        <v>22</v>
      </c>
      <c r="Q754">
        <f>VLOOKUP(A754,[1]Order_Details!$A$1:$F$2156,4,FALSE)</f>
        <v>25</v>
      </c>
      <c r="R754">
        <f>VLOOKUP(A754,[1]Order_Details!$A$1:$F$2156,5,FALSE)</f>
        <v>0.25</v>
      </c>
      <c r="S754" s="6">
        <f>VLOOKUP(A754,[1]Order_Details!$A$1:$F$2156,6,FALSE)</f>
        <v>412.5</v>
      </c>
      <c r="T754" s="6">
        <f>VLOOKUP(A754,[1]!Orders,8,FALSE)</f>
        <v>55.12</v>
      </c>
    </row>
    <row r="755" spans="1:20" x14ac:dyDescent="0.3">
      <c r="A755" s="2">
        <v>11001</v>
      </c>
      <c r="B755" s="2" t="s">
        <v>18</v>
      </c>
      <c r="C755" s="2">
        <v>2</v>
      </c>
      <c r="D755" s="3">
        <v>35891</v>
      </c>
      <c r="E755" t="str">
        <f>VLOOKUP(C755,[1]Employees!$A$1:$O$10,4,FALSE)</f>
        <v>Fuller Andrew</v>
      </c>
      <c r="F755">
        <f>VLOOKUP(A755,[1]!Orders,7,FALSE)</f>
        <v>2</v>
      </c>
      <c r="G755" t="str">
        <f>VLOOKUP(F755,[1]!Shippers,2,FALSE)</f>
        <v>United Package</v>
      </c>
      <c r="H755" t="str">
        <f>VLOOKUP(C755,[1]EmployeeTerritories!$A$1:$B$50,2,FALSE)</f>
        <v>01581</v>
      </c>
      <c r="I755">
        <f>VLOOKUP(C755,[1]EmployeeTerritories!$A$1:$B$50,1,FALSE)</f>
        <v>2</v>
      </c>
      <c r="J755">
        <f>VLOOKUP(H755,[1]!Territories,3,FALSE)</f>
        <v>1</v>
      </c>
      <c r="K755" t="str">
        <f>VLOOKUP(J755,[1]!Region,2,FALSE)</f>
        <v>Eastern</v>
      </c>
      <c r="L755">
        <f>VLOOKUP(A755,[1]Order_Details!$A$1:$F$2156,2,FALSE)</f>
        <v>7</v>
      </c>
      <c r="M755" t="str">
        <f>VLOOKUP(L755,[1]!Products,2,FALSE)</f>
        <v>Uncle Bob's Organic Dried Pears</v>
      </c>
      <c r="N755">
        <f>VLOOKUP(L755,[1]!Products,4,FALSE)</f>
        <v>7</v>
      </c>
      <c r="O755" s="6" t="str">
        <f>VLOOKUP(N755,[1]!Categories,2,FALSE)</f>
        <v>Produce</v>
      </c>
      <c r="P755" s="6">
        <f>VLOOKUP(A755,[1]Order_Details!$A$1:$F$2156,3,FALSE)</f>
        <v>30</v>
      </c>
      <c r="Q755">
        <f>VLOOKUP(A755,[1]Order_Details!$A$1:$F$2156,4,FALSE)</f>
        <v>60</v>
      </c>
      <c r="R755">
        <f>VLOOKUP(A755,[1]Order_Details!$A$1:$F$2156,5,FALSE)</f>
        <v>0</v>
      </c>
      <c r="S755" s="6">
        <f>VLOOKUP(A755,[1]Order_Details!$A$1:$F$2156,6,FALSE)</f>
        <v>1800</v>
      </c>
      <c r="T755" s="6">
        <f>VLOOKUP(A755,[1]!Orders,8,FALSE)</f>
        <v>197.3</v>
      </c>
    </row>
    <row r="756" spans="1:20" x14ac:dyDescent="0.3">
      <c r="A756" s="2">
        <v>11002</v>
      </c>
      <c r="B756" s="2" t="s">
        <v>49</v>
      </c>
      <c r="C756" s="2">
        <v>4</v>
      </c>
      <c r="D756" s="3">
        <v>35891</v>
      </c>
      <c r="E756" t="str">
        <f>VLOOKUP(C756,[1]Employees!$A$1:$O$10,4,FALSE)</f>
        <v>Peacock Margaret</v>
      </c>
      <c r="F756">
        <f>VLOOKUP(A756,[1]!Orders,7,FALSE)</f>
        <v>1</v>
      </c>
      <c r="G756" t="str">
        <f>VLOOKUP(F756,[1]!Shippers,2,FALSE)</f>
        <v>Speedy Express</v>
      </c>
      <c r="H756" t="str">
        <f>VLOOKUP(C756,[1]EmployeeTerritories!$A$1:$B$50,2,FALSE)</f>
        <v>20852</v>
      </c>
      <c r="I756">
        <f>VLOOKUP(C756,[1]EmployeeTerritories!$A$1:$B$50,1,FALSE)</f>
        <v>4</v>
      </c>
      <c r="J756">
        <f>VLOOKUP(H756,[1]!Territories,3,FALSE)</f>
        <v>1</v>
      </c>
      <c r="K756" t="str">
        <f>VLOOKUP(J756,[1]!Region,2,FALSE)</f>
        <v>Eastern</v>
      </c>
      <c r="L756">
        <f>VLOOKUP(A756,[1]Order_Details!$A$1:$F$2156,2,FALSE)</f>
        <v>13</v>
      </c>
      <c r="M756" t="str">
        <f>VLOOKUP(L756,[1]!Products,2,FALSE)</f>
        <v>Konbu</v>
      </c>
      <c r="N756">
        <f>VLOOKUP(L756,[1]!Products,4,FALSE)</f>
        <v>8</v>
      </c>
      <c r="O756" s="6" t="str">
        <f>VLOOKUP(N756,[1]!Categories,2,FALSE)</f>
        <v>Seafood</v>
      </c>
      <c r="P756" s="6">
        <f>VLOOKUP(A756,[1]Order_Details!$A$1:$F$2156,3,FALSE)</f>
        <v>6</v>
      </c>
      <c r="Q756">
        <f>VLOOKUP(A756,[1]Order_Details!$A$1:$F$2156,4,FALSE)</f>
        <v>56</v>
      </c>
      <c r="R756">
        <f>VLOOKUP(A756,[1]Order_Details!$A$1:$F$2156,5,FALSE)</f>
        <v>0</v>
      </c>
      <c r="S756" s="6">
        <f>VLOOKUP(A756,[1]Order_Details!$A$1:$F$2156,6,FALSE)</f>
        <v>336</v>
      </c>
      <c r="T756" s="6">
        <f>VLOOKUP(A756,[1]!Orders,8,FALSE)</f>
        <v>141.16</v>
      </c>
    </row>
    <row r="757" spans="1:20" x14ac:dyDescent="0.3">
      <c r="A757" s="2">
        <v>11003</v>
      </c>
      <c r="B757" s="2" t="s">
        <v>88</v>
      </c>
      <c r="C757" s="2">
        <v>3</v>
      </c>
      <c r="D757" s="3">
        <v>35891</v>
      </c>
      <c r="E757" t="str">
        <f>VLOOKUP(C757,[1]Employees!$A$1:$O$10,4,FALSE)</f>
        <v>Leverling Janet</v>
      </c>
      <c r="F757">
        <f>VLOOKUP(A757,[1]!Orders,7,FALSE)</f>
        <v>3</v>
      </c>
      <c r="G757" t="str">
        <f>VLOOKUP(F757,[1]!Shippers,2,FALSE)</f>
        <v>Federal Shipping</v>
      </c>
      <c r="H757" t="str">
        <f>VLOOKUP(C757,[1]EmployeeTerritories!$A$1:$B$50,2,FALSE)</f>
        <v>30346</v>
      </c>
      <c r="I757">
        <f>VLOOKUP(C757,[1]EmployeeTerritories!$A$1:$B$50,1,FALSE)</f>
        <v>3</v>
      </c>
      <c r="J757">
        <f>VLOOKUP(H757,[1]!Territories,3,FALSE)</f>
        <v>4</v>
      </c>
      <c r="K757" t="str">
        <f>VLOOKUP(J757,[1]!Region,2,FALSE)</f>
        <v>Southern</v>
      </c>
      <c r="L757">
        <f>VLOOKUP(A757,[1]Order_Details!$A$1:$F$2156,2,FALSE)</f>
        <v>1</v>
      </c>
      <c r="M757" t="str">
        <f>VLOOKUP(L757,[1]!Products,2,FALSE)</f>
        <v>Chai</v>
      </c>
      <c r="N757">
        <f>VLOOKUP(L757,[1]!Products,4,FALSE)</f>
        <v>1</v>
      </c>
      <c r="O757" s="6" t="str">
        <f>VLOOKUP(N757,[1]!Categories,2,FALSE)</f>
        <v>Beverages</v>
      </c>
      <c r="P757" s="6">
        <f>VLOOKUP(A757,[1]Order_Details!$A$1:$F$2156,3,FALSE)</f>
        <v>18</v>
      </c>
      <c r="Q757">
        <f>VLOOKUP(A757,[1]Order_Details!$A$1:$F$2156,4,FALSE)</f>
        <v>4</v>
      </c>
      <c r="R757">
        <f>VLOOKUP(A757,[1]Order_Details!$A$1:$F$2156,5,FALSE)</f>
        <v>0</v>
      </c>
      <c r="S757" s="6">
        <f>VLOOKUP(A757,[1]Order_Details!$A$1:$F$2156,6,FALSE)</f>
        <v>72</v>
      </c>
      <c r="T757" s="6">
        <f>VLOOKUP(A757,[1]!Orders,8,FALSE)</f>
        <v>14.91</v>
      </c>
    </row>
    <row r="758" spans="1:20" x14ac:dyDescent="0.3">
      <c r="A758" s="2">
        <v>11004</v>
      </c>
      <c r="B758" s="2" t="s">
        <v>84</v>
      </c>
      <c r="C758" s="2">
        <v>3</v>
      </c>
      <c r="D758" s="3">
        <v>35892</v>
      </c>
      <c r="E758" t="str">
        <f>VLOOKUP(C758,[1]Employees!$A$1:$O$10,4,FALSE)</f>
        <v>Leverling Janet</v>
      </c>
      <c r="F758">
        <f>VLOOKUP(A758,[1]!Orders,7,FALSE)</f>
        <v>1</v>
      </c>
      <c r="G758" t="str">
        <f>VLOOKUP(F758,[1]!Shippers,2,FALSE)</f>
        <v>Speedy Express</v>
      </c>
      <c r="H758" t="str">
        <f>VLOOKUP(C758,[1]EmployeeTerritories!$A$1:$B$50,2,FALSE)</f>
        <v>30346</v>
      </c>
      <c r="I758">
        <f>VLOOKUP(C758,[1]EmployeeTerritories!$A$1:$B$50,1,FALSE)</f>
        <v>3</v>
      </c>
      <c r="J758">
        <f>VLOOKUP(H758,[1]!Territories,3,FALSE)</f>
        <v>4</v>
      </c>
      <c r="K758" t="str">
        <f>VLOOKUP(J758,[1]!Region,2,FALSE)</f>
        <v>Southern</v>
      </c>
      <c r="L758">
        <f>VLOOKUP(A758,[1]Order_Details!$A$1:$F$2156,2,FALSE)</f>
        <v>26</v>
      </c>
      <c r="M758" t="str">
        <f>VLOOKUP(L758,[1]!Products,2,FALSE)</f>
        <v>Gumbär Gummibärchen</v>
      </c>
      <c r="N758">
        <f>VLOOKUP(L758,[1]!Products,4,FALSE)</f>
        <v>3</v>
      </c>
      <c r="O758" s="6" t="str">
        <f>VLOOKUP(N758,[1]!Categories,2,FALSE)</f>
        <v>Confections</v>
      </c>
      <c r="P758" s="6">
        <f>VLOOKUP(A758,[1]Order_Details!$A$1:$F$2156,3,FALSE)</f>
        <v>31.23</v>
      </c>
      <c r="Q758">
        <f>VLOOKUP(A758,[1]Order_Details!$A$1:$F$2156,4,FALSE)</f>
        <v>6</v>
      </c>
      <c r="R758">
        <f>VLOOKUP(A758,[1]Order_Details!$A$1:$F$2156,5,FALSE)</f>
        <v>0</v>
      </c>
      <c r="S758" s="6">
        <f>VLOOKUP(A758,[1]Order_Details!$A$1:$F$2156,6,FALSE)</f>
        <v>187.38</v>
      </c>
      <c r="T758" s="6">
        <f>VLOOKUP(A758,[1]!Orders,8,FALSE)</f>
        <v>44.84</v>
      </c>
    </row>
    <row r="759" spans="1:20" x14ac:dyDescent="0.3">
      <c r="A759" s="2">
        <v>11005</v>
      </c>
      <c r="B759" s="2" t="s">
        <v>87</v>
      </c>
      <c r="C759" s="2">
        <v>2</v>
      </c>
      <c r="D759" s="3">
        <v>35892</v>
      </c>
      <c r="E759" t="str">
        <f>VLOOKUP(C759,[1]Employees!$A$1:$O$10,4,FALSE)</f>
        <v>Fuller Andrew</v>
      </c>
      <c r="F759">
        <f>VLOOKUP(A759,[1]!Orders,7,FALSE)</f>
        <v>1</v>
      </c>
      <c r="G759" t="str">
        <f>VLOOKUP(F759,[1]!Shippers,2,FALSE)</f>
        <v>Speedy Express</v>
      </c>
      <c r="H759" t="str">
        <f>VLOOKUP(C759,[1]EmployeeTerritories!$A$1:$B$50,2,FALSE)</f>
        <v>01581</v>
      </c>
      <c r="I759">
        <f>VLOOKUP(C759,[1]EmployeeTerritories!$A$1:$B$50,1,FALSE)</f>
        <v>2</v>
      </c>
      <c r="J759">
        <f>VLOOKUP(H759,[1]!Territories,3,FALSE)</f>
        <v>1</v>
      </c>
      <c r="K759" t="str">
        <f>VLOOKUP(J759,[1]!Region,2,FALSE)</f>
        <v>Eastern</v>
      </c>
      <c r="L759">
        <f>VLOOKUP(A759,[1]Order_Details!$A$1:$F$2156,2,FALSE)</f>
        <v>1</v>
      </c>
      <c r="M759" t="str">
        <f>VLOOKUP(L759,[1]!Products,2,FALSE)</f>
        <v>Chai</v>
      </c>
      <c r="N759">
        <f>VLOOKUP(L759,[1]!Products,4,FALSE)</f>
        <v>1</v>
      </c>
      <c r="O759" s="6" t="str">
        <f>VLOOKUP(N759,[1]!Categories,2,FALSE)</f>
        <v>Beverages</v>
      </c>
      <c r="P759" s="6">
        <f>VLOOKUP(A759,[1]Order_Details!$A$1:$F$2156,3,FALSE)</f>
        <v>18</v>
      </c>
      <c r="Q759">
        <f>VLOOKUP(A759,[1]Order_Details!$A$1:$F$2156,4,FALSE)</f>
        <v>2</v>
      </c>
      <c r="R759">
        <f>VLOOKUP(A759,[1]Order_Details!$A$1:$F$2156,5,FALSE)</f>
        <v>0</v>
      </c>
      <c r="S759" s="6">
        <f>VLOOKUP(A759,[1]Order_Details!$A$1:$F$2156,6,FALSE)</f>
        <v>36</v>
      </c>
      <c r="T759" s="6">
        <f>VLOOKUP(A759,[1]!Orders,8,FALSE)</f>
        <v>0.75</v>
      </c>
    </row>
    <row r="760" spans="1:20" x14ac:dyDescent="0.3">
      <c r="A760" s="2">
        <v>11006</v>
      </c>
      <c r="B760" s="2" t="s">
        <v>83</v>
      </c>
      <c r="C760" s="2">
        <v>3</v>
      </c>
      <c r="D760" s="3">
        <v>35892</v>
      </c>
      <c r="E760" t="str">
        <f>VLOOKUP(C760,[1]Employees!$A$1:$O$10,4,FALSE)</f>
        <v>Leverling Janet</v>
      </c>
      <c r="F760">
        <f>VLOOKUP(A760,[1]!Orders,7,FALSE)</f>
        <v>2</v>
      </c>
      <c r="G760" t="str">
        <f>VLOOKUP(F760,[1]!Shippers,2,FALSE)</f>
        <v>United Package</v>
      </c>
      <c r="H760" t="str">
        <f>VLOOKUP(C760,[1]EmployeeTerritories!$A$1:$B$50,2,FALSE)</f>
        <v>30346</v>
      </c>
      <c r="I760">
        <f>VLOOKUP(C760,[1]EmployeeTerritories!$A$1:$B$50,1,FALSE)</f>
        <v>3</v>
      </c>
      <c r="J760">
        <f>VLOOKUP(H760,[1]!Territories,3,FALSE)</f>
        <v>4</v>
      </c>
      <c r="K760" t="str">
        <f>VLOOKUP(J760,[1]!Region,2,FALSE)</f>
        <v>Southern</v>
      </c>
      <c r="L760">
        <f>VLOOKUP(A760,[1]Order_Details!$A$1:$F$2156,2,FALSE)</f>
        <v>1</v>
      </c>
      <c r="M760" t="str">
        <f>VLOOKUP(L760,[1]!Products,2,FALSE)</f>
        <v>Chai</v>
      </c>
      <c r="N760">
        <f>VLOOKUP(L760,[1]!Products,4,FALSE)</f>
        <v>1</v>
      </c>
      <c r="O760" s="6" t="str">
        <f>VLOOKUP(N760,[1]!Categories,2,FALSE)</f>
        <v>Beverages</v>
      </c>
      <c r="P760" s="6">
        <f>VLOOKUP(A760,[1]Order_Details!$A$1:$F$2156,3,FALSE)</f>
        <v>18</v>
      </c>
      <c r="Q760">
        <f>VLOOKUP(A760,[1]Order_Details!$A$1:$F$2156,4,FALSE)</f>
        <v>8</v>
      </c>
      <c r="R760">
        <f>VLOOKUP(A760,[1]Order_Details!$A$1:$F$2156,5,FALSE)</f>
        <v>0</v>
      </c>
      <c r="S760" s="6">
        <f>VLOOKUP(A760,[1]Order_Details!$A$1:$F$2156,6,FALSE)</f>
        <v>144</v>
      </c>
      <c r="T760" s="6">
        <f>VLOOKUP(A760,[1]!Orders,8,FALSE)</f>
        <v>25.19</v>
      </c>
    </row>
    <row r="761" spans="1:20" x14ac:dyDescent="0.3">
      <c r="A761" s="2">
        <v>11007</v>
      </c>
      <c r="B761" s="2" t="s">
        <v>54</v>
      </c>
      <c r="C761" s="2">
        <v>8</v>
      </c>
      <c r="D761" s="3">
        <v>35893</v>
      </c>
      <c r="E761" t="str">
        <f>VLOOKUP(C761,[1]Employees!$A$1:$O$10,4,FALSE)</f>
        <v>Callahan Laura</v>
      </c>
      <c r="F761">
        <f>VLOOKUP(A761,[1]!Orders,7,FALSE)</f>
        <v>2</v>
      </c>
      <c r="G761" t="str">
        <f>VLOOKUP(F761,[1]!Shippers,2,FALSE)</f>
        <v>United Package</v>
      </c>
      <c r="H761" t="str">
        <f>VLOOKUP(C761,[1]EmployeeTerritories!$A$1:$B$50,2,FALSE)</f>
        <v>19428</v>
      </c>
      <c r="I761">
        <f>VLOOKUP(C761,[1]EmployeeTerritories!$A$1:$B$50,1,FALSE)</f>
        <v>8</v>
      </c>
      <c r="J761">
        <f>VLOOKUP(H761,[1]!Territories,3,FALSE)</f>
        <v>3</v>
      </c>
      <c r="K761" t="str">
        <f>VLOOKUP(J761,[1]!Region,2,FALSE)</f>
        <v>Northern</v>
      </c>
      <c r="L761">
        <f>VLOOKUP(A761,[1]Order_Details!$A$1:$F$2156,2,FALSE)</f>
        <v>8</v>
      </c>
      <c r="M761" t="str">
        <f>VLOOKUP(L761,[1]!Products,2,FALSE)</f>
        <v>Northwoods Cranberry Sauce</v>
      </c>
      <c r="N761">
        <f>VLOOKUP(L761,[1]!Products,4,FALSE)</f>
        <v>2</v>
      </c>
      <c r="O761" s="6" t="str">
        <f>VLOOKUP(N761,[1]!Categories,2,FALSE)</f>
        <v>Condiments</v>
      </c>
      <c r="P761" s="6">
        <f>VLOOKUP(A761,[1]Order_Details!$A$1:$F$2156,3,FALSE)</f>
        <v>40</v>
      </c>
      <c r="Q761">
        <f>VLOOKUP(A761,[1]Order_Details!$A$1:$F$2156,4,FALSE)</f>
        <v>30</v>
      </c>
      <c r="R761">
        <f>VLOOKUP(A761,[1]Order_Details!$A$1:$F$2156,5,FALSE)</f>
        <v>0</v>
      </c>
      <c r="S761" s="6">
        <f>VLOOKUP(A761,[1]Order_Details!$A$1:$F$2156,6,FALSE)</f>
        <v>1200</v>
      </c>
      <c r="T761" s="6">
        <f>VLOOKUP(A761,[1]!Orders,8,FALSE)</f>
        <v>202.24</v>
      </c>
    </row>
    <row r="762" spans="1:20" x14ac:dyDescent="0.3">
      <c r="A762" s="2">
        <v>11008</v>
      </c>
      <c r="B762" s="2" t="s">
        <v>13</v>
      </c>
      <c r="C762" s="2">
        <v>7</v>
      </c>
      <c r="D762" s="3">
        <v>35893</v>
      </c>
      <c r="E762" t="str">
        <f>VLOOKUP(C762,[1]Employees!$A$1:$O$10,4,FALSE)</f>
        <v>King Robert</v>
      </c>
      <c r="F762">
        <f>VLOOKUP(A762,[1]!Orders,7,FALSE)</f>
        <v>3</v>
      </c>
      <c r="G762" t="str">
        <f>VLOOKUP(F762,[1]!Shippers,2,FALSE)</f>
        <v>Federal Shipping</v>
      </c>
      <c r="H762" t="str">
        <f>VLOOKUP(C762,[1]EmployeeTerritories!$A$1:$B$50,2,FALSE)</f>
        <v>60179</v>
      </c>
      <c r="I762">
        <f>VLOOKUP(C762,[1]EmployeeTerritories!$A$1:$B$50,1,FALSE)</f>
        <v>7</v>
      </c>
      <c r="J762">
        <f>VLOOKUP(H762,[1]!Territories,3,FALSE)</f>
        <v>2</v>
      </c>
      <c r="K762" t="str">
        <f>VLOOKUP(J762,[1]!Region,2,FALSE)</f>
        <v>Western</v>
      </c>
      <c r="L762">
        <f>VLOOKUP(A762,[1]Order_Details!$A$1:$F$2156,2,FALSE)</f>
        <v>28</v>
      </c>
      <c r="M762" t="str">
        <f>VLOOKUP(L762,[1]!Products,2,FALSE)</f>
        <v>Rössle Sauerkraut</v>
      </c>
      <c r="N762">
        <f>VLOOKUP(L762,[1]!Products,4,FALSE)</f>
        <v>7</v>
      </c>
      <c r="O762" s="6" t="str">
        <f>VLOOKUP(N762,[1]!Categories,2,FALSE)</f>
        <v>Produce</v>
      </c>
      <c r="P762" s="6">
        <f>VLOOKUP(A762,[1]Order_Details!$A$1:$F$2156,3,FALSE)</f>
        <v>45.6</v>
      </c>
      <c r="Q762">
        <f>VLOOKUP(A762,[1]Order_Details!$A$1:$F$2156,4,FALSE)</f>
        <v>70</v>
      </c>
      <c r="R762">
        <f>VLOOKUP(A762,[1]Order_Details!$A$1:$F$2156,5,FALSE)</f>
        <v>5.000000074505806E-2</v>
      </c>
      <c r="S762" s="6">
        <f>VLOOKUP(A762,[1]Order_Details!$A$1:$F$2156,6,FALSE)</f>
        <v>3032.3999976217747</v>
      </c>
      <c r="T762" s="6">
        <f>VLOOKUP(A762,[1]!Orders,8,FALSE)</f>
        <v>79.459999999999994</v>
      </c>
    </row>
    <row r="763" spans="1:20" x14ac:dyDescent="0.3">
      <c r="A763" s="2">
        <v>11009</v>
      </c>
      <c r="B763" s="2" t="s">
        <v>40</v>
      </c>
      <c r="C763" s="2">
        <v>2</v>
      </c>
      <c r="D763" s="3">
        <v>35893</v>
      </c>
      <c r="E763" t="str">
        <f>VLOOKUP(C763,[1]Employees!$A$1:$O$10,4,FALSE)</f>
        <v>Fuller Andrew</v>
      </c>
      <c r="F763">
        <f>VLOOKUP(A763,[1]!Orders,7,FALSE)</f>
        <v>1</v>
      </c>
      <c r="G763" t="str">
        <f>VLOOKUP(F763,[1]!Shippers,2,FALSE)</f>
        <v>Speedy Express</v>
      </c>
      <c r="H763" t="str">
        <f>VLOOKUP(C763,[1]EmployeeTerritories!$A$1:$B$50,2,FALSE)</f>
        <v>01581</v>
      </c>
      <c r="I763">
        <f>VLOOKUP(C763,[1]EmployeeTerritories!$A$1:$B$50,1,FALSE)</f>
        <v>2</v>
      </c>
      <c r="J763">
        <f>VLOOKUP(H763,[1]!Territories,3,FALSE)</f>
        <v>1</v>
      </c>
      <c r="K763" t="str">
        <f>VLOOKUP(J763,[1]!Region,2,FALSE)</f>
        <v>Eastern</v>
      </c>
      <c r="L763">
        <f>VLOOKUP(A763,[1]Order_Details!$A$1:$F$2156,2,FALSE)</f>
        <v>24</v>
      </c>
      <c r="M763" t="str">
        <f>VLOOKUP(L763,[1]!Products,2,FALSE)</f>
        <v>Guaraná Fantástica</v>
      </c>
      <c r="N763">
        <f>VLOOKUP(L763,[1]!Products,4,FALSE)</f>
        <v>1</v>
      </c>
      <c r="O763" s="6" t="str">
        <f>VLOOKUP(N763,[1]!Categories,2,FALSE)</f>
        <v>Beverages</v>
      </c>
      <c r="P763" s="6">
        <f>VLOOKUP(A763,[1]Order_Details!$A$1:$F$2156,3,FALSE)</f>
        <v>4.5</v>
      </c>
      <c r="Q763">
        <f>VLOOKUP(A763,[1]Order_Details!$A$1:$F$2156,4,FALSE)</f>
        <v>12</v>
      </c>
      <c r="R763">
        <f>VLOOKUP(A763,[1]Order_Details!$A$1:$F$2156,5,FALSE)</f>
        <v>0</v>
      </c>
      <c r="S763" s="6">
        <f>VLOOKUP(A763,[1]Order_Details!$A$1:$F$2156,6,FALSE)</f>
        <v>54</v>
      </c>
      <c r="T763" s="6">
        <f>VLOOKUP(A763,[1]!Orders,8,FALSE)</f>
        <v>59.11</v>
      </c>
    </row>
    <row r="764" spans="1:20" x14ac:dyDescent="0.3">
      <c r="A764" s="2">
        <v>11010</v>
      </c>
      <c r="B764" s="2" t="s">
        <v>34</v>
      </c>
      <c r="C764" s="2">
        <v>2</v>
      </c>
      <c r="D764" s="3">
        <v>35894</v>
      </c>
      <c r="E764" t="str">
        <f>VLOOKUP(C764,[1]Employees!$A$1:$O$10,4,FALSE)</f>
        <v>Fuller Andrew</v>
      </c>
      <c r="F764">
        <f>VLOOKUP(A764,[1]!Orders,7,FALSE)</f>
        <v>2</v>
      </c>
      <c r="G764" t="str">
        <f>VLOOKUP(F764,[1]!Shippers,2,FALSE)</f>
        <v>United Package</v>
      </c>
      <c r="H764" t="str">
        <f>VLOOKUP(C764,[1]EmployeeTerritories!$A$1:$B$50,2,FALSE)</f>
        <v>01581</v>
      </c>
      <c r="I764">
        <f>VLOOKUP(C764,[1]EmployeeTerritories!$A$1:$B$50,1,FALSE)</f>
        <v>2</v>
      </c>
      <c r="J764">
        <f>VLOOKUP(H764,[1]!Territories,3,FALSE)</f>
        <v>1</v>
      </c>
      <c r="K764" t="str">
        <f>VLOOKUP(J764,[1]!Region,2,FALSE)</f>
        <v>Eastern</v>
      </c>
      <c r="L764">
        <f>VLOOKUP(A764,[1]Order_Details!$A$1:$F$2156,2,FALSE)</f>
        <v>7</v>
      </c>
      <c r="M764" t="str">
        <f>VLOOKUP(L764,[1]!Products,2,FALSE)</f>
        <v>Uncle Bob's Organic Dried Pears</v>
      </c>
      <c r="N764">
        <f>VLOOKUP(L764,[1]!Products,4,FALSE)</f>
        <v>7</v>
      </c>
      <c r="O764" s="6" t="str">
        <f>VLOOKUP(N764,[1]!Categories,2,FALSE)</f>
        <v>Produce</v>
      </c>
      <c r="P764" s="6">
        <f>VLOOKUP(A764,[1]Order_Details!$A$1:$F$2156,3,FALSE)</f>
        <v>30</v>
      </c>
      <c r="Q764">
        <f>VLOOKUP(A764,[1]Order_Details!$A$1:$F$2156,4,FALSE)</f>
        <v>20</v>
      </c>
      <c r="R764">
        <f>VLOOKUP(A764,[1]Order_Details!$A$1:$F$2156,5,FALSE)</f>
        <v>0</v>
      </c>
      <c r="S764" s="6">
        <f>VLOOKUP(A764,[1]Order_Details!$A$1:$F$2156,6,FALSE)</f>
        <v>600</v>
      </c>
      <c r="T764" s="6">
        <f>VLOOKUP(A764,[1]!Orders,8,FALSE)</f>
        <v>28.71</v>
      </c>
    </row>
    <row r="765" spans="1:20" x14ac:dyDescent="0.3">
      <c r="A765" s="2">
        <v>11011</v>
      </c>
      <c r="B765" s="2" t="s">
        <v>89</v>
      </c>
      <c r="C765" s="2">
        <v>3</v>
      </c>
      <c r="D765" s="3">
        <v>35894</v>
      </c>
      <c r="E765" t="str">
        <f>VLOOKUP(C765,[1]Employees!$A$1:$O$10,4,FALSE)</f>
        <v>Leverling Janet</v>
      </c>
      <c r="F765">
        <f>VLOOKUP(A765,[1]!Orders,7,FALSE)</f>
        <v>1</v>
      </c>
      <c r="G765" t="str">
        <f>VLOOKUP(F765,[1]!Shippers,2,FALSE)</f>
        <v>Speedy Express</v>
      </c>
      <c r="H765" t="str">
        <f>VLOOKUP(C765,[1]EmployeeTerritories!$A$1:$B$50,2,FALSE)</f>
        <v>30346</v>
      </c>
      <c r="I765">
        <f>VLOOKUP(C765,[1]EmployeeTerritories!$A$1:$B$50,1,FALSE)</f>
        <v>3</v>
      </c>
      <c r="J765">
        <f>VLOOKUP(H765,[1]!Territories,3,FALSE)</f>
        <v>4</v>
      </c>
      <c r="K765" t="str">
        <f>VLOOKUP(J765,[1]!Region,2,FALSE)</f>
        <v>Southern</v>
      </c>
      <c r="L765">
        <f>VLOOKUP(A765,[1]Order_Details!$A$1:$F$2156,2,FALSE)</f>
        <v>58</v>
      </c>
      <c r="M765" t="str">
        <f>VLOOKUP(L765,[1]!Products,2,FALSE)</f>
        <v>Escargots de Bourgogne</v>
      </c>
      <c r="N765">
        <f>VLOOKUP(L765,[1]!Products,4,FALSE)</f>
        <v>8</v>
      </c>
      <c r="O765" s="6" t="str">
        <f>VLOOKUP(N765,[1]!Categories,2,FALSE)</f>
        <v>Seafood</v>
      </c>
      <c r="P765" s="6">
        <f>VLOOKUP(A765,[1]Order_Details!$A$1:$F$2156,3,FALSE)</f>
        <v>13.25</v>
      </c>
      <c r="Q765">
        <f>VLOOKUP(A765,[1]Order_Details!$A$1:$F$2156,4,FALSE)</f>
        <v>40</v>
      </c>
      <c r="R765">
        <f>VLOOKUP(A765,[1]Order_Details!$A$1:$F$2156,5,FALSE)</f>
        <v>5.000000074505806E-2</v>
      </c>
      <c r="S765" s="6">
        <f>VLOOKUP(A765,[1]Order_Details!$A$1:$F$2156,6,FALSE)</f>
        <v>503.49999960511923</v>
      </c>
      <c r="T765" s="6">
        <f>VLOOKUP(A765,[1]!Orders,8,FALSE)</f>
        <v>1.21</v>
      </c>
    </row>
    <row r="766" spans="1:20" x14ac:dyDescent="0.3">
      <c r="A766" s="2">
        <v>11012</v>
      </c>
      <c r="B766" s="2" t="s">
        <v>21</v>
      </c>
      <c r="C766" s="2">
        <v>1</v>
      </c>
      <c r="D766" s="3">
        <v>35894</v>
      </c>
      <c r="E766" t="str">
        <f>VLOOKUP(C766,[1]Employees!$A$1:$O$10,4,FALSE)</f>
        <v>Davolio Nancy</v>
      </c>
      <c r="F766">
        <f>VLOOKUP(A766,[1]!Orders,7,FALSE)</f>
        <v>3</v>
      </c>
      <c r="G766" t="str">
        <f>VLOOKUP(F766,[1]!Shippers,2,FALSE)</f>
        <v>Federal Shipping</v>
      </c>
      <c r="H766" t="str">
        <f>VLOOKUP(C766,[1]EmployeeTerritories!$A$1:$B$50,2,FALSE)</f>
        <v>06897</v>
      </c>
      <c r="I766">
        <f>VLOOKUP(C766,[1]EmployeeTerritories!$A$1:$B$50,1,FALSE)</f>
        <v>1</v>
      </c>
      <c r="J766">
        <f>VLOOKUP(H766,[1]!Territories,3,FALSE)</f>
        <v>1</v>
      </c>
      <c r="K766" t="str">
        <f>VLOOKUP(J766,[1]!Region,2,FALSE)</f>
        <v>Eastern</v>
      </c>
      <c r="L766">
        <f>VLOOKUP(A766,[1]Order_Details!$A$1:$F$2156,2,FALSE)</f>
        <v>19</v>
      </c>
      <c r="M766" t="str">
        <f>VLOOKUP(L766,[1]!Products,2,FALSE)</f>
        <v>Teatime Chocolate Biscuits</v>
      </c>
      <c r="N766">
        <f>VLOOKUP(L766,[1]!Products,4,FALSE)</f>
        <v>3</v>
      </c>
      <c r="O766" s="6" t="str">
        <f>VLOOKUP(N766,[1]!Categories,2,FALSE)</f>
        <v>Confections</v>
      </c>
      <c r="P766" s="6">
        <f>VLOOKUP(A766,[1]Order_Details!$A$1:$F$2156,3,FALSE)</f>
        <v>9.1999999999999993</v>
      </c>
      <c r="Q766">
        <f>VLOOKUP(A766,[1]Order_Details!$A$1:$F$2156,4,FALSE)</f>
        <v>50</v>
      </c>
      <c r="R766">
        <f>VLOOKUP(A766,[1]Order_Details!$A$1:$F$2156,5,FALSE)</f>
        <v>5.000000074505806E-2</v>
      </c>
      <c r="S766" s="6">
        <f>VLOOKUP(A766,[1]Order_Details!$A$1:$F$2156,6,FALSE)</f>
        <v>436.99999965727324</v>
      </c>
      <c r="T766" s="6">
        <f>VLOOKUP(A766,[1]!Orders,8,FALSE)</f>
        <v>242.95</v>
      </c>
    </row>
    <row r="767" spans="1:20" x14ac:dyDescent="0.3">
      <c r="A767" s="2">
        <v>11013</v>
      </c>
      <c r="B767" s="2" t="s">
        <v>31</v>
      </c>
      <c r="C767" s="2">
        <v>2</v>
      </c>
      <c r="D767" s="3">
        <v>35894</v>
      </c>
      <c r="E767" t="str">
        <f>VLOOKUP(C767,[1]Employees!$A$1:$O$10,4,FALSE)</f>
        <v>Fuller Andrew</v>
      </c>
      <c r="F767">
        <f>VLOOKUP(A767,[1]!Orders,7,FALSE)</f>
        <v>1</v>
      </c>
      <c r="G767" t="str">
        <f>VLOOKUP(F767,[1]!Shippers,2,FALSE)</f>
        <v>Speedy Express</v>
      </c>
      <c r="H767" t="str">
        <f>VLOOKUP(C767,[1]EmployeeTerritories!$A$1:$B$50,2,FALSE)</f>
        <v>01581</v>
      </c>
      <c r="I767">
        <f>VLOOKUP(C767,[1]EmployeeTerritories!$A$1:$B$50,1,FALSE)</f>
        <v>2</v>
      </c>
      <c r="J767">
        <f>VLOOKUP(H767,[1]!Territories,3,FALSE)</f>
        <v>1</v>
      </c>
      <c r="K767" t="str">
        <f>VLOOKUP(J767,[1]!Region,2,FALSE)</f>
        <v>Eastern</v>
      </c>
      <c r="L767">
        <f>VLOOKUP(A767,[1]Order_Details!$A$1:$F$2156,2,FALSE)</f>
        <v>23</v>
      </c>
      <c r="M767" t="str">
        <f>VLOOKUP(L767,[1]!Products,2,FALSE)</f>
        <v>Tunnbröd</v>
      </c>
      <c r="N767">
        <f>VLOOKUP(L767,[1]!Products,4,FALSE)</f>
        <v>5</v>
      </c>
      <c r="O767" s="6" t="str">
        <f>VLOOKUP(N767,[1]!Categories,2,FALSE)</f>
        <v>Grains/Cereals</v>
      </c>
      <c r="P767" s="6">
        <f>VLOOKUP(A767,[1]Order_Details!$A$1:$F$2156,3,FALSE)</f>
        <v>9</v>
      </c>
      <c r="Q767">
        <f>VLOOKUP(A767,[1]Order_Details!$A$1:$F$2156,4,FALSE)</f>
        <v>10</v>
      </c>
      <c r="R767">
        <f>VLOOKUP(A767,[1]Order_Details!$A$1:$F$2156,5,FALSE)</f>
        <v>0</v>
      </c>
      <c r="S767" s="6">
        <f>VLOOKUP(A767,[1]Order_Details!$A$1:$F$2156,6,FALSE)</f>
        <v>90</v>
      </c>
      <c r="T767" s="6">
        <f>VLOOKUP(A767,[1]!Orders,8,FALSE)</f>
        <v>32.99</v>
      </c>
    </row>
    <row r="768" spans="1:20" x14ac:dyDescent="0.3">
      <c r="A768" s="2">
        <v>11014</v>
      </c>
      <c r="B768" s="2" t="s">
        <v>71</v>
      </c>
      <c r="C768" s="2">
        <v>2</v>
      </c>
      <c r="D768" s="3">
        <v>35895</v>
      </c>
      <c r="E768" t="str">
        <f>VLOOKUP(C768,[1]Employees!$A$1:$O$10,4,FALSE)</f>
        <v>Fuller Andrew</v>
      </c>
      <c r="F768">
        <f>VLOOKUP(A768,[1]!Orders,7,FALSE)</f>
        <v>3</v>
      </c>
      <c r="G768" t="str">
        <f>VLOOKUP(F768,[1]!Shippers,2,FALSE)</f>
        <v>Federal Shipping</v>
      </c>
      <c r="H768" t="str">
        <f>VLOOKUP(C768,[1]EmployeeTerritories!$A$1:$B$50,2,FALSE)</f>
        <v>01581</v>
      </c>
      <c r="I768">
        <f>VLOOKUP(C768,[1]EmployeeTerritories!$A$1:$B$50,1,FALSE)</f>
        <v>2</v>
      </c>
      <c r="J768">
        <f>VLOOKUP(H768,[1]!Territories,3,FALSE)</f>
        <v>1</v>
      </c>
      <c r="K768" t="str">
        <f>VLOOKUP(J768,[1]!Region,2,FALSE)</f>
        <v>Eastern</v>
      </c>
      <c r="L768">
        <f>VLOOKUP(A768,[1]Order_Details!$A$1:$F$2156,2,FALSE)</f>
        <v>41</v>
      </c>
      <c r="M768" t="str">
        <f>VLOOKUP(L768,[1]!Products,2,FALSE)</f>
        <v>Jack's New England Clam Chowder</v>
      </c>
      <c r="N768">
        <f>VLOOKUP(L768,[1]!Products,4,FALSE)</f>
        <v>8</v>
      </c>
      <c r="O768" s="6" t="str">
        <f>VLOOKUP(N768,[1]!Categories,2,FALSE)</f>
        <v>Seafood</v>
      </c>
      <c r="P768" s="6">
        <f>VLOOKUP(A768,[1]Order_Details!$A$1:$F$2156,3,FALSE)</f>
        <v>9.65</v>
      </c>
      <c r="Q768">
        <f>VLOOKUP(A768,[1]Order_Details!$A$1:$F$2156,4,FALSE)</f>
        <v>28</v>
      </c>
      <c r="R768">
        <f>VLOOKUP(A768,[1]Order_Details!$A$1:$F$2156,5,FALSE)</f>
        <v>0.10000000149011612</v>
      </c>
      <c r="S768" s="6">
        <f>VLOOKUP(A768,[1]Order_Details!$A$1:$F$2156,6,FALSE)</f>
        <v>243.17999959737062</v>
      </c>
      <c r="T768" s="6">
        <f>VLOOKUP(A768,[1]!Orders,8,FALSE)</f>
        <v>23.6</v>
      </c>
    </row>
    <row r="769" spans="1:20" x14ac:dyDescent="0.3">
      <c r="A769" s="2">
        <v>11015</v>
      </c>
      <c r="B769" s="2" t="s">
        <v>69</v>
      </c>
      <c r="C769" s="2">
        <v>2</v>
      </c>
      <c r="D769" s="3">
        <v>35895</v>
      </c>
      <c r="E769" t="str">
        <f>VLOOKUP(C769,[1]Employees!$A$1:$O$10,4,FALSE)</f>
        <v>Fuller Andrew</v>
      </c>
      <c r="F769">
        <f>VLOOKUP(A769,[1]!Orders,7,FALSE)</f>
        <v>2</v>
      </c>
      <c r="G769" t="str">
        <f>VLOOKUP(F769,[1]!Shippers,2,FALSE)</f>
        <v>United Package</v>
      </c>
      <c r="H769" t="str">
        <f>VLOOKUP(C769,[1]EmployeeTerritories!$A$1:$B$50,2,FALSE)</f>
        <v>01581</v>
      </c>
      <c r="I769">
        <f>VLOOKUP(C769,[1]EmployeeTerritories!$A$1:$B$50,1,FALSE)</f>
        <v>2</v>
      </c>
      <c r="J769">
        <f>VLOOKUP(H769,[1]!Territories,3,FALSE)</f>
        <v>1</v>
      </c>
      <c r="K769" t="str">
        <f>VLOOKUP(J769,[1]!Region,2,FALSE)</f>
        <v>Eastern</v>
      </c>
      <c r="L769">
        <f>VLOOKUP(A769,[1]Order_Details!$A$1:$F$2156,2,FALSE)</f>
        <v>30</v>
      </c>
      <c r="M769" t="str">
        <f>VLOOKUP(L769,[1]!Products,2,FALSE)</f>
        <v>Nord-Ost Matjeshering</v>
      </c>
      <c r="N769">
        <f>VLOOKUP(L769,[1]!Products,4,FALSE)</f>
        <v>8</v>
      </c>
      <c r="O769" s="6" t="str">
        <f>VLOOKUP(N769,[1]!Categories,2,FALSE)</f>
        <v>Seafood</v>
      </c>
      <c r="P769" s="6">
        <f>VLOOKUP(A769,[1]Order_Details!$A$1:$F$2156,3,FALSE)</f>
        <v>25.89</v>
      </c>
      <c r="Q769">
        <f>VLOOKUP(A769,[1]Order_Details!$A$1:$F$2156,4,FALSE)</f>
        <v>15</v>
      </c>
      <c r="R769">
        <f>VLOOKUP(A769,[1]Order_Details!$A$1:$F$2156,5,FALSE)</f>
        <v>0</v>
      </c>
      <c r="S769" s="6">
        <f>VLOOKUP(A769,[1]Order_Details!$A$1:$F$2156,6,FALSE)</f>
        <v>388.35</v>
      </c>
      <c r="T769" s="6">
        <f>VLOOKUP(A769,[1]!Orders,8,FALSE)</f>
        <v>4.62</v>
      </c>
    </row>
    <row r="770" spans="1:20" x14ac:dyDescent="0.3">
      <c r="A770" s="2">
        <v>11016</v>
      </c>
      <c r="B770" s="2" t="s">
        <v>59</v>
      </c>
      <c r="C770" s="2">
        <v>9</v>
      </c>
      <c r="D770" s="3">
        <v>35895</v>
      </c>
      <c r="E770" t="str">
        <f>VLOOKUP(C770,[1]Employees!$A$1:$O$10,4,FALSE)</f>
        <v>Dodsworth Anne</v>
      </c>
      <c r="F770">
        <f>VLOOKUP(A770,[1]!Orders,7,FALSE)</f>
        <v>2</v>
      </c>
      <c r="G770" t="str">
        <f>VLOOKUP(F770,[1]!Shippers,2,FALSE)</f>
        <v>United Package</v>
      </c>
      <c r="H770" t="str">
        <f>VLOOKUP(C770,[1]EmployeeTerritories!$A$1:$B$50,2,FALSE)</f>
        <v>03049</v>
      </c>
      <c r="I770">
        <f>VLOOKUP(C770,[1]EmployeeTerritories!$A$1:$B$50,1,FALSE)</f>
        <v>9</v>
      </c>
      <c r="J770">
        <f>VLOOKUP(H770,[1]!Territories,3,FALSE)</f>
        <v>3</v>
      </c>
      <c r="K770" t="str">
        <f>VLOOKUP(J770,[1]!Region,2,FALSE)</f>
        <v>Northern</v>
      </c>
      <c r="L770">
        <f>VLOOKUP(A770,[1]Order_Details!$A$1:$F$2156,2,FALSE)</f>
        <v>31</v>
      </c>
      <c r="M770" t="str">
        <f>VLOOKUP(L770,[1]!Products,2,FALSE)</f>
        <v>Gorgonzola Telino</v>
      </c>
      <c r="N770">
        <f>VLOOKUP(L770,[1]!Products,4,FALSE)</f>
        <v>4</v>
      </c>
      <c r="O770" s="6" t="str">
        <f>VLOOKUP(N770,[1]!Categories,2,FALSE)</f>
        <v>Dairy Products</v>
      </c>
      <c r="P770" s="6">
        <f>VLOOKUP(A770,[1]Order_Details!$A$1:$F$2156,3,FALSE)</f>
        <v>12.5</v>
      </c>
      <c r="Q770">
        <f>VLOOKUP(A770,[1]Order_Details!$A$1:$F$2156,4,FALSE)</f>
        <v>15</v>
      </c>
      <c r="R770">
        <f>VLOOKUP(A770,[1]Order_Details!$A$1:$F$2156,5,FALSE)</f>
        <v>0</v>
      </c>
      <c r="S770" s="6">
        <f>VLOOKUP(A770,[1]Order_Details!$A$1:$F$2156,6,FALSE)</f>
        <v>187.5</v>
      </c>
      <c r="T770" s="6">
        <f>VLOOKUP(A770,[1]!Orders,8,FALSE)</f>
        <v>33.799999999999997</v>
      </c>
    </row>
    <row r="771" spans="1:20" x14ac:dyDescent="0.3">
      <c r="A771" s="2">
        <v>11017</v>
      </c>
      <c r="B771" s="2" t="s">
        <v>13</v>
      </c>
      <c r="C771" s="2">
        <v>9</v>
      </c>
      <c r="D771" s="3">
        <v>35898</v>
      </c>
      <c r="E771" t="str">
        <f>VLOOKUP(C771,[1]Employees!$A$1:$O$10,4,FALSE)</f>
        <v>Dodsworth Anne</v>
      </c>
      <c r="F771">
        <f>VLOOKUP(A771,[1]!Orders,7,FALSE)</f>
        <v>2</v>
      </c>
      <c r="G771" t="str">
        <f>VLOOKUP(F771,[1]!Shippers,2,FALSE)</f>
        <v>United Package</v>
      </c>
      <c r="H771" t="str">
        <f>VLOOKUP(C771,[1]EmployeeTerritories!$A$1:$B$50,2,FALSE)</f>
        <v>03049</v>
      </c>
      <c r="I771">
        <f>VLOOKUP(C771,[1]EmployeeTerritories!$A$1:$B$50,1,FALSE)</f>
        <v>9</v>
      </c>
      <c r="J771">
        <f>VLOOKUP(H771,[1]!Territories,3,FALSE)</f>
        <v>3</v>
      </c>
      <c r="K771" t="str">
        <f>VLOOKUP(J771,[1]!Region,2,FALSE)</f>
        <v>Northern</v>
      </c>
      <c r="L771">
        <f>VLOOKUP(A771,[1]Order_Details!$A$1:$F$2156,2,FALSE)</f>
        <v>3</v>
      </c>
      <c r="M771" t="str">
        <f>VLOOKUP(L771,[1]!Products,2,FALSE)</f>
        <v>Aniseed Syrup</v>
      </c>
      <c r="N771">
        <f>VLOOKUP(L771,[1]!Products,4,FALSE)</f>
        <v>2</v>
      </c>
      <c r="O771" s="6" t="str">
        <f>VLOOKUP(N771,[1]!Categories,2,FALSE)</f>
        <v>Condiments</v>
      </c>
      <c r="P771" s="6">
        <f>VLOOKUP(A771,[1]Order_Details!$A$1:$F$2156,3,FALSE)</f>
        <v>10</v>
      </c>
      <c r="Q771">
        <f>VLOOKUP(A771,[1]Order_Details!$A$1:$F$2156,4,FALSE)</f>
        <v>25</v>
      </c>
      <c r="R771">
        <f>VLOOKUP(A771,[1]Order_Details!$A$1:$F$2156,5,FALSE)</f>
        <v>0</v>
      </c>
      <c r="S771" s="6">
        <f>VLOOKUP(A771,[1]Order_Details!$A$1:$F$2156,6,FALSE)</f>
        <v>250</v>
      </c>
      <c r="T771" s="6">
        <f>VLOOKUP(A771,[1]!Orders,8,FALSE)</f>
        <v>754.26</v>
      </c>
    </row>
    <row r="772" spans="1:20" x14ac:dyDescent="0.3">
      <c r="A772" s="2">
        <v>11018</v>
      </c>
      <c r="B772" s="2" t="s">
        <v>42</v>
      </c>
      <c r="C772" s="2">
        <v>4</v>
      </c>
      <c r="D772" s="3">
        <v>35898</v>
      </c>
      <c r="E772" t="str">
        <f>VLOOKUP(C772,[1]Employees!$A$1:$O$10,4,FALSE)</f>
        <v>Peacock Margaret</v>
      </c>
      <c r="F772">
        <f>VLOOKUP(A772,[1]!Orders,7,FALSE)</f>
        <v>2</v>
      </c>
      <c r="G772" t="str">
        <f>VLOOKUP(F772,[1]!Shippers,2,FALSE)</f>
        <v>United Package</v>
      </c>
      <c r="H772" t="str">
        <f>VLOOKUP(C772,[1]EmployeeTerritories!$A$1:$B$50,2,FALSE)</f>
        <v>20852</v>
      </c>
      <c r="I772">
        <f>VLOOKUP(C772,[1]EmployeeTerritories!$A$1:$B$50,1,FALSE)</f>
        <v>4</v>
      </c>
      <c r="J772">
        <f>VLOOKUP(H772,[1]!Territories,3,FALSE)</f>
        <v>1</v>
      </c>
      <c r="K772" t="str">
        <f>VLOOKUP(J772,[1]!Region,2,FALSE)</f>
        <v>Eastern</v>
      </c>
      <c r="L772">
        <f>VLOOKUP(A772,[1]Order_Details!$A$1:$F$2156,2,FALSE)</f>
        <v>12</v>
      </c>
      <c r="M772" t="str">
        <f>VLOOKUP(L772,[1]!Products,2,FALSE)</f>
        <v>Queso Manchego La Pastora</v>
      </c>
      <c r="N772">
        <f>VLOOKUP(L772,[1]!Products,4,FALSE)</f>
        <v>4</v>
      </c>
      <c r="O772" s="6" t="str">
        <f>VLOOKUP(N772,[1]!Categories,2,FALSE)</f>
        <v>Dairy Products</v>
      </c>
      <c r="P772" s="6">
        <f>VLOOKUP(A772,[1]Order_Details!$A$1:$F$2156,3,FALSE)</f>
        <v>38</v>
      </c>
      <c r="Q772">
        <f>VLOOKUP(A772,[1]Order_Details!$A$1:$F$2156,4,FALSE)</f>
        <v>20</v>
      </c>
      <c r="R772">
        <f>VLOOKUP(A772,[1]Order_Details!$A$1:$F$2156,5,FALSE)</f>
        <v>0</v>
      </c>
      <c r="S772" s="6">
        <f>VLOOKUP(A772,[1]Order_Details!$A$1:$F$2156,6,FALSE)</f>
        <v>760</v>
      </c>
      <c r="T772" s="6">
        <f>VLOOKUP(A772,[1]!Orders,8,FALSE)</f>
        <v>11.65</v>
      </c>
    </row>
    <row r="773" spans="1:20" x14ac:dyDescent="0.3">
      <c r="A773" s="2">
        <v>11019</v>
      </c>
      <c r="B773" s="2" t="s">
        <v>77</v>
      </c>
      <c r="C773" s="2">
        <v>6</v>
      </c>
      <c r="D773" s="3">
        <v>35898</v>
      </c>
      <c r="E773" t="str">
        <f>VLOOKUP(C773,[1]Employees!$A$1:$O$10,4,FALSE)</f>
        <v>Suyama Michael</v>
      </c>
      <c r="F773">
        <f>VLOOKUP(A773,[1]!Orders,7,FALSE)</f>
        <v>3</v>
      </c>
      <c r="G773" t="str">
        <f>VLOOKUP(F773,[1]!Shippers,2,FALSE)</f>
        <v>Federal Shipping</v>
      </c>
      <c r="H773" t="str">
        <f>VLOOKUP(C773,[1]EmployeeTerritories!$A$1:$B$50,2,FALSE)</f>
        <v>85014</v>
      </c>
      <c r="I773">
        <f>VLOOKUP(C773,[1]EmployeeTerritories!$A$1:$B$50,1,FALSE)</f>
        <v>6</v>
      </c>
      <c r="J773">
        <f>VLOOKUP(H773,[1]!Territories,3,FALSE)</f>
        <v>2</v>
      </c>
      <c r="K773" t="str">
        <f>VLOOKUP(J773,[1]!Region,2,FALSE)</f>
        <v>Western</v>
      </c>
      <c r="L773">
        <f>VLOOKUP(A773,[1]Order_Details!$A$1:$F$2156,2,FALSE)</f>
        <v>46</v>
      </c>
      <c r="M773" t="str">
        <f>VLOOKUP(L773,[1]!Products,2,FALSE)</f>
        <v>Spegesild</v>
      </c>
      <c r="N773">
        <f>VLOOKUP(L773,[1]!Products,4,FALSE)</f>
        <v>8</v>
      </c>
      <c r="O773" s="6" t="str">
        <f>VLOOKUP(N773,[1]!Categories,2,FALSE)</f>
        <v>Seafood</v>
      </c>
      <c r="P773" s="6">
        <f>VLOOKUP(A773,[1]Order_Details!$A$1:$F$2156,3,FALSE)</f>
        <v>12</v>
      </c>
      <c r="Q773">
        <f>VLOOKUP(A773,[1]Order_Details!$A$1:$F$2156,4,FALSE)</f>
        <v>3</v>
      </c>
      <c r="R773">
        <f>VLOOKUP(A773,[1]Order_Details!$A$1:$F$2156,5,FALSE)</f>
        <v>0</v>
      </c>
      <c r="S773" s="6">
        <f>VLOOKUP(A773,[1]Order_Details!$A$1:$F$2156,6,FALSE)</f>
        <v>36</v>
      </c>
      <c r="T773" s="6">
        <f>VLOOKUP(A773,[1]!Orders,8,FALSE)</f>
        <v>3.17</v>
      </c>
    </row>
    <row r="774" spans="1:20" x14ac:dyDescent="0.3">
      <c r="A774" s="2">
        <v>11020</v>
      </c>
      <c r="B774" s="2" t="s">
        <v>15</v>
      </c>
      <c r="C774" s="2">
        <v>2</v>
      </c>
      <c r="D774" s="3">
        <v>35899</v>
      </c>
      <c r="E774" t="str">
        <f>VLOOKUP(C774,[1]Employees!$A$1:$O$10,4,FALSE)</f>
        <v>Fuller Andrew</v>
      </c>
      <c r="F774">
        <f>VLOOKUP(A774,[1]!Orders,7,FALSE)</f>
        <v>2</v>
      </c>
      <c r="G774" t="str">
        <f>VLOOKUP(F774,[1]!Shippers,2,FALSE)</f>
        <v>United Package</v>
      </c>
      <c r="H774" t="str">
        <f>VLOOKUP(C774,[1]EmployeeTerritories!$A$1:$B$50,2,FALSE)</f>
        <v>01581</v>
      </c>
      <c r="I774">
        <f>VLOOKUP(C774,[1]EmployeeTerritories!$A$1:$B$50,1,FALSE)</f>
        <v>2</v>
      </c>
      <c r="J774">
        <f>VLOOKUP(H774,[1]!Territories,3,FALSE)</f>
        <v>1</v>
      </c>
      <c r="K774" t="str">
        <f>VLOOKUP(J774,[1]!Region,2,FALSE)</f>
        <v>Eastern</v>
      </c>
      <c r="L774">
        <f>VLOOKUP(A774,[1]Order_Details!$A$1:$F$2156,2,FALSE)</f>
        <v>10</v>
      </c>
      <c r="M774" t="str">
        <f>VLOOKUP(L774,[1]!Products,2,FALSE)</f>
        <v>Ikura</v>
      </c>
      <c r="N774">
        <f>VLOOKUP(L774,[1]!Products,4,FALSE)</f>
        <v>8</v>
      </c>
      <c r="O774" s="6" t="str">
        <f>VLOOKUP(N774,[1]!Categories,2,FALSE)</f>
        <v>Seafood</v>
      </c>
      <c r="P774" s="6">
        <f>VLOOKUP(A774,[1]Order_Details!$A$1:$F$2156,3,FALSE)</f>
        <v>31</v>
      </c>
      <c r="Q774">
        <f>VLOOKUP(A774,[1]Order_Details!$A$1:$F$2156,4,FALSE)</f>
        <v>24</v>
      </c>
      <c r="R774">
        <f>VLOOKUP(A774,[1]Order_Details!$A$1:$F$2156,5,FALSE)</f>
        <v>0.15000000596046448</v>
      </c>
      <c r="S774" s="6">
        <f>VLOOKUP(A774,[1]Order_Details!$A$1:$F$2156,6,FALSE)</f>
        <v>632.39999556541443</v>
      </c>
      <c r="T774" s="6">
        <f>VLOOKUP(A774,[1]!Orders,8,FALSE)</f>
        <v>43.3</v>
      </c>
    </row>
    <row r="775" spans="1:20" x14ac:dyDescent="0.3">
      <c r="A775" s="2">
        <v>11021</v>
      </c>
      <c r="B775" s="2" t="s">
        <v>25</v>
      </c>
      <c r="C775" s="2">
        <v>3</v>
      </c>
      <c r="D775" s="3">
        <v>35899</v>
      </c>
      <c r="E775" t="str">
        <f>VLOOKUP(C775,[1]Employees!$A$1:$O$10,4,FALSE)</f>
        <v>Leverling Janet</v>
      </c>
      <c r="F775">
        <f>VLOOKUP(A775,[1]!Orders,7,FALSE)</f>
        <v>1</v>
      </c>
      <c r="G775" t="str">
        <f>VLOOKUP(F775,[1]!Shippers,2,FALSE)</f>
        <v>Speedy Express</v>
      </c>
      <c r="H775" t="str">
        <f>VLOOKUP(C775,[1]EmployeeTerritories!$A$1:$B$50,2,FALSE)</f>
        <v>30346</v>
      </c>
      <c r="I775">
        <f>VLOOKUP(C775,[1]EmployeeTerritories!$A$1:$B$50,1,FALSE)</f>
        <v>3</v>
      </c>
      <c r="J775">
        <f>VLOOKUP(H775,[1]!Territories,3,FALSE)</f>
        <v>4</v>
      </c>
      <c r="K775" t="str">
        <f>VLOOKUP(J775,[1]!Region,2,FALSE)</f>
        <v>Southern</v>
      </c>
      <c r="L775">
        <f>VLOOKUP(A775,[1]Order_Details!$A$1:$F$2156,2,FALSE)</f>
        <v>2</v>
      </c>
      <c r="M775" t="str">
        <f>VLOOKUP(L775,[1]!Products,2,FALSE)</f>
        <v>Chang</v>
      </c>
      <c r="N775">
        <f>VLOOKUP(L775,[1]!Products,4,FALSE)</f>
        <v>1</v>
      </c>
      <c r="O775" s="6" t="str">
        <f>VLOOKUP(N775,[1]!Categories,2,FALSE)</f>
        <v>Beverages</v>
      </c>
      <c r="P775" s="6">
        <f>VLOOKUP(A775,[1]Order_Details!$A$1:$F$2156,3,FALSE)</f>
        <v>19</v>
      </c>
      <c r="Q775">
        <f>VLOOKUP(A775,[1]Order_Details!$A$1:$F$2156,4,FALSE)</f>
        <v>11</v>
      </c>
      <c r="R775">
        <f>VLOOKUP(A775,[1]Order_Details!$A$1:$F$2156,5,FALSE)</f>
        <v>0.25</v>
      </c>
      <c r="S775" s="6">
        <f>VLOOKUP(A775,[1]Order_Details!$A$1:$F$2156,6,FALSE)</f>
        <v>156.75</v>
      </c>
      <c r="T775" s="6">
        <f>VLOOKUP(A775,[1]!Orders,8,FALSE)</f>
        <v>297.18</v>
      </c>
    </row>
    <row r="776" spans="1:20" x14ac:dyDescent="0.3">
      <c r="A776" s="2">
        <v>11022</v>
      </c>
      <c r="B776" s="2" t="s">
        <v>6</v>
      </c>
      <c r="C776" s="2">
        <v>9</v>
      </c>
      <c r="D776" s="3">
        <v>35899</v>
      </c>
      <c r="E776" t="str">
        <f>VLOOKUP(C776,[1]Employees!$A$1:$O$10,4,FALSE)</f>
        <v>Dodsworth Anne</v>
      </c>
      <c r="F776">
        <f>VLOOKUP(A776,[1]!Orders,7,FALSE)</f>
        <v>2</v>
      </c>
      <c r="G776" t="str">
        <f>VLOOKUP(F776,[1]!Shippers,2,FALSE)</f>
        <v>United Package</v>
      </c>
      <c r="H776" t="str">
        <f>VLOOKUP(C776,[1]EmployeeTerritories!$A$1:$B$50,2,FALSE)</f>
        <v>03049</v>
      </c>
      <c r="I776">
        <f>VLOOKUP(C776,[1]EmployeeTerritories!$A$1:$B$50,1,FALSE)</f>
        <v>9</v>
      </c>
      <c r="J776">
        <f>VLOOKUP(H776,[1]!Territories,3,FALSE)</f>
        <v>3</v>
      </c>
      <c r="K776" t="str">
        <f>VLOOKUP(J776,[1]!Region,2,FALSE)</f>
        <v>Northern</v>
      </c>
      <c r="L776">
        <f>VLOOKUP(A776,[1]Order_Details!$A$1:$F$2156,2,FALSE)</f>
        <v>19</v>
      </c>
      <c r="M776" t="str">
        <f>VLOOKUP(L776,[1]!Products,2,FALSE)</f>
        <v>Teatime Chocolate Biscuits</v>
      </c>
      <c r="N776">
        <f>VLOOKUP(L776,[1]!Products,4,FALSE)</f>
        <v>3</v>
      </c>
      <c r="O776" s="6" t="str">
        <f>VLOOKUP(N776,[1]!Categories,2,FALSE)</f>
        <v>Confections</v>
      </c>
      <c r="P776" s="6">
        <f>VLOOKUP(A776,[1]Order_Details!$A$1:$F$2156,3,FALSE)</f>
        <v>9.1999999999999993</v>
      </c>
      <c r="Q776">
        <f>VLOOKUP(A776,[1]Order_Details!$A$1:$F$2156,4,FALSE)</f>
        <v>35</v>
      </c>
      <c r="R776">
        <f>VLOOKUP(A776,[1]Order_Details!$A$1:$F$2156,5,FALSE)</f>
        <v>0</v>
      </c>
      <c r="S776" s="6">
        <f>VLOOKUP(A776,[1]Order_Details!$A$1:$F$2156,6,FALSE)</f>
        <v>322</v>
      </c>
      <c r="T776" s="6">
        <f>VLOOKUP(A776,[1]!Orders,8,FALSE)</f>
        <v>6.27</v>
      </c>
    </row>
    <row r="777" spans="1:20" x14ac:dyDescent="0.3">
      <c r="A777" s="2">
        <v>11023</v>
      </c>
      <c r="B777" s="2" t="s">
        <v>35</v>
      </c>
      <c r="C777" s="2">
        <v>1</v>
      </c>
      <c r="D777" s="3">
        <v>35899</v>
      </c>
      <c r="E777" t="str">
        <f>VLOOKUP(C777,[1]Employees!$A$1:$O$10,4,FALSE)</f>
        <v>Davolio Nancy</v>
      </c>
      <c r="F777">
        <f>VLOOKUP(A777,[1]!Orders,7,FALSE)</f>
        <v>2</v>
      </c>
      <c r="G777" t="str">
        <f>VLOOKUP(F777,[1]!Shippers,2,FALSE)</f>
        <v>United Package</v>
      </c>
      <c r="H777" t="str">
        <f>VLOOKUP(C777,[1]EmployeeTerritories!$A$1:$B$50,2,FALSE)</f>
        <v>06897</v>
      </c>
      <c r="I777">
        <f>VLOOKUP(C777,[1]EmployeeTerritories!$A$1:$B$50,1,FALSE)</f>
        <v>1</v>
      </c>
      <c r="J777">
        <f>VLOOKUP(H777,[1]!Territories,3,FALSE)</f>
        <v>1</v>
      </c>
      <c r="K777" t="str">
        <f>VLOOKUP(J777,[1]!Region,2,FALSE)</f>
        <v>Eastern</v>
      </c>
      <c r="L777">
        <f>VLOOKUP(A777,[1]Order_Details!$A$1:$F$2156,2,FALSE)</f>
        <v>7</v>
      </c>
      <c r="M777" t="str">
        <f>VLOOKUP(L777,[1]!Products,2,FALSE)</f>
        <v>Uncle Bob's Organic Dried Pears</v>
      </c>
      <c r="N777">
        <f>VLOOKUP(L777,[1]!Products,4,FALSE)</f>
        <v>7</v>
      </c>
      <c r="O777" s="6" t="str">
        <f>VLOOKUP(N777,[1]!Categories,2,FALSE)</f>
        <v>Produce</v>
      </c>
      <c r="P777" s="6">
        <f>VLOOKUP(A777,[1]Order_Details!$A$1:$F$2156,3,FALSE)</f>
        <v>30</v>
      </c>
      <c r="Q777">
        <f>VLOOKUP(A777,[1]Order_Details!$A$1:$F$2156,4,FALSE)</f>
        <v>4</v>
      </c>
      <c r="R777">
        <f>VLOOKUP(A777,[1]Order_Details!$A$1:$F$2156,5,FALSE)</f>
        <v>0</v>
      </c>
      <c r="S777" s="6">
        <f>VLOOKUP(A777,[1]Order_Details!$A$1:$F$2156,6,FALSE)</f>
        <v>120</v>
      </c>
      <c r="T777" s="6">
        <f>VLOOKUP(A777,[1]!Orders,8,FALSE)</f>
        <v>123.83</v>
      </c>
    </row>
    <row r="778" spans="1:20" x14ac:dyDescent="0.3">
      <c r="A778" s="2">
        <v>11024</v>
      </c>
      <c r="B778" s="2" t="s">
        <v>62</v>
      </c>
      <c r="C778" s="2">
        <v>4</v>
      </c>
      <c r="D778" s="3">
        <v>35900</v>
      </c>
      <c r="E778" t="str">
        <f>VLOOKUP(C778,[1]Employees!$A$1:$O$10,4,FALSE)</f>
        <v>Peacock Margaret</v>
      </c>
      <c r="F778">
        <f>VLOOKUP(A778,[1]!Orders,7,FALSE)</f>
        <v>1</v>
      </c>
      <c r="G778" t="str">
        <f>VLOOKUP(F778,[1]!Shippers,2,FALSE)</f>
        <v>Speedy Express</v>
      </c>
      <c r="H778" t="str">
        <f>VLOOKUP(C778,[1]EmployeeTerritories!$A$1:$B$50,2,FALSE)</f>
        <v>20852</v>
      </c>
      <c r="I778">
        <f>VLOOKUP(C778,[1]EmployeeTerritories!$A$1:$B$50,1,FALSE)</f>
        <v>4</v>
      </c>
      <c r="J778">
        <f>VLOOKUP(H778,[1]!Territories,3,FALSE)</f>
        <v>1</v>
      </c>
      <c r="K778" t="str">
        <f>VLOOKUP(J778,[1]!Region,2,FALSE)</f>
        <v>Eastern</v>
      </c>
      <c r="L778">
        <f>VLOOKUP(A778,[1]Order_Details!$A$1:$F$2156,2,FALSE)</f>
        <v>26</v>
      </c>
      <c r="M778" t="str">
        <f>VLOOKUP(L778,[1]!Products,2,FALSE)</f>
        <v>Gumbär Gummibärchen</v>
      </c>
      <c r="N778">
        <f>VLOOKUP(L778,[1]!Products,4,FALSE)</f>
        <v>3</v>
      </c>
      <c r="O778" s="6" t="str">
        <f>VLOOKUP(N778,[1]!Categories,2,FALSE)</f>
        <v>Confections</v>
      </c>
      <c r="P778" s="6">
        <f>VLOOKUP(A778,[1]Order_Details!$A$1:$F$2156,3,FALSE)</f>
        <v>31.23</v>
      </c>
      <c r="Q778">
        <f>VLOOKUP(A778,[1]Order_Details!$A$1:$F$2156,4,FALSE)</f>
        <v>12</v>
      </c>
      <c r="R778">
        <f>VLOOKUP(A778,[1]Order_Details!$A$1:$F$2156,5,FALSE)</f>
        <v>0</v>
      </c>
      <c r="S778" s="6">
        <f>VLOOKUP(A778,[1]Order_Details!$A$1:$F$2156,6,FALSE)</f>
        <v>374.76</v>
      </c>
      <c r="T778" s="6">
        <f>VLOOKUP(A778,[1]!Orders,8,FALSE)</f>
        <v>74.36</v>
      </c>
    </row>
    <row r="779" spans="1:20" x14ac:dyDescent="0.3">
      <c r="A779" s="2">
        <v>11025</v>
      </c>
      <c r="B779" s="2" t="s">
        <v>20</v>
      </c>
      <c r="C779" s="2">
        <v>6</v>
      </c>
      <c r="D779" s="3">
        <v>35900</v>
      </c>
      <c r="E779" t="str">
        <f>VLOOKUP(C779,[1]Employees!$A$1:$O$10,4,FALSE)</f>
        <v>Suyama Michael</v>
      </c>
      <c r="F779">
        <f>VLOOKUP(A779,[1]!Orders,7,FALSE)</f>
        <v>3</v>
      </c>
      <c r="G779" t="str">
        <f>VLOOKUP(F779,[1]!Shippers,2,FALSE)</f>
        <v>Federal Shipping</v>
      </c>
      <c r="H779" t="str">
        <f>VLOOKUP(C779,[1]EmployeeTerritories!$A$1:$B$50,2,FALSE)</f>
        <v>85014</v>
      </c>
      <c r="I779">
        <f>VLOOKUP(C779,[1]EmployeeTerritories!$A$1:$B$50,1,FALSE)</f>
        <v>6</v>
      </c>
      <c r="J779">
        <f>VLOOKUP(H779,[1]!Territories,3,FALSE)</f>
        <v>2</v>
      </c>
      <c r="K779" t="str">
        <f>VLOOKUP(J779,[1]!Region,2,FALSE)</f>
        <v>Western</v>
      </c>
      <c r="L779">
        <f>VLOOKUP(A779,[1]Order_Details!$A$1:$F$2156,2,FALSE)</f>
        <v>1</v>
      </c>
      <c r="M779" t="str">
        <f>VLOOKUP(L779,[1]!Products,2,FALSE)</f>
        <v>Chai</v>
      </c>
      <c r="N779">
        <f>VLOOKUP(L779,[1]!Products,4,FALSE)</f>
        <v>1</v>
      </c>
      <c r="O779" s="6" t="str">
        <f>VLOOKUP(N779,[1]!Categories,2,FALSE)</f>
        <v>Beverages</v>
      </c>
      <c r="P779" s="6">
        <f>VLOOKUP(A779,[1]Order_Details!$A$1:$F$2156,3,FALSE)</f>
        <v>18</v>
      </c>
      <c r="Q779">
        <f>VLOOKUP(A779,[1]Order_Details!$A$1:$F$2156,4,FALSE)</f>
        <v>10</v>
      </c>
      <c r="R779">
        <f>VLOOKUP(A779,[1]Order_Details!$A$1:$F$2156,5,FALSE)</f>
        <v>0.10000000149011612</v>
      </c>
      <c r="S779" s="6">
        <f>VLOOKUP(A779,[1]Order_Details!$A$1:$F$2156,6,FALSE)</f>
        <v>161.9999997317791</v>
      </c>
      <c r="T779" s="6">
        <f>VLOOKUP(A779,[1]!Orders,8,FALSE)</f>
        <v>29.17</v>
      </c>
    </row>
    <row r="780" spans="1:20" x14ac:dyDescent="0.3">
      <c r="A780" s="2">
        <v>11026</v>
      </c>
      <c r="B780" s="2" t="s">
        <v>74</v>
      </c>
      <c r="C780" s="2">
        <v>4</v>
      </c>
      <c r="D780" s="3">
        <v>35900</v>
      </c>
      <c r="E780" t="str">
        <f>VLOOKUP(C780,[1]Employees!$A$1:$O$10,4,FALSE)</f>
        <v>Peacock Margaret</v>
      </c>
      <c r="F780">
        <f>VLOOKUP(A780,[1]!Orders,7,FALSE)</f>
        <v>1</v>
      </c>
      <c r="G780" t="str">
        <f>VLOOKUP(F780,[1]!Shippers,2,FALSE)</f>
        <v>Speedy Express</v>
      </c>
      <c r="H780" t="str">
        <f>VLOOKUP(C780,[1]EmployeeTerritories!$A$1:$B$50,2,FALSE)</f>
        <v>20852</v>
      </c>
      <c r="I780">
        <f>VLOOKUP(C780,[1]EmployeeTerritories!$A$1:$B$50,1,FALSE)</f>
        <v>4</v>
      </c>
      <c r="J780">
        <f>VLOOKUP(H780,[1]!Territories,3,FALSE)</f>
        <v>1</v>
      </c>
      <c r="K780" t="str">
        <f>VLOOKUP(J780,[1]!Region,2,FALSE)</f>
        <v>Eastern</v>
      </c>
      <c r="L780">
        <f>VLOOKUP(A780,[1]Order_Details!$A$1:$F$2156,2,FALSE)</f>
        <v>18</v>
      </c>
      <c r="M780" t="str">
        <f>VLOOKUP(L780,[1]!Products,2,FALSE)</f>
        <v>Carnarvon Tigers</v>
      </c>
      <c r="N780">
        <f>VLOOKUP(L780,[1]!Products,4,FALSE)</f>
        <v>8</v>
      </c>
      <c r="O780" s="6" t="str">
        <f>VLOOKUP(N780,[1]!Categories,2,FALSE)</f>
        <v>Seafood</v>
      </c>
      <c r="P780" s="6">
        <f>VLOOKUP(A780,[1]Order_Details!$A$1:$F$2156,3,FALSE)</f>
        <v>62.5</v>
      </c>
      <c r="Q780">
        <f>VLOOKUP(A780,[1]Order_Details!$A$1:$F$2156,4,FALSE)</f>
        <v>8</v>
      </c>
      <c r="R780">
        <f>VLOOKUP(A780,[1]Order_Details!$A$1:$F$2156,5,FALSE)</f>
        <v>0</v>
      </c>
      <c r="S780" s="6">
        <f>VLOOKUP(A780,[1]Order_Details!$A$1:$F$2156,6,FALSE)</f>
        <v>500</v>
      </c>
      <c r="T780" s="6">
        <f>VLOOKUP(A780,[1]!Orders,8,FALSE)</f>
        <v>47.09</v>
      </c>
    </row>
    <row r="781" spans="1:20" x14ac:dyDescent="0.3">
      <c r="A781" s="2">
        <v>11027</v>
      </c>
      <c r="B781" s="2" t="s">
        <v>70</v>
      </c>
      <c r="C781" s="2">
        <v>1</v>
      </c>
      <c r="D781" s="3">
        <v>35901</v>
      </c>
      <c r="E781" t="str">
        <f>VLOOKUP(C781,[1]Employees!$A$1:$O$10,4,FALSE)</f>
        <v>Davolio Nancy</v>
      </c>
      <c r="F781">
        <f>VLOOKUP(A781,[1]!Orders,7,FALSE)</f>
        <v>1</v>
      </c>
      <c r="G781" t="str">
        <f>VLOOKUP(F781,[1]!Shippers,2,FALSE)</f>
        <v>Speedy Express</v>
      </c>
      <c r="H781" t="str">
        <f>VLOOKUP(C781,[1]EmployeeTerritories!$A$1:$B$50,2,FALSE)</f>
        <v>06897</v>
      </c>
      <c r="I781">
        <f>VLOOKUP(C781,[1]EmployeeTerritories!$A$1:$B$50,1,FALSE)</f>
        <v>1</v>
      </c>
      <c r="J781">
        <f>VLOOKUP(H781,[1]!Territories,3,FALSE)</f>
        <v>1</v>
      </c>
      <c r="K781" t="str">
        <f>VLOOKUP(J781,[1]!Region,2,FALSE)</f>
        <v>Eastern</v>
      </c>
      <c r="L781">
        <f>VLOOKUP(A781,[1]Order_Details!$A$1:$F$2156,2,FALSE)</f>
        <v>24</v>
      </c>
      <c r="M781" t="str">
        <f>VLOOKUP(L781,[1]!Products,2,FALSE)</f>
        <v>Guaraná Fantástica</v>
      </c>
      <c r="N781">
        <f>VLOOKUP(L781,[1]!Products,4,FALSE)</f>
        <v>1</v>
      </c>
      <c r="O781" s="6" t="str">
        <f>VLOOKUP(N781,[1]!Categories,2,FALSE)</f>
        <v>Beverages</v>
      </c>
      <c r="P781" s="6">
        <f>VLOOKUP(A781,[1]Order_Details!$A$1:$F$2156,3,FALSE)</f>
        <v>4.5</v>
      </c>
      <c r="Q781">
        <f>VLOOKUP(A781,[1]Order_Details!$A$1:$F$2156,4,FALSE)</f>
        <v>30</v>
      </c>
      <c r="R781">
        <f>VLOOKUP(A781,[1]Order_Details!$A$1:$F$2156,5,FALSE)</f>
        <v>0.25</v>
      </c>
      <c r="S781" s="6">
        <f>VLOOKUP(A781,[1]Order_Details!$A$1:$F$2156,6,FALSE)</f>
        <v>101.25</v>
      </c>
      <c r="T781" s="6">
        <f>VLOOKUP(A781,[1]!Orders,8,FALSE)</f>
        <v>52.52</v>
      </c>
    </row>
    <row r="782" spans="1:20" x14ac:dyDescent="0.3">
      <c r="A782" s="2">
        <v>11028</v>
      </c>
      <c r="B782" s="2" t="s">
        <v>48</v>
      </c>
      <c r="C782" s="2">
        <v>2</v>
      </c>
      <c r="D782" s="3">
        <v>35901</v>
      </c>
      <c r="E782" t="str">
        <f>VLOOKUP(C782,[1]Employees!$A$1:$O$10,4,FALSE)</f>
        <v>Fuller Andrew</v>
      </c>
      <c r="F782">
        <f>VLOOKUP(A782,[1]!Orders,7,FALSE)</f>
        <v>1</v>
      </c>
      <c r="G782" t="str">
        <f>VLOOKUP(F782,[1]!Shippers,2,FALSE)</f>
        <v>Speedy Express</v>
      </c>
      <c r="H782" t="str">
        <f>VLOOKUP(C782,[1]EmployeeTerritories!$A$1:$B$50,2,FALSE)</f>
        <v>01581</v>
      </c>
      <c r="I782">
        <f>VLOOKUP(C782,[1]EmployeeTerritories!$A$1:$B$50,1,FALSE)</f>
        <v>2</v>
      </c>
      <c r="J782">
        <f>VLOOKUP(H782,[1]!Territories,3,FALSE)</f>
        <v>1</v>
      </c>
      <c r="K782" t="str">
        <f>VLOOKUP(J782,[1]!Region,2,FALSE)</f>
        <v>Eastern</v>
      </c>
      <c r="L782">
        <f>VLOOKUP(A782,[1]Order_Details!$A$1:$F$2156,2,FALSE)</f>
        <v>55</v>
      </c>
      <c r="M782" t="str">
        <f>VLOOKUP(L782,[1]!Products,2,FALSE)</f>
        <v>Pâté chinois</v>
      </c>
      <c r="N782">
        <f>VLOOKUP(L782,[1]!Products,4,FALSE)</f>
        <v>6</v>
      </c>
      <c r="O782" s="6" t="str">
        <f>VLOOKUP(N782,[1]!Categories,2,FALSE)</f>
        <v>Meat/Poultry</v>
      </c>
      <c r="P782" s="6">
        <f>VLOOKUP(A782,[1]Order_Details!$A$1:$F$2156,3,FALSE)</f>
        <v>24</v>
      </c>
      <c r="Q782">
        <f>VLOOKUP(A782,[1]Order_Details!$A$1:$F$2156,4,FALSE)</f>
        <v>35</v>
      </c>
      <c r="R782">
        <f>VLOOKUP(A782,[1]Order_Details!$A$1:$F$2156,5,FALSE)</f>
        <v>0</v>
      </c>
      <c r="S782" s="6">
        <f>VLOOKUP(A782,[1]Order_Details!$A$1:$F$2156,6,FALSE)</f>
        <v>840</v>
      </c>
      <c r="T782" s="6">
        <f>VLOOKUP(A782,[1]!Orders,8,FALSE)</f>
        <v>29.59</v>
      </c>
    </row>
    <row r="783" spans="1:20" x14ac:dyDescent="0.3">
      <c r="A783" s="2">
        <v>11029</v>
      </c>
      <c r="B783" s="2" t="s">
        <v>9</v>
      </c>
      <c r="C783" s="2">
        <v>4</v>
      </c>
      <c r="D783" s="3">
        <v>35901</v>
      </c>
      <c r="E783" t="str">
        <f>VLOOKUP(C783,[1]Employees!$A$1:$O$10,4,FALSE)</f>
        <v>Peacock Margaret</v>
      </c>
      <c r="F783">
        <f>VLOOKUP(A783,[1]!Orders,7,FALSE)</f>
        <v>1</v>
      </c>
      <c r="G783" t="str">
        <f>VLOOKUP(F783,[1]!Shippers,2,FALSE)</f>
        <v>Speedy Express</v>
      </c>
      <c r="H783" t="str">
        <f>VLOOKUP(C783,[1]EmployeeTerritories!$A$1:$B$50,2,FALSE)</f>
        <v>20852</v>
      </c>
      <c r="I783">
        <f>VLOOKUP(C783,[1]EmployeeTerritories!$A$1:$B$50,1,FALSE)</f>
        <v>4</v>
      </c>
      <c r="J783">
        <f>VLOOKUP(H783,[1]!Territories,3,FALSE)</f>
        <v>1</v>
      </c>
      <c r="K783" t="str">
        <f>VLOOKUP(J783,[1]!Region,2,FALSE)</f>
        <v>Eastern</v>
      </c>
      <c r="L783">
        <f>VLOOKUP(A783,[1]Order_Details!$A$1:$F$2156,2,FALSE)</f>
        <v>56</v>
      </c>
      <c r="M783" t="str">
        <f>VLOOKUP(L783,[1]!Products,2,FALSE)</f>
        <v>Gnocchi di nonna Alice</v>
      </c>
      <c r="N783">
        <f>VLOOKUP(L783,[1]!Products,4,FALSE)</f>
        <v>5</v>
      </c>
      <c r="O783" s="6" t="str">
        <f>VLOOKUP(N783,[1]!Categories,2,FALSE)</f>
        <v>Grains/Cereals</v>
      </c>
      <c r="P783" s="6">
        <f>VLOOKUP(A783,[1]Order_Details!$A$1:$F$2156,3,FALSE)</f>
        <v>38</v>
      </c>
      <c r="Q783">
        <f>VLOOKUP(A783,[1]Order_Details!$A$1:$F$2156,4,FALSE)</f>
        <v>20</v>
      </c>
      <c r="R783">
        <f>VLOOKUP(A783,[1]Order_Details!$A$1:$F$2156,5,FALSE)</f>
        <v>0</v>
      </c>
      <c r="S783" s="6">
        <f>VLOOKUP(A783,[1]Order_Details!$A$1:$F$2156,6,FALSE)</f>
        <v>760</v>
      </c>
      <c r="T783" s="6">
        <f>VLOOKUP(A783,[1]!Orders,8,FALSE)</f>
        <v>47.84</v>
      </c>
    </row>
    <row r="784" spans="1:20" x14ac:dyDescent="0.3">
      <c r="A784" s="2">
        <v>11030</v>
      </c>
      <c r="B784" s="2" t="s">
        <v>49</v>
      </c>
      <c r="C784" s="2">
        <v>7</v>
      </c>
      <c r="D784" s="3">
        <v>35902</v>
      </c>
      <c r="E784" t="str">
        <f>VLOOKUP(C784,[1]Employees!$A$1:$O$10,4,FALSE)</f>
        <v>King Robert</v>
      </c>
      <c r="F784">
        <f>VLOOKUP(A784,[1]!Orders,7,FALSE)</f>
        <v>2</v>
      </c>
      <c r="G784" t="str">
        <f>VLOOKUP(F784,[1]!Shippers,2,FALSE)</f>
        <v>United Package</v>
      </c>
      <c r="H784" t="str">
        <f>VLOOKUP(C784,[1]EmployeeTerritories!$A$1:$B$50,2,FALSE)</f>
        <v>60179</v>
      </c>
      <c r="I784">
        <f>VLOOKUP(C784,[1]EmployeeTerritories!$A$1:$B$50,1,FALSE)</f>
        <v>7</v>
      </c>
      <c r="J784">
        <f>VLOOKUP(H784,[1]!Territories,3,FALSE)</f>
        <v>2</v>
      </c>
      <c r="K784" t="str">
        <f>VLOOKUP(J784,[1]!Region,2,FALSE)</f>
        <v>Western</v>
      </c>
      <c r="L784">
        <f>VLOOKUP(A784,[1]Order_Details!$A$1:$F$2156,2,FALSE)</f>
        <v>2</v>
      </c>
      <c r="M784" t="str">
        <f>VLOOKUP(L784,[1]!Products,2,FALSE)</f>
        <v>Chang</v>
      </c>
      <c r="N784">
        <f>VLOOKUP(L784,[1]!Products,4,FALSE)</f>
        <v>1</v>
      </c>
      <c r="O784" s="6" t="str">
        <f>VLOOKUP(N784,[1]!Categories,2,FALSE)</f>
        <v>Beverages</v>
      </c>
      <c r="P784" s="6">
        <f>VLOOKUP(A784,[1]Order_Details!$A$1:$F$2156,3,FALSE)</f>
        <v>19</v>
      </c>
      <c r="Q784">
        <f>VLOOKUP(A784,[1]Order_Details!$A$1:$F$2156,4,FALSE)</f>
        <v>100</v>
      </c>
      <c r="R784">
        <f>VLOOKUP(A784,[1]Order_Details!$A$1:$F$2156,5,FALSE)</f>
        <v>0.25</v>
      </c>
      <c r="S784" s="6">
        <f>VLOOKUP(A784,[1]Order_Details!$A$1:$F$2156,6,FALSE)</f>
        <v>1425</v>
      </c>
      <c r="T784" s="6">
        <f>VLOOKUP(A784,[1]!Orders,8,FALSE)</f>
        <v>830.75</v>
      </c>
    </row>
    <row r="785" spans="1:20" x14ac:dyDescent="0.3">
      <c r="A785" s="2">
        <v>11031</v>
      </c>
      <c r="B785" s="2" t="s">
        <v>49</v>
      </c>
      <c r="C785" s="2">
        <v>6</v>
      </c>
      <c r="D785" s="3">
        <v>35902</v>
      </c>
      <c r="E785" t="str">
        <f>VLOOKUP(C785,[1]Employees!$A$1:$O$10,4,FALSE)</f>
        <v>Suyama Michael</v>
      </c>
      <c r="F785">
        <f>VLOOKUP(A785,[1]!Orders,7,FALSE)</f>
        <v>2</v>
      </c>
      <c r="G785" t="str">
        <f>VLOOKUP(F785,[1]!Shippers,2,FALSE)</f>
        <v>United Package</v>
      </c>
      <c r="H785" t="str">
        <f>VLOOKUP(C785,[1]EmployeeTerritories!$A$1:$B$50,2,FALSE)</f>
        <v>85014</v>
      </c>
      <c r="I785">
        <f>VLOOKUP(C785,[1]EmployeeTerritories!$A$1:$B$50,1,FALSE)</f>
        <v>6</v>
      </c>
      <c r="J785">
        <f>VLOOKUP(H785,[1]!Territories,3,FALSE)</f>
        <v>2</v>
      </c>
      <c r="K785" t="str">
        <f>VLOOKUP(J785,[1]!Region,2,FALSE)</f>
        <v>Western</v>
      </c>
      <c r="L785">
        <f>VLOOKUP(A785,[1]Order_Details!$A$1:$F$2156,2,FALSE)</f>
        <v>1</v>
      </c>
      <c r="M785" t="str">
        <f>VLOOKUP(L785,[1]!Products,2,FALSE)</f>
        <v>Chai</v>
      </c>
      <c r="N785">
        <f>VLOOKUP(L785,[1]!Products,4,FALSE)</f>
        <v>1</v>
      </c>
      <c r="O785" s="6" t="str">
        <f>VLOOKUP(N785,[1]!Categories,2,FALSE)</f>
        <v>Beverages</v>
      </c>
      <c r="P785" s="6">
        <f>VLOOKUP(A785,[1]Order_Details!$A$1:$F$2156,3,FALSE)</f>
        <v>18</v>
      </c>
      <c r="Q785">
        <f>VLOOKUP(A785,[1]Order_Details!$A$1:$F$2156,4,FALSE)</f>
        <v>45</v>
      </c>
      <c r="R785">
        <f>VLOOKUP(A785,[1]Order_Details!$A$1:$F$2156,5,FALSE)</f>
        <v>0</v>
      </c>
      <c r="S785" s="6">
        <f>VLOOKUP(A785,[1]Order_Details!$A$1:$F$2156,6,FALSE)</f>
        <v>810</v>
      </c>
      <c r="T785" s="6">
        <f>VLOOKUP(A785,[1]!Orders,8,FALSE)</f>
        <v>227.22</v>
      </c>
    </row>
    <row r="786" spans="1:20" x14ac:dyDescent="0.3">
      <c r="A786" s="2">
        <v>11032</v>
      </c>
      <c r="B786" s="2" t="s">
        <v>23</v>
      </c>
      <c r="C786" s="2">
        <v>2</v>
      </c>
      <c r="D786" s="3">
        <v>35902</v>
      </c>
      <c r="E786" t="str">
        <f>VLOOKUP(C786,[1]Employees!$A$1:$O$10,4,FALSE)</f>
        <v>Fuller Andrew</v>
      </c>
      <c r="F786">
        <f>VLOOKUP(A786,[1]!Orders,7,FALSE)</f>
        <v>3</v>
      </c>
      <c r="G786" t="str">
        <f>VLOOKUP(F786,[1]!Shippers,2,FALSE)</f>
        <v>Federal Shipping</v>
      </c>
      <c r="H786" t="str">
        <f>VLOOKUP(C786,[1]EmployeeTerritories!$A$1:$B$50,2,FALSE)</f>
        <v>01581</v>
      </c>
      <c r="I786">
        <f>VLOOKUP(C786,[1]EmployeeTerritories!$A$1:$B$50,1,FALSE)</f>
        <v>2</v>
      </c>
      <c r="J786">
        <f>VLOOKUP(H786,[1]!Territories,3,FALSE)</f>
        <v>1</v>
      </c>
      <c r="K786" t="str">
        <f>VLOOKUP(J786,[1]!Region,2,FALSE)</f>
        <v>Eastern</v>
      </c>
      <c r="L786">
        <f>VLOOKUP(A786,[1]Order_Details!$A$1:$F$2156,2,FALSE)</f>
        <v>36</v>
      </c>
      <c r="M786" t="str">
        <f>VLOOKUP(L786,[1]!Products,2,FALSE)</f>
        <v>Inlagd Sill</v>
      </c>
      <c r="N786">
        <f>VLOOKUP(L786,[1]!Products,4,FALSE)</f>
        <v>8</v>
      </c>
      <c r="O786" s="6" t="str">
        <f>VLOOKUP(N786,[1]!Categories,2,FALSE)</f>
        <v>Seafood</v>
      </c>
      <c r="P786" s="6">
        <f>VLOOKUP(A786,[1]Order_Details!$A$1:$F$2156,3,FALSE)</f>
        <v>19</v>
      </c>
      <c r="Q786">
        <f>VLOOKUP(A786,[1]Order_Details!$A$1:$F$2156,4,FALSE)</f>
        <v>35</v>
      </c>
      <c r="R786">
        <f>VLOOKUP(A786,[1]Order_Details!$A$1:$F$2156,5,FALSE)</f>
        <v>0</v>
      </c>
      <c r="S786" s="6">
        <f>VLOOKUP(A786,[1]Order_Details!$A$1:$F$2156,6,FALSE)</f>
        <v>665</v>
      </c>
      <c r="T786" s="6">
        <f>VLOOKUP(A786,[1]!Orders,8,FALSE)</f>
        <v>606.19000000000005</v>
      </c>
    </row>
    <row r="787" spans="1:20" x14ac:dyDescent="0.3">
      <c r="A787" s="2">
        <v>11033</v>
      </c>
      <c r="B787" s="2" t="s">
        <v>10</v>
      </c>
      <c r="C787" s="2">
        <v>7</v>
      </c>
      <c r="D787" s="3">
        <v>35902</v>
      </c>
      <c r="E787" t="str">
        <f>VLOOKUP(C787,[1]Employees!$A$1:$O$10,4,FALSE)</f>
        <v>King Robert</v>
      </c>
      <c r="F787">
        <f>VLOOKUP(A787,[1]!Orders,7,FALSE)</f>
        <v>3</v>
      </c>
      <c r="G787" t="str">
        <f>VLOOKUP(F787,[1]!Shippers,2,FALSE)</f>
        <v>Federal Shipping</v>
      </c>
      <c r="H787" t="str">
        <f>VLOOKUP(C787,[1]EmployeeTerritories!$A$1:$B$50,2,FALSE)</f>
        <v>60179</v>
      </c>
      <c r="I787">
        <f>VLOOKUP(C787,[1]EmployeeTerritories!$A$1:$B$50,1,FALSE)</f>
        <v>7</v>
      </c>
      <c r="J787">
        <f>VLOOKUP(H787,[1]!Territories,3,FALSE)</f>
        <v>2</v>
      </c>
      <c r="K787" t="str">
        <f>VLOOKUP(J787,[1]!Region,2,FALSE)</f>
        <v>Western</v>
      </c>
      <c r="L787">
        <f>VLOOKUP(A787,[1]Order_Details!$A$1:$F$2156,2,FALSE)</f>
        <v>53</v>
      </c>
      <c r="M787" t="str">
        <f>VLOOKUP(L787,[1]!Products,2,FALSE)</f>
        <v>Perth Pasties</v>
      </c>
      <c r="N787">
        <f>VLOOKUP(L787,[1]!Products,4,FALSE)</f>
        <v>6</v>
      </c>
      <c r="O787" s="6" t="str">
        <f>VLOOKUP(N787,[1]!Categories,2,FALSE)</f>
        <v>Meat/Poultry</v>
      </c>
      <c r="P787" s="6">
        <f>VLOOKUP(A787,[1]Order_Details!$A$1:$F$2156,3,FALSE)</f>
        <v>32.799999999999997</v>
      </c>
      <c r="Q787">
        <f>VLOOKUP(A787,[1]Order_Details!$A$1:$F$2156,4,FALSE)</f>
        <v>70</v>
      </c>
      <c r="R787">
        <f>VLOOKUP(A787,[1]Order_Details!$A$1:$F$2156,5,FALSE)</f>
        <v>0.10000000149011612</v>
      </c>
      <c r="S787" s="6">
        <f>VLOOKUP(A787,[1]Order_Details!$A$1:$F$2156,6,FALSE)</f>
        <v>2066.3999965786934</v>
      </c>
      <c r="T787" s="6">
        <f>VLOOKUP(A787,[1]!Orders,8,FALSE)</f>
        <v>84.74</v>
      </c>
    </row>
    <row r="788" spans="1:20" x14ac:dyDescent="0.3">
      <c r="A788" s="2">
        <v>11034</v>
      </c>
      <c r="B788" s="2" t="s">
        <v>41</v>
      </c>
      <c r="C788" s="2">
        <v>8</v>
      </c>
      <c r="D788" s="3">
        <v>35905</v>
      </c>
      <c r="E788" t="str">
        <f>VLOOKUP(C788,[1]Employees!$A$1:$O$10,4,FALSE)</f>
        <v>Callahan Laura</v>
      </c>
      <c r="F788">
        <f>VLOOKUP(A788,[1]!Orders,7,FALSE)</f>
        <v>1</v>
      </c>
      <c r="G788" t="str">
        <f>VLOOKUP(F788,[1]!Shippers,2,FALSE)</f>
        <v>Speedy Express</v>
      </c>
      <c r="H788" t="str">
        <f>VLOOKUP(C788,[1]EmployeeTerritories!$A$1:$B$50,2,FALSE)</f>
        <v>19428</v>
      </c>
      <c r="I788">
        <f>VLOOKUP(C788,[1]EmployeeTerritories!$A$1:$B$50,1,FALSE)</f>
        <v>8</v>
      </c>
      <c r="J788">
        <f>VLOOKUP(H788,[1]!Territories,3,FALSE)</f>
        <v>3</v>
      </c>
      <c r="K788" t="str">
        <f>VLOOKUP(J788,[1]!Region,2,FALSE)</f>
        <v>Northern</v>
      </c>
      <c r="L788">
        <f>VLOOKUP(A788,[1]Order_Details!$A$1:$F$2156,2,FALSE)</f>
        <v>21</v>
      </c>
      <c r="M788" t="str">
        <f>VLOOKUP(L788,[1]!Products,2,FALSE)</f>
        <v>Sir Rodney's Scones</v>
      </c>
      <c r="N788">
        <f>VLOOKUP(L788,[1]!Products,4,FALSE)</f>
        <v>3</v>
      </c>
      <c r="O788" s="6" t="str">
        <f>VLOOKUP(N788,[1]!Categories,2,FALSE)</f>
        <v>Confections</v>
      </c>
      <c r="P788" s="6">
        <f>VLOOKUP(A788,[1]Order_Details!$A$1:$F$2156,3,FALSE)</f>
        <v>10</v>
      </c>
      <c r="Q788">
        <f>VLOOKUP(A788,[1]Order_Details!$A$1:$F$2156,4,FALSE)</f>
        <v>15</v>
      </c>
      <c r="R788">
        <f>VLOOKUP(A788,[1]Order_Details!$A$1:$F$2156,5,FALSE)</f>
        <v>0.10000000149011612</v>
      </c>
      <c r="S788" s="6">
        <f>VLOOKUP(A788,[1]Order_Details!$A$1:$F$2156,6,FALSE)</f>
        <v>134.99999977648258</v>
      </c>
      <c r="T788" s="6">
        <f>VLOOKUP(A788,[1]!Orders,8,FALSE)</f>
        <v>40.32</v>
      </c>
    </row>
    <row r="789" spans="1:20" x14ac:dyDescent="0.3">
      <c r="A789" s="2">
        <v>11035</v>
      </c>
      <c r="B789" s="2" t="s">
        <v>8</v>
      </c>
      <c r="C789" s="2">
        <v>2</v>
      </c>
      <c r="D789" s="3">
        <v>35905</v>
      </c>
      <c r="E789" t="str">
        <f>VLOOKUP(C789,[1]Employees!$A$1:$O$10,4,FALSE)</f>
        <v>Fuller Andrew</v>
      </c>
      <c r="F789">
        <f>VLOOKUP(A789,[1]!Orders,7,FALSE)</f>
        <v>2</v>
      </c>
      <c r="G789" t="str">
        <f>VLOOKUP(F789,[1]!Shippers,2,FALSE)</f>
        <v>United Package</v>
      </c>
      <c r="H789" t="str">
        <f>VLOOKUP(C789,[1]EmployeeTerritories!$A$1:$B$50,2,FALSE)</f>
        <v>01581</v>
      </c>
      <c r="I789">
        <f>VLOOKUP(C789,[1]EmployeeTerritories!$A$1:$B$50,1,FALSE)</f>
        <v>2</v>
      </c>
      <c r="J789">
        <f>VLOOKUP(H789,[1]!Territories,3,FALSE)</f>
        <v>1</v>
      </c>
      <c r="K789" t="str">
        <f>VLOOKUP(J789,[1]!Region,2,FALSE)</f>
        <v>Eastern</v>
      </c>
      <c r="L789">
        <f>VLOOKUP(A789,[1]Order_Details!$A$1:$F$2156,2,FALSE)</f>
        <v>1</v>
      </c>
      <c r="M789" t="str">
        <f>VLOOKUP(L789,[1]!Products,2,FALSE)</f>
        <v>Chai</v>
      </c>
      <c r="N789">
        <f>VLOOKUP(L789,[1]!Products,4,FALSE)</f>
        <v>1</v>
      </c>
      <c r="O789" s="6" t="str">
        <f>VLOOKUP(N789,[1]!Categories,2,FALSE)</f>
        <v>Beverages</v>
      </c>
      <c r="P789" s="6">
        <f>VLOOKUP(A789,[1]Order_Details!$A$1:$F$2156,3,FALSE)</f>
        <v>18</v>
      </c>
      <c r="Q789">
        <f>VLOOKUP(A789,[1]Order_Details!$A$1:$F$2156,4,FALSE)</f>
        <v>10</v>
      </c>
      <c r="R789">
        <f>VLOOKUP(A789,[1]Order_Details!$A$1:$F$2156,5,FALSE)</f>
        <v>0</v>
      </c>
      <c r="S789" s="6">
        <f>VLOOKUP(A789,[1]Order_Details!$A$1:$F$2156,6,FALSE)</f>
        <v>180</v>
      </c>
      <c r="T789" s="6">
        <f>VLOOKUP(A789,[1]!Orders,8,FALSE)</f>
        <v>0.17</v>
      </c>
    </row>
    <row r="790" spans="1:20" x14ac:dyDescent="0.3">
      <c r="A790" s="2">
        <v>11036</v>
      </c>
      <c r="B790" s="2" t="s">
        <v>61</v>
      </c>
      <c r="C790" s="2">
        <v>8</v>
      </c>
      <c r="D790" s="3">
        <v>35905</v>
      </c>
      <c r="E790" t="str">
        <f>VLOOKUP(C790,[1]Employees!$A$1:$O$10,4,FALSE)</f>
        <v>Callahan Laura</v>
      </c>
      <c r="F790">
        <f>VLOOKUP(A790,[1]!Orders,7,FALSE)</f>
        <v>3</v>
      </c>
      <c r="G790" t="str">
        <f>VLOOKUP(F790,[1]!Shippers,2,FALSE)</f>
        <v>Federal Shipping</v>
      </c>
      <c r="H790" t="str">
        <f>VLOOKUP(C790,[1]EmployeeTerritories!$A$1:$B$50,2,FALSE)</f>
        <v>19428</v>
      </c>
      <c r="I790">
        <f>VLOOKUP(C790,[1]EmployeeTerritories!$A$1:$B$50,1,FALSE)</f>
        <v>8</v>
      </c>
      <c r="J790">
        <f>VLOOKUP(H790,[1]!Territories,3,FALSE)</f>
        <v>3</v>
      </c>
      <c r="K790" t="str">
        <f>VLOOKUP(J790,[1]!Region,2,FALSE)</f>
        <v>Northern</v>
      </c>
      <c r="L790">
        <f>VLOOKUP(A790,[1]Order_Details!$A$1:$F$2156,2,FALSE)</f>
        <v>13</v>
      </c>
      <c r="M790" t="str">
        <f>VLOOKUP(L790,[1]!Products,2,FALSE)</f>
        <v>Konbu</v>
      </c>
      <c r="N790">
        <f>VLOOKUP(L790,[1]!Products,4,FALSE)</f>
        <v>8</v>
      </c>
      <c r="O790" s="6" t="str">
        <f>VLOOKUP(N790,[1]!Categories,2,FALSE)</f>
        <v>Seafood</v>
      </c>
      <c r="P790" s="6">
        <f>VLOOKUP(A790,[1]Order_Details!$A$1:$F$2156,3,FALSE)</f>
        <v>6</v>
      </c>
      <c r="Q790">
        <f>VLOOKUP(A790,[1]Order_Details!$A$1:$F$2156,4,FALSE)</f>
        <v>7</v>
      </c>
      <c r="R790">
        <f>VLOOKUP(A790,[1]Order_Details!$A$1:$F$2156,5,FALSE)</f>
        <v>0</v>
      </c>
      <c r="S790" s="6">
        <f>VLOOKUP(A790,[1]Order_Details!$A$1:$F$2156,6,FALSE)</f>
        <v>42</v>
      </c>
      <c r="T790" s="6">
        <f>VLOOKUP(A790,[1]!Orders,8,FALSE)</f>
        <v>149.47</v>
      </c>
    </row>
    <row r="791" spans="1:20" x14ac:dyDescent="0.3">
      <c r="A791" s="2">
        <v>11037</v>
      </c>
      <c r="B791" s="2" t="s">
        <v>40</v>
      </c>
      <c r="C791" s="2">
        <v>7</v>
      </c>
      <c r="D791" s="3">
        <v>35906</v>
      </c>
      <c r="E791" t="str">
        <f>VLOOKUP(C791,[1]Employees!$A$1:$O$10,4,FALSE)</f>
        <v>King Robert</v>
      </c>
      <c r="F791">
        <f>VLOOKUP(A791,[1]!Orders,7,FALSE)</f>
        <v>1</v>
      </c>
      <c r="G791" t="str">
        <f>VLOOKUP(F791,[1]!Shippers,2,FALSE)</f>
        <v>Speedy Express</v>
      </c>
      <c r="H791" t="str">
        <f>VLOOKUP(C791,[1]EmployeeTerritories!$A$1:$B$50,2,FALSE)</f>
        <v>60179</v>
      </c>
      <c r="I791">
        <f>VLOOKUP(C791,[1]EmployeeTerritories!$A$1:$B$50,1,FALSE)</f>
        <v>7</v>
      </c>
      <c r="J791">
        <f>VLOOKUP(H791,[1]!Territories,3,FALSE)</f>
        <v>2</v>
      </c>
      <c r="K791" t="str">
        <f>VLOOKUP(J791,[1]!Region,2,FALSE)</f>
        <v>Western</v>
      </c>
      <c r="L791">
        <f>VLOOKUP(A791,[1]Order_Details!$A$1:$F$2156,2,FALSE)</f>
        <v>70</v>
      </c>
      <c r="M791" t="str">
        <f>VLOOKUP(L791,[1]!Products,2,FALSE)</f>
        <v>Outback Lager</v>
      </c>
      <c r="N791">
        <f>VLOOKUP(L791,[1]!Products,4,FALSE)</f>
        <v>1</v>
      </c>
      <c r="O791" s="6" t="str">
        <f>VLOOKUP(N791,[1]!Categories,2,FALSE)</f>
        <v>Beverages</v>
      </c>
      <c r="P791" s="6">
        <f>VLOOKUP(A791,[1]Order_Details!$A$1:$F$2156,3,FALSE)</f>
        <v>15</v>
      </c>
      <c r="Q791">
        <f>VLOOKUP(A791,[1]Order_Details!$A$1:$F$2156,4,FALSE)</f>
        <v>4</v>
      </c>
      <c r="R791">
        <f>VLOOKUP(A791,[1]Order_Details!$A$1:$F$2156,5,FALSE)</f>
        <v>0</v>
      </c>
      <c r="S791" s="6">
        <f>VLOOKUP(A791,[1]Order_Details!$A$1:$F$2156,6,FALSE)</f>
        <v>60</v>
      </c>
      <c r="T791" s="6">
        <f>VLOOKUP(A791,[1]!Orders,8,FALSE)</f>
        <v>3.2</v>
      </c>
    </row>
    <row r="792" spans="1:20" x14ac:dyDescent="0.3">
      <c r="A792" s="2">
        <v>11038</v>
      </c>
      <c r="B792" s="2" t="s">
        <v>8</v>
      </c>
      <c r="C792" s="2">
        <v>1</v>
      </c>
      <c r="D792" s="3">
        <v>35906</v>
      </c>
      <c r="E792" t="str">
        <f>VLOOKUP(C792,[1]Employees!$A$1:$O$10,4,FALSE)</f>
        <v>Davolio Nancy</v>
      </c>
      <c r="F792">
        <f>VLOOKUP(A792,[1]!Orders,7,FALSE)</f>
        <v>2</v>
      </c>
      <c r="G792" t="str">
        <f>VLOOKUP(F792,[1]!Shippers,2,FALSE)</f>
        <v>United Package</v>
      </c>
      <c r="H792" t="str">
        <f>VLOOKUP(C792,[1]EmployeeTerritories!$A$1:$B$50,2,FALSE)</f>
        <v>06897</v>
      </c>
      <c r="I792">
        <f>VLOOKUP(C792,[1]EmployeeTerritories!$A$1:$B$50,1,FALSE)</f>
        <v>1</v>
      </c>
      <c r="J792">
        <f>VLOOKUP(H792,[1]!Territories,3,FALSE)</f>
        <v>1</v>
      </c>
      <c r="K792" t="str">
        <f>VLOOKUP(J792,[1]!Region,2,FALSE)</f>
        <v>Eastern</v>
      </c>
      <c r="L792">
        <f>VLOOKUP(A792,[1]Order_Details!$A$1:$F$2156,2,FALSE)</f>
        <v>40</v>
      </c>
      <c r="M792" t="str">
        <f>VLOOKUP(L792,[1]!Products,2,FALSE)</f>
        <v>Boston Crab Meat</v>
      </c>
      <c r="N792">
        <f>VLOOKUP(L792,[1]!Products,4,FALSE)</f>
        <v>8</v>
      </c>
      <c r="O792" s="6" t="str">
        <f>VLOOKUP(N792,[1]!Categories,2,FALSE)</f>
        <v>Seafood</v>
      </c>
      <c r="P792" s="6">
        <f>VLOOKUP(A792,[1]Order_Details!$A$1:$F$2156,3,FALSE)</f>
        <v>18.399999999999999</v>
      </c>
      <c r="Q792">
        <f>VLOOKUP(A792,[1]Order_Details!$A$1:$F$2156,4,FALSE)</f>
        <v>5</v>
      </c>
      <c r="R792">
        <f>VLOOKUP(A792,[1]Order_Details!$A$1:$F$2156,5,FALSE)</f>
        <v>0.20000000298023224</v>
      </c>
      <c r="S792" s="6">
        <f>VLOOKUP(A792,[1]Order_Details!$A$1:$F$2156,6,FALSE)</f>
        <v>73.599999725818634</v>
      </c>
      <c r="T792" s="6">
        <f>VLOOKUP(A792,[1]!Orders,8,FALSE)</f>
        <v>29.59</v>
      </c>
    </row>
    <row r="793" spans="1:20" x14ac:dyDescent="0.3">
      <c r="A793" s="2">
        <v>11039</v>
      </c>
      <c r="B793" s="2" t="s">
        <v>71</v>
      </c>
      <c r="C793" s="2">
        <v>1</v>
      </c>
      <c r="D793" s="3">
        <v>35906</v>
      </c>
      <c r="E793" t="str">
        <f>VLOOKUP(C793,[1]Employees!$A$1:$O$10,4,FALSE)</f>
        <v>Davolio Nancy</v>
      </c>
      <c r="F793">
        <f>VLOOKUP(A793,[1]!Orders,7,FALSE)</f>
        <v>2</v>
      </c>
      <c r="G793" t="str">
        <f>VLOOKUP(F793,[1]!Shippers,2,FALSE)</f>
        <v>United Package</v>
      </c>
      <c r="H793" t="str">
        <f>VLOOKUP(C793,[1]EmployeeTerritories!$A$1:$B$50,2,FALSE)</f>
        <v>06897</v>
      </c>
      <c r="I793">
        <f>VLOOKUP(C793,[1]EmployeeTerritories!$A$1:$B$50,1,FALSE)</f>
        <v>1</v>
      </c>
      <c r="J793">
        <f>VLOOKUP(H793,[1]!Territories,3,FALSE)</f>
        <v>1</v>
      </c>
      <c r="K793" t="str">
        <f>VLOOKUP(J793,[1]!Region,2,FALSE)</f>
        <v>Eastern</v>
      </c>
      <c r="L793">
        <f>VLOOKUP(A793,[1]Order_Details!$A$1:$F$2156,2,FALSE)</f>
        <v>28</v>
      </c>
      <c r="M793" t="str">
        <f>VLOOKUP(L793,[1]!Products,2,FALSE)</f>
        <v>Rössle Sauerkraut</v>
      </c>
      <c r="N793">
        <f>VLOOKUP(L793,[1]!Products,4,FALSE)</f>
        <v>7</v>
      </c>
      <c r="O793" s="6" t="str">
        <f>VLOOKUP(N793,[1]!Categories,2,FALSE)</f>
        <v>Produce</v>
      </c>
      <c r="P793" s="6">
        <f>VLOOKUP(A793,[1]Order_Details!$A$1:$F$2156,3,FALSE)</f>
        <v>45.6</v>
      </c>
      <c r="Q793">
        <f>VLOOKUP(A793,[1]Order_Details!$A$1:$F$2156,4,FALSE)</f>
        <v>20</v>
      </c>
      <c r="R793">
        <f>VLOOKUP(A793,[1]Order_Details!$A$1:$F$2156,5,FALSE)</f>
        <v>0</v>
      </c>
      <c r="S793" s="6">
        <f>VLOOKUP(A793,[1]Order_Details!$A$1:$F$2156,6,FALSE)</f>
        <v>912</v>
      </c>
      <c r="T793" s="6">
        <f>VLOOKUP(A793,[1]!Orders,8,FALSE)</f>
        <v>65</v>
      </c>
    </row>
    <row r="794" spans="1:20" x14ac:dyDescent="0.3">
      <c r="A794" s="2">
        <v>11040</v>
      </c>
      <c r="B794" s="2" t="s">
        <v>83</v>
      </c>
      <c r="C794" s="2">
        <v>4</v>
      </c>
      <c r="D794" s="3">
        <v>35907</v>
      </c>
      <c r="E794" t="str">
        <f>VLOOKUP(C794,[1]Employees!$A$1:$O$10,4,FALSE)</f>
        <v>Peacock Margaret</v>
      </c>
      <c r="F794">
        <f>VLOOKUP(A794,[1]!Orders,7,FALSE)</f>
        <v>3</v>
      </c>
      <c r="G794" t="str">
        <f>VLOOKUP(F794,[1]!Shippers,2,FALSE)</f>
        <v>Federal Shipping</v>
      </c>
      <c r="H794" t="str">
        <f>VLOOKUP(C794,[1]EmployeeTerritories!$A$1:$B$50,2,FALSE)</f>
        <v>20852</v>
      </c>
      <c r="I794">
        <f>VLOOKUP(C794,[1]EmployeeTerritories!$A$1:$B$50,1,FALSE)</f>
        <v>4</v>
      </c>
      <c r="J794">
        <f>VLOOKUP(H794,[1]!Territories,3,FALSE)</f>
        <v>1</v>
      </c>
      <c r="K794" t="str">
        <f>VLOOKUP(J794,[1]!Region,2,FALSE)</f>
        <v>Eastern</v>
      </c>
      <c r="L794">
        <f>VLOOKUP(A794,[1]Order_Details!$A$1:$F$2156,2,FALSE)</f>
        <v>21</v>
      </c>
      <c r="M794" t="str">
        <f>VLOOKUP(L794,[1]!Products,2,FALSE)</f>
        <v>Sir Rodney's Scones</v>
      </c>
      <c r="N794">
        <f>VLOOKUP(L794,[1]!Products,4,FALSE)</f>
        <v>3</v>
      </c>
      <c r="O794" s="6" t="str">
        <f>VLOOKUP(N794,[1]!Categories,2,FALSE)</f>
        <v>Confections</v>
      </c>
      <c r="P794" s="6">
        <f>VLOOKUP(A794,[1]Order_Details!$A$1:$F$2156,3,FALSE)</f>
        <v>10</v>
      </c>
      <c r="Q794">
        <f>VLOOKUP(A794,[1]Order_Details!$A$1:$F$2156,4,FALSE)</f>
        <v>20</v>
      </c>
      <c r="R794">
        <f>VLOOKUP(A794,[1]Order_Details!$A$1:$F$2156,5,FALSE)</f>
        <v>0</v>
      </c>
      <c r="S794" s="6">
        <f>VLOOKUP(A794,[1]Order_Details!$A$1:$F$2156,6,FALSE)</f>
        <v>200</v>
      </c>
      <c r="T794" s="6">
        <f>VLOOKUP(A794,[1]!Orders,8,FALSE)</f>
        <v>18.84</v>
      </c>
    </row>
    <row r="795" spans="1:20" x14ac:dyDescent="0.3">
      <c r="A795" s="2">
        <v>11041</v>
      </c>
      <c r="B795" s="2" t="s">
        <v>9</v>
      </c>
      <c r="C795" s="2">
        <v>3</v>
      </c>
      <c r="D795" s="3">
        <v>35907</v>
      </c>
      <c r="E795" t="str">
        <f>VLOOKUP(C795,[1]Employees!$A$1:$O$10,4,FALSE)</f>
        <v>Leverling Janet</v>
      </c>
      <c r="F795">
        <f>VLOOKUP(A795,[1]!Orders,7,FALSE)</f>
        <v>2</v>
      </c>
      <c r="G795" t="str">
        <f>VLOOKUP(F795,[1]!Shippers,2,FALSE)</f>
        <v>United Package</v>
      </c>
      <c r="H795" t="str">
        <f>VLOOKUP(C795,[1]EmployeeTerritories!$A$1:$B$50,2,FALSE)</f>
        <v>30346</v>
      </c>
      <c r="I795">
        <f>VLOOKUP(C795,[1]EmployeeTerritories!$A$1:$B$50,1,FALSE)</f>
        <v>3</v>
      </c>
      <c r="J795">
        <f>VLOOKUP(H795,[1]!Territories,3,FALSE)</f>
        <v>4</v>
      </c>
      <c r="K795" t="str">
        <f>VLOOKUP(J795,[1]!Region,2,FALSE)</f>
        <v>Southern</v>
      </c>
      <c r="L795">
        <f>VLOOKUP(A795,[1]Order_Details!$A$1:$F$2156,2,FALSE)</f>
        <v>2</v>
      </c>
      <c r="M795" t="str">
        <f>VLOOKUP(L795,[1]!Products,2,FALSE)</f>
        <v>Chang</v>
      </c>
      <c r="N795">
        <f>VLOOKUP(L795,[1]!Products,4,FALSE)</f>
        <v>1</v>
      </c>
      <c r="O795" s="6" t="str">
        <f>VLOOKUP(N795,[1]!Categories,2,FALSE)</f>
        <v>Beverages</v>
      </c>
      <c r="P795" s="6">
        <f>VLOOKUP(A795,[1]Order_Details!$A$1:$F$2156,3,FALSE)</f>
        <v>19</v>
      </c>
      <c r="Q795">
        <f>VLOOKUP(A795,[1]Order_Details!$A$1:$F$2156,4,FALSE)</f>
        <v>30</v>
      </c>
      <c r="R795">
        <f>VLOOKUP(A795,[1]Order_Details!$A$1:$F$2156,5,FALSE)</f>
        <v>0.20000000298023224</v>
      </c>
      <c r="S795" s="6">
        <f>VLOOKUP(A795,[1]Order_Details!$A$1:$F$2156,6,FALSE)</f>
        <v>455.99999830126762</v>
      </c>
      <c r="T795" s="6">
        <f>VLOOKUP(A795,[1]!Orders,8,FALSE)</f>
        <v>48.22</v>
      </c>
    </row>
    <row r="796" spans="1:20" x14ac:dyDescent="0.3">
      <c r="A796" s="2">
        <v>11042</v>
      </c>
      <c r="B796" s="2" t="s">
        <v>36</v>
      </c>
      <c r="C796" s="2">
        <v>2</v>
      </c>
      <c r="D796" s="3">
        <v>35907</v>
      </c>
      <c r="E796" t="str">
        <f>VLOOKUP(C796,[1]Employees!$A$1:$O$10,4,FALSE)</f>
        <v>Fuller Andrew</v>
      </c>
      <c r="F796">
        <f>VLOOKUP(A796,[1]!Orders,7,FALSE)</f>
        <v>1</v>
      </c>
      <c r="G796" t="str">
        <f>VLOOKUP(F796,[1]!Shippers,2,FALSE)</f>
        <v>Speedy Express</v>
      </c>
      <c r="H796" t="str">
        <f>VLOOKUP(C796,[1]EmployeeTerritories!$A$1:$B$50,2,FALSE)</f>
        <v>01581</v>
      </c>
      <c r="I796">
        <f>VLOOKUP(C796,[1]EmployeeTerritories!$A$1:$B$50,1,FALSE)</f>
        <v>2</v>
      </c>
      <c r="J796">
        <f>VLOOKUP(H796,[1]!Territories,3,FALSE)</f>
        <v>1</v>
      </c>
      <c r="K796" t="str">
        <f>VLOOKUP(J796,[1]!Region,2,FALSE)</f>
        <v>Eastern</v>
      </c>
      <c r="L796">
        <f>VLOOKUP(A796,[1]Order_Details!$A$1:$F$2156,2,FALSE)</f>
        <v>44</v>
      </c>
      <c r="M796" t="str">
        <f>VLOOKUP(L796,[1]!Products,2,FALSE)</f>
        <v>Gula Malacca</v>
      </c>
      <c r="N796">
        <f>VLOOKUP(L796,[1]!Products,4,FALSE)</f>
        <v>2</v>
      </c>
      <c r="O796" s="6" t="str">
        <f>VLOOKUP(N796,[1]!Categories,2,FALSE)</f>
        <v>Condiments</v>
      </c>
      <c r="P796" s="6">
        <f>VLOOKUP(A796,[1]Order_Details!$A$1:$F$2156,3,FALSE)</f>
        <v>19.45</v>
      </c>
      <c r="Q796">
        <f>VLOOKUP(A796,[1]Order_Details!$A$1:$F$2156,4,FALSE)</f>
        <v>15</v>
      </c>
      <c r="R796">
        <f>VLOOKUP(A796,[1]Order_Details!$A$1:$F$2156,5,FALSE)</f>
        <v>0</v>
      </c>
      <c r="S796" s="6">
        <f>VLOOKUP(A796,[1]Order_Details!$A$1:$F$2156,6,FALSE)</f>
        <v>291.75</v>
      </c>
      <c r="T796" s="6">
        <f>VLOOKUP(A796,[1]!Orders,8,FALSE)</f>
        <v>29.99</v>
      </c>
    </row>
    <row r="797" spans="1:20" x14ac:dyDescent="0.3">
      <c r="A797" s="2">
        <v>11043</v>
      </c>
      <c r="B797" s="2" t="s">
        <v>91</v>
      </c>
      <c r="C797" s="2">
        <v>5</v>
      </c>
      <c r="D797" s="3">
        <v>35907</v>
      </c>
      <c r="E797" t="str">
        <f>VLOOKUP(C797,[1]Employees!$A$1:$O$10,4,FALSE)</f>
        <v>Buchanan Steven</v>
      </c>
      <c r="F797">
        <f>VLOOKUP(A797,[1]!Orders,7,FALSE)</f>
        <v>2</v>
      </c>
      <c r="G797" t="str">
        <f>VLOOKUP(F797,[1]!Shippers,2,FALSE)</f>
        <v>United Package</v>
      </c>
      <c r="H797" t="str">
        <f>VLOOKUP(C797,[1]EmployeeTerritories!$A$1:$B$50,2,FALSE)</f>
        <v>02903</v>
      </c>
      <c r="I797">
        <f>VLOOKUP(C797,[1]EmployeeTerritories!$A$1:$B$50,1,FALSE)</f>
        <v>5</v>
      </c>
      <c r="J797">
        <f>VLOOKUP(H797,[1]!Territories,3,FALSE)</f>
        <v>1</v>
      </c>
      <c r="K797" t="str">
        <f>VLOOKUP(J797,[1]!Region,2,FALSE)</f>
        <v>Eastern</v>
      </c>
      <c r="L797">
        <f>VLOOKUP(A797,[1]Order_Details!$A$1:$F$2156,2,FALSE)</f>
        <v>11</v>
      </c>
      <c r="M797" t="str">
        <f>VLOOKUP(L797,[1]!Products,2,FALSE)</f>
        <v>Queso Cabrales</v>
      </c>
      <c r="N797">
        <f>VLOOKUP(L797,[1]!Products,4,FALSE)</f>
        <v>4</v>
      </c>
      <c r="O797" s="6" t="str">
        <f>VLOOKUP(N797,[1]!Categories,2,FALSE)</f>
        <v>Dairy Products</v>
      </c>
      <c r="P797" s="6">
        <f>VLOOKUP(A797,[1]Order_Details!$A$1:$F$2156,3,FALSE)</f>
        <v>21</v>
      </c>
      <c r="Q797">
        <f>VLOOKUP(A797,[1]Order_Details!$A$1:$F$2156,4,FALSE)</f>
        <v>10</v>
      </c>
      <c r="R797">
        <f>VLOOKUP(A797,[1]Order_Details!$A$1:$F$2156,5,FALSE)</f>
        <v>0</v>
      </c>
      <c r="S797" s="6">
        <f>VLOOKUP(A797,[1]Order_Details!$A$1:$F$2156,6,FALSE)</f>
        <v>210</v>
      </c>
      <c r="T797" s="6">
        <f>VLOOKUP(A797,[1]!Orders,8,FALSE)</f>
        <v>8.8000000000000007</v>
      </c>
    </row>
    <row r="798" spans="1:20" x14ac:dyDescent="0.3">
      <c r="A798" s="2">
        <v>11044</v>
      </c>
      <c r="B798" s="2" t="s">
        <v>67</v>
      </c>
      <c r="C798" s="2">
        <v>4</v>
      </c>
      <c r="D798" s="3">
        <v>35908</v>
      </c>
      <c r="E798" t="str">
        <f>VLOOKUP(C798,[1]Employees!$A$1:$O$10,4,FALSE)</f>
        <v>Peacock Margaret</v>
      </c>
      <c r="F798">
        <f>VLOOKUP(A798,[1]!Orders,7,FALSE)</f>
        <v>1</v>
      </c>
      <c r="G798" t="str">
        <f>VLOOKUP(F798,[1]!Shippers,2,FALSE)</f>
        <v>Speedy Express</v>
      </c>
      <c r="H798" t="str">
        <f>VLOOKUP(C798,[1]EmployeeTerritories!$A$1:$B$50,2,FALSE)</f>
        <v>20852</v>
      </c>
      <c r="I798">
        <f>VLOOKUP(C798,[1]EmployeeTerritories!$A$1:$B$50,1,FALSE)</f>
        <v>4</v>
      </c>
      <c r="J798">
        <f>VLOOKUP(H798,[1]!Territories,3,FALSE)</f>
        <v>1</v>
      </c>
      <c r="K798" t="str">
        <f>VLOOKUP(J798,[1]!Region,2,FALSE)</f>
        <v>Eastern</v>
      </c>
      <c r="L798">
        <f>VLOOKUP(A798,[1]Order_Details!$A$1:$F$2156,2,FALSE)</f>
        <v>62</v>
      </c>
      <c r="M798" t="str">
        <f>VLOOKUP(L798,[1]!Products,2,FALSE)</f>
        <v>Tarte au sucre</v>
      </c>
      <c r="N798">
        <f>VLOOKUP(L798,[1]!Products,4,FALSE)</f>
        <v>3</v>
      </c>
      <c r="O798" s="6" t="str">
        <f>VLOOKUP(N798,[1]!Categories,2,FALSE)</f>
        <v>Confections</v>
      </c>
      <c r="P798" s="6">
        <f>VLOOKUP(A798,[1]Order_Details!$A$1:$F$2156,3,FALSE)</f>
        <v>49.3</v>
      </c>
      <c r="Q798">
        <f>VLOOKUP(A798,[1]Order_Details!$A$1:$F$2156,4,FALSE)</f>
        <v>12</v>
      </c>
      <c r="R798">
        <f>VLOOKUP(A798,[1]Order_Details!$A$1:$F$2156,5,FALSE)</f>
        <v>0</v>
      </c>
      <c r="S798" s="6">
        <f>VLOOKUP(A798,[1]Order_Details!$A$1:$F$2156,6,FALSE)</f>
        <v>591.59999999999991</v>
      </c>
      <c r="T798" s="6">
        <f>VLOOKUP(A798,[1]!Orders,8,FALSE)</f>
        <v>8.7200000000000006</v>
      </c>
    </row>
    <row r="799" spans="1:20" x14ac:dyDescent="0.3">
      <c r="A799" s="2">
        <v>11045</v>
      </c>
      <c r="B799" s="2" t="s">
        <v>70</v>
      </c>
      <c r="C799" s="2">
        <v>6</v>
      </c>
      <c r="D799" s="3">
        <v>35908</v>
      </c>
      <c r="E799" t="str">
        <f>VLOOKUP(C799,[1]Employees!$A$1:$O$10,4,FALSE)</f>
        <v>Suyama Michael</v>
      </c>
      <c r="F799">
        <f>VLOOKUP(A799,[1]!Orders,7,FALSE)</f>
        <v>2</v>
      </c>
      <c r="G799" t="str">
        <f>VLOOKUP(F799,[1]!Shippers,2,FALSE)</f>
        <v>United Package</v>
      </c>
      <c r="H799" t="str">
        <f>VLOOKUP(C799,[1]EmployeeTerritories!$A$1:$B$50,2,FALSE)</f>
        <v>85014</v>
      </c>
      <c r="I799">
        <f>VLOOKUP(C799,[1]EmployeeTerritories!$A$1:$B$50,1,FALSE)</f>
        <v>6</v>
      </c>
      <c r="J799">
        <f>VLOOKUP(H799,[1]!Territories,3,FALSE)</f>
        <v>2</v>
      </c>
      <c r="K799" t="str">
        <f>VLOOKUP(J799,[1]!Region,2,FALSE)</f>
        <v>Western</v>
      </c>
      <c r="L799">
        <f>VLOOKUP(A799,[1]Order_Details!$A$1:$F$2156,2,FALSE)</f>
        <v>33</v>
      </c>
      <c r="M799" t="str">
        <f>VLOOKUP(L799,[1]!Products,2,FALSE)</f>
        <v>Geitost</v>
      </c>
      <c r="N799">
        <f>VLOOKUP(L799,[1]!Products,4,FALSE)</f>
        <v>4</v>
      </c>
      <c r="O799" s="6" t="str">
        <f>VLOOKUP(N799,[1]!Categories,2,FALSE)</f>
        <v>Dairy Products</v>
      </c>
      <c r="P799" s="6">
        <f>VLOOKUP(A799,[1]Order_Details!$A$1:$F$2156,3,FALSE)</f>
        <v>2.5</v>
      </c>
      <c r="Q799">
        <f>VLOOKUP(A799,[1]Order_Details!$A$1:$F$2156,4,FALSE)</f>
        <v>15</v>
      </c>
      <c r="R799">
        <f>VLOOKUP(A799,[1]Order_Details!$A$1:$F$2156,5,FALSE)</f>
        <v>0</v>
      </c>
      <c r="S799" s="6">
        <f>VLOOKUP(A799,[1]Order_Details!$A$1:$F$2156,6,FALSE)</f>
        <v>37.5</v>
      </c>
      <c r="T799" s="6">
        <f>VLOOKUP(A799,[1]!Orders,8,FALSE)</f>
        <v>70.58</v>
      </c>
    </row>
    <row r="800" spans="1:20" x14ac:dyDescent="0.3">
      <c r="A800" s="2">
        <v>11046</v>
      </c>
      <c r="B800" s="2" t="s">
        <v>39</v>
      </c>
      <c r="C800" s="2">
        <v>8</v>
      </c>
      <c r="D800" s="3">
        <v>35908</v>
      </c>
      <c r="E800" t="str">
        <f>VLOOKUP(C800,[1]Employees!$A$1:$O$10,4,FALSE)</f>
        <v>Callahan Laura</v>
      </c>
      <c r="F800">
        <f>VLOOKUP(A800,[1]!Orders,7,FALSE)</f>
        <v>2</v>
      </c>
      <c r="G800" t="str">
        <f>VLOOKUP(F800,[1]!Shippers,2,FALSE)</f>
        <v>United Package</v>
      </c>
      <c r="H800" t="str">
        <f>VLOOKUP(C800,[1]EmployeeTerritories!$A$1:$B$50,2,FALSE)</f>
        <v>19428</v>
      </c>
      <c r="I800">
        <f>VLOOKUP(C800,[1]EmployeeTerritories!$A$1:$B$50,1,FALSE)</f>
        <v>8</v>
      </c>
      <c r="J800">
        <f>VLOOKUP(H800,[1]!Territories,3,FALSE)</f>
        <v>3</v>
      </c>
      <c r="K800" t="str">
        <f>VLOOKUP(J800,[1]!Region,2,FALSE)</f>
        <v>Northern</v>
      </c>
      <c r="L800">
        <f>VLOOKUP(A800,[1]Order_Details!$A$1:$F$2156,2,FALSE)</f>
        <v>12</v>
      </c>
      <c r="M800" t="str">
        <f>VLOOKUP(L800,[1]!Products,2,FALSE)</f>
        <v>Queso Manchego La Pastora</v>
      </c>
      <c r="N800">
        <f>VLOOKUP(L800,[1]!Products,4,FALSE)</f>
        <v>4</v>
      </c>
      <c r="O800" s="6" t="str">
        <f>VLOOKUP(N800,[1]!Categories,2,FALSE)</f>
        <v>Dairy Products</v>
      </c>
      <c r="P800" s="6">
        <f>VLOOKUP(A800,[1]Order_Details!$A$1:$F$2156,3,FALSE)</f>
        <v>38</v>
      </c>
      <c r="Q800">
        <f>VLOOKUP(A800,[1]Order_Details!$A$1:$F$2156,4,FALSE)</f>
        <v>20</v>
      </c>
      <c r="R800">
        <f>VLOOKUP(A800,[1]Order_Details!$A$1:$F$2156,5,FALSE)</f>
        <v>5.000000074505806E-2</v>
      </c>
      <c r="S800" s="6">
        <f>VLOOKUP(A800,[1]Order_Details!$A$1:$F$2156,6,FALSE)</f>
        <v>721.99999943375587</v>
      </c>
      <c r="T800" s="6">
        <f>VLOOKUP(A800,[1]!Orders,8,FALSE)</f>
        <v>71.64</v>
      </c>
    </row>
    <row r="801" spans="1:20" x14ac:dyDescent="0.3">
      <c r="A801" s="2">
        <v>11047</v>
      </c>
      <c r="B801" s="2" t="s">
        <v>62</v>
      </c>
      <c r="C801" s="2">
        <v>7</v>
      </c>
      <c r="D801" s="3">
        <v>35909</v>
      </c>
      <c r="E801" t="str">
        <f>VLOOKUP(C801,[1]Employees!$A$1:$O$10,4,FALSE)</f>
        <v>King Robert</v>
      </c>
      <c r="F801">
        <f>VLOOKUP(A801,[1]!Orders,7,FALSE)</f>
        <v>3</v>
      </c>
      <c r="G801" t="str">
        <f>VLOOKUP(F801,[1]!Shippers,2,FALSE)</f>
        <v>Federal Shipping</v>
      </c>
      <c r="H801" t="str">
        <f>VLOOKUP(C801,[1]EmployeeTerritories!$A$1:$B$50,2,FALSE)</f>
        <v>60179</v>
      </c>
      <c r="I801">
        <f>VLOOKUP(C801,[1]EmployeeTerritories!$A$1:$B$50,1,FALSE)</f>
        <v>7</v>
      </c>
      <c r="J801">
        <f>VLOOKUP(H801,[1]!Territories,3,FALSE)</f>
        <v>2</v>
      </c>
      <c r="K801" t="str">
        <f>VLOOKUP(J801,[1]!Region,2,FALSE)</f>
        <v>Western</v>
      </c>
      <c r="L801">
        <f>VLOOKUP(A801,[1]Order_Details!$A$1:$F$2156,2,FALSE)</f>
        <v>1</v>
      </c>
      <c r="M801" t="str">
        <f>VLOOKUP(L801,[1]!Products,2,FALSE)</f>
        <v>Chai</v>
      </c>
      <c r="N801">
        <f>VLOOKUP(L801,[1]!Products,4,FALSE)</f>
        <v>1</v>
      </c>
      <c r="O801" s="6" t="str">
        <f>VLOOKUP(N801,[1]!Categories,2,FALSE)</f>
        <v>Beverages</v>
      </c>
      <c r="P801" s="6">
        <f>VLOOKUP(A801,[1]Order_Details!$A$1:$F$2156,3,FALSE)</f>
        <v>18</v>
      </c>
      <c r="Q801">
        <f>VLOOKUP(A801,[1]Order_Details!$A$1:$F$2156,4,FALSE)</f>
        <v>25</v>
      </c>
      <c r="R801">
        <f>VLOOKUP(A801,[1]Order_Details!$A$1:$F$2156,5,FALSE)</f>
        <v>0.25</v>
      </c>
      <c r="S801" s="6">
        <f>VLOOKUP(A801,[1]Order_Details!$A$1:$F$2156,6,FALSE)</f>
        <v>337.5</v>
      </c>
      <c r="T801" s="6">
        <f>VLOOKUP(A801,[1]!Orders,8,FALSE)</f>
        <v>46.62</v>
      </c>
    </row>
    <row r="802" spans="1:20" x14ac:dyDescent="0.3">
      <c r="A802" s="2">
        <v>11048</v>
      </c>
      <c r="B802" s="2" t="s">
        <v>70</v>
      </c>
      <c r="C802" s="2">
        <v>7</v>
      </c>
      <c r="D802" s="3">
        <v>35909</v>
      </c>
      <c r="E802" t="str">
        <f>VLOOKUP(C802,[1]Employees!$A$1:$O$10,4,FALSE)</f>
        <v>King Robert</v>
      </c>
      <c r="F802">
        <f>VLOOKUP(A802,[1]!Orders,7,FALSE)</f>
        <v>3</v>
      </c>
      <c r="G802" t="str">
        <f>VLOOKUP(F802,[1]!Shippers,2,FALSE)</f>
        <v>Federal Shipping</v>
      </c>
      <c r="H802" t="str">
        <f>VLOOKUP(C802,[1]EmployeeTerritories!$A$1:$B$50,2,FALSE)</f>
        <v>60179</v>
      </c>
      <c r="I802">
        <f>VLOOKUP(C802,[1]EmployeeTerritories!$A$1:$B$50,1,FALSE)</f>
        <v>7</v>
      </c>
      <c r="J802">
        <f>VLOOKUP(H802,[1]!Territories,3,FALSE)</f>
        <v>2</v>
      </c>
      <c r="K802" t="str">
        <f>VLOOKUP(J802,[1]!Region,2,FALSE)</f>
        <v>Western</v>
      </c>
      <c r="L802">
        <f>VLOOKUP(A802,[1]Order_Details!$A$1:$F$2156,2,FALSE)</f>
        <v>68</v>
      </c>
      <c r="M802" t="str">
        <f>VLOOKUP(L802,[1]!Products,2,FALSE)</f>
        <v>Scottish Longbreads</v>
      </c>
      <c r="N802">
        <f>VLOOKUP(L802,[1]!Products,4,FALSE)</f>
        <v>3</v>
      </c>
      <c r="O802" s="6" t="str">
        <f>VLOOKUP(N802,[1]!Categories,2,FALSE)</f>
        <v>Confections</v>
      </c>
      <c r="P802" s="6">
        <f>VLOOKUP(A802,[1]Order_Details!$A$1:$F$2156,3,FALSE)</f>
        <v>12.5</v>
      </c>
      <c r="Q802">
        <f>VLOOKUP(A802,[1]Order_Details!$A$1:$F$2156,4,FALSE)</f>
        <v>42</v>
      </c>
      <c r="R802">
        <f>VLOOKUP(A802,[1]Order_Details!$A$1:$F$2156,5,FALSE)</f>
        <v>0</v>
      </c>
      <c r="S802" s="6">
        <f>VLOOKUP(A802,[1]Order_Details!$A$1:$F$2156,6,FALSE)</f>
        <v>525</v>
      </c>
      <c r="T802" s="6">
        <f>VLOOKUP(A802,[1]!Orders,8,FALSE)</f>
        <v>24.12</v>
      </c>
    </row>
    <row r="803" spans="1:20" x14ac:dyDescent="0.3">
      <c r="A803" s="2">
        <v>11049</v>
      </c>
      <c r="B803" s="2" t="s">
        <v>75</v>
      </c>
      <c r="C803" s="2">
        <v>3</v>
      </c>
      <c r="D803" s="3">
        <v>35909</v>
      </c>
      <c r="E803" t="str">
        <f>VLOOKUP(C803,[1]Employees!$A$1:$O$10,4,FALSE)</f>
        <v>Leverling Janet</v>
      </c>
      <c r="F803">
        <f>VLOOKUP(A803,[1]!Orders,7,FALSE)</f>
        <v>1</v>
      </c>
      <c r="G803" t="str">
        <f>VLOOKUP(F803,[1]!Shippers,2,FALSE)</f>
        <v>Speedy Express</v>
      </c>
      <c r="H803" t="str">
        <f>VLOOKUP(C803,[1]EmployeeTerritories!$A$1:$B$50,2,FALSE)</f>
        <v>30346</v>
      </c>
      <c r="I803">
        <f>VLOOKUP(C803,[1]EmployeeTerritories!$A$1:$B$50,1,FALSE)</f>
        <v>3</v>
      </c>
      <c r="J803">
        <f>VLOOKUP(H803,[1]!Territories,3,FALSE)</f>
        <v>4</v>
      </c>
      <c r="K803" t="str">
        <f>VLOOKUP(J803,[1]!Region,2,FALSE)</f>
        <v>Southern</v>
      </c>
      <c r="L803">
        <f>VLOOKUP(A803,[1]Order_Details!$A$1:$F$2156,2,FALSE)</f>
        <v>2</v>
      </c>
      <c r="M803" t="str">
        <f>VLOOKUP(L803,[1]!Products,2,FALSE)</f>
        <v>Chang</v>
      </c>
      <c r="N803">
        <f>VLOOKUP(L803,[1]!Products,4,FALSE)</f>
        <v>1</v>
      </c>
      <c r="O803" s="6" t="str">
        <f>VLOOKUP(N803,[1]!Categories,2,FALSE)</f>
        <v>Beverages</v>
      </c>
      <c r="P803" s="6">
        <f>VLOOKUP(A803,[1]Order_Details!$A$1:$F$2156,3,FALSE)</f>
        <v>19</v>
      </c>
      <c r="Q803">
        <f>VLOOKUP(A803,[1]Order_Details!$A$1:$F$2156,4,FALSE)</f>
        <v>10</v>
      </c>
      <c r="R803">
        <f>VLOOKUP(A803,[1]Order_Details!$A$1:$F$2156,5,FALSE)</f>
        <v>0.20000000298023224</v>
      </c>
      <c r="S803" s="6">
        <f>VLOOKUP(A803,[1]Order_Details!$A$1:$F$2156,6,FALSE)</f>
        <v>151.99999943375587</v>
      </c>
      <c r="T803" s="6">
        <f>VLOOKUP(A803,[1]!Orders,8,FALSE)</f>
        <v>8.34</v>
      </c>
    </row>
    <row r="804" spans="1:20" x14ac:dyDescent="0.3">
      <c r="A804" s="2">
        <v>11050</v>
      </c>
      <c r="B804" s="2" t="s">
        <v>18</v>
      </c>
      <c r="C804" s="2">
        <v>8</v>
      </c>
      <c r="D804" s="3">
        <v>35912</v>
      </c>
      <c r="E804" t="str">
        <f>VLOOKUP(C804,[1]Employees!$A$1:$O$10,4,FALSE)</f>
        <v>Callahan Laura</v>
      </c>
      <c r="F804">
        <f>VLOOKUP(A804,[1]!Orders,7,FALSE)</f>
        <v>2</v>
      </c>
      <c r="G804" t="str">
        <f>VLOOKUP(F804,[1]!Shippers,2,FALSE)</f>
        <v>United Package</v>
      </c>
      <c r="H804" t="str">
        <f>VLOOKUP(C804,[1]EmployeeTerritories!$A$1:$B$50,2,FALSE)</f>
        <v>19428</v>
      </c>
      <c r="I804">
        <f>VLOOKUP(C804,[1]EmployeeTerritories!$A$1:$B$50,1,FALSE)</f>
        <v>8</v>
      </c>
      <c r="J804">
        <f>VLOOKUP(H804,[1]!Territories,3,FALSE)</f>
        <v>3</v>
      </c>
      <c r="K804" t="str">
        <f>VLOOKUP(J804,[1]!Region,2,FALSE)</f>
        <v>Northern</v>
      </c>
      <c r="L804">
        <f>VLOOKUP(A804,[1]Order_Details!$A$1:$F$2156,2,FALSE)</f>
        <v>76</v>
      </c>
      <c r="M804" t="str">
        <f>VLOOKUP(L804,[1]!Products,2,FALSE)</f>
        <v>Lakkalikööri</v>
      </c>
      <c r="N804">
        <f>VLOOKUP(L804,[1]!Products,4,FALSE)</f>
        <v>1</v>
      </c>
      <c r="O804" s="6" t="str">
        <f>VLOOKUP(N804,[1]!Categories,2,FALSE)</f>
        <v>Beverages</v>
      </c>
      <c r="P804" s="6">
        <f>VLOOKUP(A804,[1]Order_Details!$A$1:$F$2156,3,FALSE)</f>
        <v>18</v>
      </c>
      <c r="Q804">
        <f>VLOOKUP(A804,[1]Order_Details!$A$1:$F$2156,4,FALSE)</f>
        <v>50</v>
      </c>
      <c r="R804">
        <f>VLOOKUP(A804,[1]Order_Details!$A$1:$F$2156,5,FALSE)</f>
        <v>0.10000000149011612</v>
      </c>
      <c r="S804" s="6">
        <f>VLOOKUP(A804,[1]Order_Details!$A$1:$F$2156,6,FALSE)</f>
        <v>809.99999865889549</v>
      </c>
      <c r="T804" s="6">
        <f>VLOOKUP(A804,[1]!Orders,8,FALSE)</f>
        <v>59.41</v>
      </c>
    </row>
    <row r="805" spans="1:20" x14ac:dyDescent="0.3">
      <c r="A805" s="2">
        <v>11051</v>
      </c>
      <c r="B805" s="2" t="s">
        <v>57</v>
      </c>
      <c r="C805" s="2">
        <v>7</v>
      </c>
      <c r="D805" s="3">
        <v>35912</v>
      </c>
      <c r="E805" t="str">
        <f>VLOOKUP(C805,[1]Employees!$A$1:$O$10,4,FALSE)</f>
        <v>King Robert</v>
      </c>
      <c r="F805">
        <f>VLOOKUP(A805,[1]!Orders,7,FALSE)</f>
        <v>3</v>
      </c>
      <c r="G805" t="str">
        <f>VLOOKUP(F805,[1]!Shippers,2,FALSE)</f>
        <v>Federal Shipping</v>
      </c>
      <c r="H805" t="str">
        <f>VLOOKUP(C805,[1]EmployeeTerritories!$A$1:$B$50,2,FALSE)</f>
        <v>60179</v>
      </c>
      <c r="I805">
        <f>VLOOKUP(C805,[1]EmployeeTerritories!$A$1:$B$50,1,FALSE)</f>
        <v>7</v>
      </c>
      <c r="J805">
        <f>VLOOKUP(H805,[1]!Territories,3,FALSE)</f>
        <v>2</v>
      </c>
      <c r="K805" t="str">
        <f>VLOOKUP(J805,[1]!Region,2,FALSE)</f>
        <v>Western</v>
      </c>
      <c r="L805">
        <f>VLOOKUP(A805,[1]Order_Details!$A$1:$F$2156,2,FALSE)</f>
        <v>24</v>
      </c>
      <c r="M805" t="str">
        <f>VLOOKUP(L805,[1]!Products,2,FALSE)</f>
        <v>Guaraná Fantástica</v>
      </c>
      <c r="N805">
        <f>VLOOKUP(L805,[1]!Products,4,FALSE)</f>
        <v>1</v>
      </c>
      <c r="O805" s="6" t="str">
        <f>VLOOKUP(N805,[1]!Categories,2,FALSE)</f>
        <v>Beverages</v>
      </c>
      <c r="P805" s="6">
        <f>VLOOKUP(A805,[1]Order_Details!$A$1:$F$2156,3,FALSE)</f>
        <v>4.5</v>
      </c>
      <c r="Q805">
        <f>VLOOKUP(A805,[1]Order_Details!$A$1:$F$2156,4,FALSE)</f>
        <v>10</v>
      </c>
      <c r="R805">
        <f>VLOOKUP(A805,[1]Order_Details!$A$1:$F$2156,5,FALSE)</f>
        <v>0.20000000298023224</v>
      </c>
      <c r="S805" s="6">
        <f>VLOOKUP(A805,[1]Order_Details!$A$1:$F$2156,6,FALSE)</f>
        <v>35.999999865889549</v>
      </c>
      <c r="T805" s="6">
        <f>VLOOKUP(A805,[1]!Orders,8,FALSE)</f>
        <v>2.79</v>
      </c>
    </row>
    <row r="806" spans="1:20" x14ac:dyDescent="0.3">
      <c r="A806" s="2">
        <v>11052</v>
      </c>
      <c r="B806" s="2" t="s">
        <v>6</v>
      </c>
      <c r="C806" s="2">
        <v>3</v>
      </c>
      <c r="D806" s="3">
        <v>35912</v>
      </c>
      <c r="E806" t="str">
        <f>VLOOKUP(C806,[1]Employees!$A$1:$O$10,4,FALSE)</f>
        <v>Leverling Janet</v>
      </c>
      <c r="F806">
        <f>VLOOKUP(A806,[1]!Orders,7,FALSE)</f>
        <v>1</v>
      </c>
      <c r="G806" t="str">
        <f>VLOOKUP(F806,[1]!Shippers,2,FALSE)</f>
        <v>Speedy Express</v>
      </c>
      <c r="H806" t="str">
        <f>VLOOKUP(C806,[1]EmployeeTerritories!$A$1:$B$50,2,FALSE)</f>
        <v>30346</v>
      </c>
      <c r="I806">
        <f>VLOOKUP(C806,[1]EmployeeTerritories!$A$1:$B$50,1,FALSE)</f>
        <v>3</v>
      </c>
      <c r="J806">
        <f>VLOOKUP(H806,[1]!Territories,3,FALSE)</f>
        <v>4</v>
      </c>
      <c r="K806" t="str">
        <f>VLOOKUP(J806,[1]!Region,2,FALSE)</f>
        <v>Southern</v>
      </c>
      <c r="L806">
        <f>VLOOKUP(A806,[1]Order_Details!$A$1:$F$2156,2,FALSE)</f>
        <v>43</v>
      </c>
      <c r="M806" t="str">
        <f>VLOOKUP(L806,[1]!Products,2,FALSE)</f>
        <v>Ipoh Coffee</v>
      </c>
      <c r="N806">
        <f>VLOOKUP(L806,[1]!Products,4,FALSE)</f>
        <v>1</v>
      </c>
      <c r="O806" s="6" t="str">
        <f>VLOOKUP(N806,[1]!Categories,2,FALSE)</f>
        <v>Beverages</v>
      </c>
      <c r="P806" s="6">
        <f>VLOOKUP(A806,[1]Order_Details!$A$1:$F$2156,3,FALSE)</f>
        <v>46</v>
      </c>
      <c r="Q806">
        <f>VLOOKUP(A806,[1]Order_Details!$A$1:$F$2156,4,FALSE)</f>
        <v>30</v>
      </c>
      <c r="R806">
        <f>VLOOKUP(A806,[1]Order_Details!$A$1:$F$2156,5,FALSE)</f>
        <v>0.20000000298023224</v>
      </c>
      <c r="S806" s="6">
        <f>VLOOKUP(A806,[1]Order_Details!$A$1:$F$2156,6,FALSE)</f>
        <v>1103.9999958872795</v>
      </c>
      <c r="T806" s="6">
        <f>VLOOKUP(A806,[1]!Orders,8,FALSE)</f>
        <v>67.260000000000005</v>
      </c>
    </row>
    <row r="807" spans="1:20" x14ac:dyDescent="0.3">
      <c r="A807" s="2">
        <v>11053</v>
      </c>
      <c r="B807" s="2" t="s">
        <v>58</v>
      </c>
      <c r="C807" s="2">
        <v>2</v>
      </c>
      <c r="D807" s="3">
        <v>35912</v>
      </c>
      <c r="E807" t="str">
        <f>VLOOKUP(C807,[1]Employees!$A$1:$O$10,4,FALSE)</f>
        <v>Fuller Andrew</v>
      </c>
      <c r="F807">
        <f>VLOOKUP(A807,[1]!Orders,7,FALSE)</f>
        <v>2</v>
      </c>
      <c r="G807" t="str">
        <f>VLOOKUP(F807,[1]!Shippers,2,FALSE)</f>
        <v>United Package</v>
      </c>
      <c r="H807" t="str">
        <f>VLOOKUP(C807,[1]EmployeeTerritories!$A$1:$B$50,2,FALSE)</f>
        <v>01581</v>
      </c>
      <c r="I807">
        <f>VLOOKUP(C807,[1]EmployeeTerritories!$A$1:$B$50,1,FALSE)</f>
        <v>2</v>
      </c>
      <c r="J807">
        <f>VLOOKUP(H807,[1]!Territories,3,FALSE)</f>
        <v>1</v>
      </c>
      <c r="K807" t="str">
        <f>VLOOKUP(J807,[1]!Region,2,FALSE)</f>
        <v>Eastern</v>
      </c>
      <c r="L807">
        <f>VLOOKUP(A807,[1]Order_Details!$A$1:$F$2156,2,FALSE)</f>
        <v>18</v>
      </c>
      <c r="M807" t="str">
        <f>VLOOKUP(L807,[1]!Products,2,FALSE)</f>
        <v>Carnarvon Tigers</v>
      </c>
      <c r="N807">
        <f>VLOOKUP(L807,[1]!Products,4,FALSE)</f>
        <v>8</v>
      </c>
      <c r="O807" s="6" t="str">
        <f>VLOOKUP(N807,[1]!Categories,2,FALSE)</f>
        <v>Seafood</v>
      </c>
      <c r="P807" s="6">
        <f>VLOOKUP(A807,[1]Order_Details!$A$1:$F$2156,3,FALSE)</f>
        <v>62.5</v>
      </c>
      <c r="Q807">
        <f>VLOOKUP(A807,[1]Order_Details!$A$1:$F$2156,4,FALSE)</f>
        <v>35</v>
      </c>
      <c r="R807">
        <f>VLOOKUP(A807,[1]Order_Details!$A$1:$F$2156,5,FALSE)</f>
        <v>0.20000000298023224</v>
      </c>
      <c r="S807" s="6">
        <f>VLOOKUP(A807,[1]Order_Details!$A$1:$F$2156,6,FALSE)</f>
        <v>1749.999993480742</v>
      </c>
      <c r="T807" s="6">
        <f>VLOOKUP(A807,[1]!Orders,8,FALSE)</f>
        <v>53.05</v>
      </c>
    </row>
    <row r="808" spans="1:20" x14ac:dyDescent="0.3">
      <c r="A808" s="2">
        <v>11054</v>
      </c>
      <c r="B808" s="2" t="s">
        <v>82</v>
      </c>
      <c r="C808" s="2">
        <v>8</v>
      </c>
      <c r="D808" s="3">
        <v>35913</v>
      </c>
      <c r="E808" t="str">
        <f>VLOOKUP(C808,[1]Employees!$A$1:$O$10,4,FALSE)</f>
        <v>Callahan Laura</v>
      </c>
      <c r="F808">
        <f>VLOOKUP(A808,[1]!Orders,7,FALSE)</f>
        <v>1</v>
      </c>
      <c r="G808" t="str">
        <f>VLOOKUP(F808,[1]!Shippers,2,FALSE)</f>
        <v>Speedy Express</v>
      </c>
      <c r="H808" t="str">
        <f>VLOOKUP(C808,[1]EmployeeTerritories!$A$1:$B$50,2,FALSE)</f>
        <v>19428</v>
      </c>
      <c r="I808">
        <f>VLOOKUP(C808,[1]EmployeeTerritories!$A$1:$B$50,1,FALSE)</f>
        <v>8</v>
      </c>
      <c r="J808">
        <f>VLOOKUP(H808,[1]!Territories,3,FALSE)</f>
        <v>3</v>
      </c>
      <c r="K808" t="str">
        <f>VLOOKUP(J808,[1]!Region,2,FALSE)</f>
        <v>Northern</v>
      </c>
      <c r="L808">
        <f>VLOOKUP(A808,[1]Order_Details!$A$1:$F$2156,2,FALSE)</f>
        <v>33</v>
      </c>
      <c r="M808" t="str">
        <f>VLOOKUP(L808,[1]!Products,2,FALSE)</f>
        <v>Geitost</v>
      </c>
      <c r="N808">
        <f>VLOOKUP(L808,[1]!Products,4,FALSE)</f>
        <v>4</v>
      </c>
      <c r="O808" s="6" t="str">
        <f>VLOOKUP(N808,[1]!Categories,2,FALSE)</f>
        <v>Dairy Products</v>
      </c>
      <c r="P808" s="6">
        <f>VLOOKUP(A808,[1]Order_Details!$A$1:$F$2156,3,FALSE)</f>
        <v>2.5</v>
      </c>
      <c r="Q808">
        <f>VLOOKUP(A808,[1]Order_Details!$A$1:$F$2156,4,FALSE)</f>
        <v>10</v>
      </c>
      <c r="R808">
        <f>VLOOKUP(A808,[1]Order_Details!$A$1:$F$2156,5,FALSE)</f>
        <v>0</v>
      </c>
      <c r="S808" s="6">
        <f>VLOOKUP(A808,[1]Order_Details!$A$1:$F$2156,6,FALSE)</f>
        <v>25</v>
      </c>
      <c r="T808" s="6">
        <f>VLOOKUP(A808,[1]!Orders,8,FALSE)</f>
        <v>0.33</v>
      </c>
    </row>
    <row r="809" spans="1:20" x14ac:dyDescent="0.3">
      <c r="A809" s="2">
        <v>11055</v>
      </c>
      <c r="B809" s="2" t="s">
        <v>12</v>
      </c>
      <c r="C809" s="2">
        <v>7</v>
      </c>
      <c r="D809" s="3">
        <v>35913</v>
      </c>
      <c r="E809" t="str">
        <f>VLOOKUP(C809,[1]Employees!$A$1:$O$10,4,FALSE)</f>
        <v>King Robert</v>
      </c>
      <c r="F809">
        <f>VLOOKUP(A809,[1]!Orders,7,FALSE)</f>
        <v>2</v>
      </c>
      <c r="G809" t="str">
        <f>VLOOKUP(F809,[1]!Shippers,2,FALSE)</f>
        <v>United Package</v>
      </c>
      <c r="H809" t="str">
        <f>VLOOKUP(C809,[1]EmployeeTerritories!$A$1:$B$50,2,FALSE)</f>
        <v>60179</v>
      </c>
      <c r="I809">
        <f>VLOOKUP(C809,[1]EmployeeTerritories!$A$1:$B$50,1,FALSE)</f>
        <v>7</v>
      </c>
      <c r="J809">
        <f>VLOOKUP(H809,[1]!Territories,3,FALSE)</f>
        <v>2</v>
      </c>
      <c r="K809" t="str">
        <f>VLOOKUP(J809,[1]!Region,2,FALSE)</f>
        <v>Western</v>
      </c>
      <c r="L809">
        <f>VLOOKUP(A809,[1]Order_Details!$A$1:$F$2156,2,FALSE)</f>
        <v>24</v>
      </c>
      <c r="M809" t="str">
        <f>VLOOKUP(L809,[1]!Products,2,FALSE)</f>
        <v>Guaraná Fantástica</v>
      </c>
      <c r="N809">
        <f>VLOOKUP(L809,[1]!Products,4,FALSE)</f>
        <v>1</v>
      </c>
      <c r="O809" s="6" t="str">
        <f>VLOOKUP(N809,[1]!Categories,2,FALSE)</f>
        <v>Beverages</v>
      </c>
      <c r="P809" s="6">
        <f>VLOOKUP(A809,[1]Order_Details!$A$1:$F$2156,3,FALSE)</f>
        <v>4.5</v>
      </c>
      <c r="Q809">
        <f>VLOOKUP(A809,[1]Order_Details!$A$1:$F$2156,4,FALSE)</f>
        <v>15</v>
      </c>
      <c r="R809">
        <f>VLOOKUP(A809,[1]Order_Details!$A$1:$F$2156,5,FALSE)</f>
        <v>0</v>
      </c>
      <c r="S809" s="6">
        <f>VLOOKUP(A809,[1]Order_Details!$A$1:$F$2156,6,FALSE)</f>
        <v>67.5</v>
      </c>
      <c r="T809" s="6">
        <f>VLOOKUP(A809,[1]!Orders,8,FALSE)</f>
        <v>120.92</v>
      </c>
    </row>
    <row r="810" spans="1:20" x14ac:dyDescent="0.3">
      <c r="A810" s="2">
        <v>11056</v>
      </c>
      <c r="B810" s="2" t="s">
        <v>62</v>
      </c>
      <c r="C810" s="2">
        <v>8</v>
      </c>
      <c r="D810" s="3">
        <v>35913</v>
      </c>
      <c r="E810" t="str">
        <f>VLOOKUP(C810,[1]Employees!$A$1:$O$10,4,FALSE)</f>
        <v>Callahan Laura</v>
      </c>
      <c r="F810">
        <f>VLOOKUP(A810,[1]!Orders,7,FALSE)</f>
        <v>2</v>
      </c>
      <c r="G810" t="str">
        <f>VLOOKUP(F810,[1]!Shippers,2,FALSE)</f>
        <v>United Package</v>
      </c>
      <c r="H810" t="str">
        <f>VLOOKUP(C810,[1]EmployeeTerritories!$A$1:$B$50,2,FALSE)</f>
        <v>19428</v>
      </c>
      <c r="I810">
        <f>VLOOKUP(C810,[1]EmployeeTerritories!$A$1:$B$50,1,FALSE)</f>
        <v>8</v>
      </c>
      <c r="J810">
        <f>VLOOKUP(H810,[1]!Territories,3,FALSE)</f>
        <v>3</v>
      </c>
      <c r="K810" t="str">
        <f>VLOOKUP(J810,[1]!Region,2,FALSE)</f>
        <v>Northern</v>
      </c>
      <c r="L810">
        <f>VLOOKUP(A810,[1]Order_Details!$A$1:$F$2156,2,FALSE)</f>
        <v>7</v>
      </c>
      <c r="M810" t="str">
        <f>VLOOKUP(L810,[1]!Products,2,FALSE)</f>
        <v>Uncle Bob's Organic Dried Pears</v>
      </c>
      <c r="N810">
        <f>VLOOKUP(L810,[1]!Products,4,FALSE)</f>
        <v>7</v>
      </c>
      <c r="O810" s="6" t="str">
        <f>VLOOKUP(N810,[1]!Categories,2,FALSE)</f>
        <v>Produce</v>
      </c>
      <c r="P810" s="6">
        <f>VLOOKUP(A810,[1]Order_Details!$A$1:$F$2156,3,FALSE)</f>
        <v>30</v>
      </c>
      <c r="Q810">
        <f>VLOOKUP(A810,[1]Order_Details!$A$1:$F$2156,4,FALSE)</f>
        <v>40</v>
      </c>
      <c r="R810">
        <f>VLOOKUP(A810,[1]Order_Details!$A$1:$F$2156,5,FALSE)</f>
        <v>0</v>
      </c>
      <c r="S810" s="6">
        <f>VLOOKUP(A810,[1]Order_Details!$A$1:$F$2156,6,FALSE)</f>
        <v>1200</v>
      </c>
      <c r="T810" s="6">
        <f>VLOOKUP(A810,[1]!Orders,8,FALSE)</f>
        <v>278.95999999999998</v>
      </c>
    </row>
    <row r="811" spans="1:20" x14ac:dyDescent="0.3">
      <c r="A811" s="2">
        <v>11057</v>
      </c>
      <c r="B811" s="2" t="s">
        <v>81</v>
      </c>
      <c r="C811" s="2">
        <v>3</v>
      </c>
      <c r="D811" s="3">
        <v>35914</v>
      </c>
      <c r="E811" t="str">
        <f>VLOOKUP(C811,[1]Employees!$A$1:$O$10,4,FALSE)</f>
        <v>Leverling Janet</v>
      </c>
      <c r="F811">
        <f>VLOOKUP(A811,[1]!Orders,7,FALSE)</f>
        <v>3</v>
      </c>
      <c r="G811" t="str">
        <f>VLOOKUP(F811,[1]!Shippers,2,FALSE)</f>
        <v>Federal Shipping</v>
      </c>
      <c r="H811" t="str">
        <f>VLOOKUP(C811,[1]EmployeeTerritories!$A$1:$B$50,2,FALSE)</f>
        <v>30346</v>
      </c>
      <c r="I811">
        <f>VLOOKUP(C811,[1]EmployeeTerritories!$A$1:$B$50,1,FALSE)</f>
        <v>3</v>
      </c>
      <c r="J811">
        <f>VLOOKUP(H811,[1]!Territories,3,FALSE)</f>
        <v>4</v>
      </c>
      <c r="K811" t="str">
        <f>VLOOKUP(J811,[1]!Region,2,FALSE)</f>
        <v>Southern</v>
      </c>
      <c r="L811">
        <f>VLOOKUP(A811,[1]Order_Details!$A$1:$F$2156,2,FALSE)</f>
        <v>70</v>
      </c>
      <c r="M811" t="str">
        <f>VLOOKUP(L811,[1]!Products,2,FALSE)</f>
        <v>Outback Lager</v>
      </c>
      <c r="N811">
        <f>VLOOKUP(L811,[1]!Products,4,FALSE)</f>
        <v>1</v>
      </c>
      <c r="O811" s="6" t="str">
        <f>VLOOKUP(N811,[1]!Categories,2,FALSE)</f>
        <v>Beverages</v>
      </c>
      <c r="P811" s="6">
        <f>VLOOKUP(A811,[1]Order_Details!$A$1:$F$2156,3,FALSE)</f>
        <v>15</v>
      </c>
      <c r="Q811">
        <f>VLOOKUP(A811,[1]Order_Details!$A$1:$F$2156,4,FALSE)</f>
        <v>3</v>
      </c>
      <c r="R811">
        <f>VLOOKUP(A811,[1]Order_Details!$A$1:$F$2156,5,FALSE)</f>
        <v>0</v>
      </c>
      <c r="S811" s="6">
        <f>VLOOKUP(A811,[1]Order_Details!$A$1:$F$2156,6,FALSE)</f>
        <v>45</v>
      </c>
      <c r="T811" s="6">
        <f>VLOOKUP(A811,[1]!Orders,8,FALSE)</f>
        <v>4.13</v>
      </c>
    </row>
    <row r="812" spans="1:20" x14ac:dyDescent="0.3">
      <c r="A812" s="2">
        <v>11058</v>
      </c>
      <c r="B812" s="2" t="s">
        <v>80</v>
      </c>
      <c r="C812" s="2">
        <v>9</v>
      </c>
      <c r="D812" s="3">
        <v>35914</v>
      </c>
      <c r="E812" t="str">
        <f>VLOOKUP(C812,[1]Employees!$A$1:$O$10,4,FALSE)</f>
        <v>Dodsworth Anne</v>
      </c>
      <c r="F812">
        <f>VLOOKUP(A812,[1]!Orders,7,FALSE)</f>
        <v>3</v>
      </c>
      <c r="G812" t="str">
        <f>VLOOKUP(F812,[1]!Shippers,2,FALSE)</f>
        <v>Federal Shipping</v>
      </c>
      <c r="H812" t="str">
        <f>VLOOKUP(C812,[1]EmployeeTerritories!$A$1:$B$50,2,FALSE)</f>
        <v>03049</v>
      </c>
      <c r="I812">
        <f>VLOOKUP(C812,[1]EmployeeTerritories!$A$1:$B$50,1,FALSE)</f>
        <v>9</v>
      </c>
      <c r="J812">
        <f>VLOOKUP(H812,[1]!Territories,3,FALSE)</f>
        <v>3</v>
      </c>
      <c r="K812" t="str">
        <f>VLOOKUP(J812,[1]!Region,2,FALSE)</f>
        <v>Northern</v>
      </c>
      <c r="L812">
        <f>VLOOKUP(A812,[1]Order_Details!$A$1:$F$2156,2,FALSE)</f>
        <v>21</v>
      </c>
      <c r="M812" t="str">
        <f>VLOOKUP(L812,[1]!Products,2,FALSE)</f>
        <v>Sir Rodney's Scones</v>
      </c>
      <c r="N812">
        <f>VLOOKUP(L812,[1]!Products,4,FALSE)</f>
        <v>3</v>
      </c>
      <c r="O812" s="6" t="str">
        <f>VLOOKUP(N812,[1]!Categories,2,FALSE)</f>
        <v>Confections</v>
      </c>
      <c r="P812" s="6">
        <f>VLOOKUP(A812,[1]Order_Details!$A$1:$F$2156,3,FALSE)</f>
        <v>10</v>
      </c>
      <c r="Q812">
        <f>VLOOKUP(A812,[1]Order_Details!$A$1:$F$2156,4,FALSE)</f>
        <v>3</v>
      </c>
      <c r="R812">
        <f>VLOOKUP(A812,[1]Order_Details!$A$1:$F$2156,5,FALSE)</f>
        <v>0</v>
      </c>
      <c r="S812" s="6">
        <f>VLOOKUP(A812,[1]Order_Details!$A$1:$F$2156,6,FALSE)</f>
        <v>30</v>
      </c>
      <c r="T812" s="6">
        <f>VLOOKUP(A812,[1]!Orders,8,FALSE)</f>
        <v>31.14</v>
      </c>
    </row>
    <row r="813" spans="1:20" x14ac:dyDescent="0.3">
      <c r="A813" s="2">
        <v>11059</v>
      </c>
      <c r="B813" s="2" t="s">
        <v>33</v>
      </c>
      <c r="C813" s="2">
        <v>2</v>
      </c>
      <c r="D813" s="3">
        <v>35914</v>
      </c>
      <c r="E813" t="str">
        <f>VLOOKUP(C813,[1]Employees!$A$1:$O$10,4,FALSE)</f>
        <v>Fuller Andrew</v>
      </c>
      <c r="F813">
        <f>VLOOKUP(A813,[1]!Orders,7,FALSE)</f>
        <v>2</v>
      </c>
      <c r="G813" t="str">
        <f>VLOOKUP(F813,[1]!Shippers,2,FALSE)</f>
        <v>United Package</v>
      </c>
      <c r="H813" t="str">
        <f>VLOOKUP(C813,[1]EmployeeTerritories!$A$1:$B$50,2,FALSE)</f>
        <v>01581</v>
      </c>
      <c r="I813">
        <f>VLOOKUP(C813,[1]EmployeeTerritories!$A$1:$B$50,1,FALSE)</f>
        <v>2</v>
      </c>
      <c r="J813">
        <f>VLOOKUP(H813,[1]!Territories,3,FALSE)</f>
        <v>1</v>
      </c>
      <c r="K813" t="str">
        <f>VLOOKUP(J813,[1]!Region,2,FALSE)</f>
        <v>Eastern</v>
      </c>
      <c r="L813">
        <f>VLOOKUP(A813,[1]Order_Details!$A$1:$F$2156,2,FALSE)</f>
        <v>13</v>
      </c>
      <c r="M813" t="str">
        <f>VLOOKUP(L813,[1]!Products,2,FALSE)</f>
        <v>Konbu</v>
      </c>
      <c r="N813">
        <f>VLOOKUP(L813,[1]!Products,4,FALSE)</f>
        <v>8</v>
      </c>
      <c r="O813" s="6" t="str">
        <f>VLOOKUP(N813,[1]!Categories,2,FALSE)</f>
        <v>Seafood</v>
      </c>
      <c r="P813" s="6">
        <f>VLOOKUP(A813,[1]Order_Details!$A$1:$F$2156,3,FALSE)</f>
        <v>6</v>
      </c>
      <c r="Q813">
        <f>VLOOKUP(A813,[1]Order_Details!$A$1:$F$2156,4,FALSE)</f>
        <v>30</v>
      </c>
      <c r="R813">
        <f>VLOOKUP(A813,[1]Order_Details!$A$1:$F$2156,5,FALSE)</f>
        <v>0</v>
      </c>
      <c r="S813" s="6">
        <f>VLOOKUP(A813,[1]Order_Details!$A$1:$F$2156,6,FALSE)</f>
        <v>180</v>
      </c>
      <c r="T813" s="6">
        <f>VLOOKUP(A813,[1]!Orders,8,FALSE)</f>
        <v>85.8</v>
      </c>
    </row>
    <row r="814" spans="1:20" x14ac:dyDescent="0.3">
      <c r="A814" s="2">
        <v>11060</v>
      </c>
      <c r="B814" s="2" t="s">
        <v>74</v>
      </c>
      <c r="C814" s="2">
        <v>2</v>
      </c>
      <c r="D814" s="3">
        <v>35915</v>
      </c>
      <c r="E814" t="str">
        <f>VLOOKUP(C814,[1]Employees!$A$1:$O$10,4,FALSE)</f>
        <v>Fuller Andrew</v>
      </c>
      <c r="F814">
        <f>VLOOKUP(A814,[1]!Orders,7,FALSE)</f>
        <v>2</v>
      </c>
      <c r="G814" t="str">
        <f>VLOOKUP(F814,[1]!Shippers,2,FALSE)</f>
        <v>United Package</v>
      </c>
      <c r="H814" t="str">
        <f>VLOOKUP(C814,[1]EmployeeTerritories!$A$1:$B$50,2,FALSE)</f>
        <v>01581</v>
      </c>
      <c r="I814">
        <f>VLOOKUP(C814,[1]EmployeeTerritories!$A$1:$B$50,1,FALSE)</f>
        <v>2</v>
      </c>
      <c r="J814">
        <f>VLOOKUP(H814,[1]!Territories,3,FALSE)</f>
        <v>1</v>
      </c>
      <c r="K814" t="str">
        <f>VLOOKUP(J814,[1]!Region,2,FALSE)</f>
        <v>Eastern</v>
      </c>
      <c r="L814">
        <f>VLOOKUP(A814,[1]Order_Details!$A$1:$F$2156,2,FALSE)</f>
        <v>60</v>
      </c>
      <c r="M814" t="str">
        <f>VLOOKUP(L814,[1]!Products,2,FALSE)</f>
        <v>Camembert Pierrot</v>
      </c>
      <c r="N814">
        <f>VLOOKUP(L814,[1]!Products,4,FALSE)</f>
        <v>4</v>
      </c>
      <c r="O814" s="6" t="str">
        <f>VLOOKUP(N814,[1]!Categories,2,FALSE)</f>
        <v>Dairy Products</v>
      </c>
      <c r="P814" s="6">
        <f>VLOOKUP(A814,[1]Order_Details!$A$1:$F$2156,3,FALSE)</f>
        <v>34</v>
      </c>
      <c r="Q814">
        <f>VLOOKUP(A814,[1]Order_Details!$A$1:$F$2156,4,FALSE)</f>
        <v>4</v>
      </c>
      <c r="R814">
        <f>VLOOKUP(A814,[1]Order_Details!$A$1:$F$2156,5,FALSE)</f>
        <v>0</v>
      </c>
      <c r="S814" s="6">
        <f>VLOOKUP(A814,[1]Order_Details!$A$1:$F$2156,6,FALSE)</f>
        <v>136</v>
      </c>
      <c r="T814" s="6">
        <f>VLOOKUP(A814,[1]!Orders,8,FALSE)</f>
        <v>10.98</v>
      </c>
    </row>
    <row r="815" spans="1:20" x14ac:dyDescent="0.3">
      <c r="A815" s="2">
        <v>11061</v>
      </c>
      <c r="B815" s="2" t="s">
        <v>83</v>
      </c>
      <c r="C815" s="2">
        <v>4</v>
      </c>
      <c r="D815" s="3">
        <v>35915</v>
      </c>
      <c r="E815" t="str">
        <f>VLOOKUP(C815,[1]Employees!$A$1:$O$10,4,FALSE)</f>
        <v>Peacock Margaret</v>
      </c>
      <c r="F815">
        <f>VLOOKUP(A815,[1]!Orders,7,FALSE)</f>
        <v>3</v>
      </c>
      <c r="G815" t="str">
        <f>VLOOKUP(F815,[1]!Shippers,2,FALSE)</f>
        <v>Federal Shipping</v>
      </c>
      <c r="H815" t="str">
        <f>VLOOKUP(C815,[1]EmployeeTerritories!$A$1:$B$50,2,FALSE)</f>
        <v>20852</v>
      </c>
      <c r="I815">
        <f>VLOOKUP(C815,[1]EmployeeTerritories!$A$1:$B$50,1,FALSE)</f>
        <v>4</v>
      </c>
      <c r="J815">
        <f>VLOOKUP(H815,[1]!Territories,3,FALSE)</f>
        <v>1</v>
      </c>
      <c r="K815" t="str">
        <f>VLOOKUP(J815,[1]!Region,2,FALSE)</f>
        <v>Eastern</v>
      </c>
      <c r="L815">
        <f>VLOOKUP(A815,[1]Order_Details!$A$1:$F$2156,2,FALSE)</f>
        <v>60</v>
      </c>
      <c r="M815" t="str">
        <f>VLOOKUP(L815,[1]!Products,2,FALSE)</f>
        <v>Camembert Pierrot</v>
      </c>
      <c r="N815">
        <f>VLOOKUP(L815,[1]!Products,4,FALSE)</f>
        <v>4</v>
      </c>
      <c r="O815" s="6" t="str">
        <f>VLOOKUP(N815,[1]!Categories,2,FALSE)</f>
        <v>Dairy Products</v>
      </c>
      <c r="P815" s="6">
        <f>VLOOKUP(A815,[1]Order_Details!$A$1:$F$2156,3,FALSE)</f>
        <v>34</v>
      </c>
      <c r="Q815">
        <f>VLOOKUP(A815,[1]Order_Details!$A$1:$F$2156,4,FALSE)</f>
        <v>15</v>
      </c>
      <c r="R815">
        <f>VLOOKUP(A815,[1]Order_Details!$A$1:$F$2156,5,FALSE)</f>
        <v>0</v>
      </c>
      <c r="S815" s="6">
        <f>VLOOKUP(A815,[1]Order_Details!$A$1:$F$2156,6,FALSE)</f>
        <v>510</v>
      </c>
      <c r="T815" s="6">
        <f>VLOOKUP(A815,[1]!Orders,8,FALSE)</f>
        <v>14.01</v>
      </c>
    </row>
    <row r="816" spans="1:20" x14ac:dyDescent="0.3">
      <c r="A816" s="2">
        <v>11062</v>
      </c>
      <c r="B816" s="2" t="s">
        <v>34</v>
      </c>
      <c r="C816" s="2">
        <v>4</v>
      </c>
      <c r="D816" s="3">
        <v>35915</v>
      </c>
      <c r="E816" t="str">
        <f>VLOOKUP(C816,[1]Employees!$A$1:$O$10,4,FALSE)</f>
        <v>Peacock Margaret</v>
      </c>
      <c r="F816">
        <f>VLOOKUP(A816,[1]!Orders,7,FALSE)</f>
        <v>2</v>
      </c>
      <c r="G816" t="str">
        <f>VLOOKUP(F816,[1]!Shippers,2,FALSE)</f>
        <v>United Package</v>
      </c>
      <c r="H816" t="str">
        <f>VLOOKUP(C816,[1]EmployeeTerritories!$A$1:$B$50,2,FALSE)</f>
        <v>20852</v>
      </c>
      <c r="I816">
        <f>VLOOKUP(C816,[1]EmployeeTerritories!$A$1:$B$50,1,FALSE)</f>
        <v>4</v>
      </c>
      <c r="J816">
        <f>VLOOKUP(H816,[1]!Territories,3,FALSE)</f>
        <v>1</v>
      </c>
      <c r="K816" t="str">
        <f>VLOOKUP(J816,[1]!Region,2,FALSE)</f>
        <v>Eastern</v>
      </c>
      <c r="L816">
        <f>VLOOKUP(A816,[1]Order_Details!$A$1:$F$2156,2,FALSE)</f>
        <v>53</v>
      </c>
      <c r="M816" t="str">
        <f>VLOOKUP(L816,[1]!Products,2,FALSE)</f>
        <v>Perth Pasties</v>
      </c>
      <c r="N816">
        <f>VLOOKUP(L816,[1]!Products,4,FALSE)</f>
        <v>6</v>
      </c>
      <c r="O816" s="6" t="str">
        <f>VLOOKUP(N816,[1]!Categories,2,FALSE)</f>
        <v>Meat/Poultry</v>
      </c>
      <c r="P816" s="6">
        <f>VLOOKUP(A816,[1]Order_Details!$A$1:$F$2156,3,FALSE)</f>
        <v>32.799999999999997</v>
      </c>
      <c r="Q816">
        <f>VLOOKUP(A816,[1]Order_Details!$A$1:$F$2156,4,FALSE)</f>
        <v>10</v>
      </c>
      <c r="R816">
        <f>VLOOKUP(A816,[1]Order_Details!$A$1:$F$2156,5,FALSE)</f>
        <v>0.20000000298023224</v>
      </c>
      <c r="S816" s="6">
        <f>VLOOKUP(A816,[1]Order_Details!$A$1:$F$2156,6,FALSE)</f>
        <v>262.39999902248383</v>
      </c>
      <c r="T816" s="6">
        <f>VLOOKUP(A816,[1]!Orders,8,FALSE)</f>
        <v>29.93</v>
      </c>
    </row>
    <row r="817" spans="1:20" x14ac:dyDescent="0.3">
      <c r="A817" s="2">
        <v>11063</v>
      </c>
      <c r="B817" s="2" t="s">
        <v>38</v>
      </c>
      <c r="C817" s="2">
        <v>3</v>
      </c>
      <c r="D817" s="3">
        <v>35915</v>
      </c>
      <c r="E817" t="str">
        <f>VLOOKUP(C817,[1]Employees!$A$1:$O$10,4,FALSE)</f>
        <v>Leverling Janet</v>
      </c>
      <c r="F817">
        <f>VLOOKUP(A817,[1]!Orders,7,FALSE)</f>
        <v>2</v>
      </c>
      <c r="G817" t="str">
        <f>VLOOKUP(F817,[1]!Shippers,2,FALSE)</f>
        <v>United Package</v>
      </c>
      <c r="H817" t="str">
        <f>VLOOKUP(C817,[1]EmployeeTerritories!$A$1:$B$50,2,FALSE)</f>
        <v>30346</v>
      </c>
      <c r="I817">
        <f>VLOOKUP(C817,[1]EmployeeTerritories!$A$1:$B$50,1,FALSE)</f>
        <v>3</v>
      </c>
      <c r="J817">
        <f>VLOOKUP(H817,[1]!Territories,3,FALSE)</f>
        <v>4</v>
      </c>
      <c r="K817" t="str">
        <f>VLOOKUP(J817,[1]!Region,2,FALSE)</f>
        <v>Southern</v>
      </c>
      <c r="L817">
        <f>VLOOKUP(A817,[1]Order_Details!$A$1:$F$2156,2,FALSE)</f>
        <v>34</v>
      </c>
      <c r="M817" t="str">
        <f>VLOOKUP(L817,[1]!Products,2,FALSE)</f>
        <v>Sasquatch Ale</v>
      </c>
      <c r="N817">
        <f>VLOOKUP(L817,[1]!Products,4,FALSE)</f>
        <v>1</v>
      </c>
      <c r="O817" s="6" t="str">
        <f>VLOOKUP(N817,[1]!Categories,2,FALSE)</f>
        <v>Beverages</v>
      </c>
      <c r="P817" s="6">
        <f>VLOOKUP(A817,[1]Order_Details!$A$1:$F$2156,3,FALSE)</f>
        <v>14</v>
      </c>
      <c r="Q817">
        <f>VLOOKUP(A817,[1]Order_Details!$A$1:$F$2156,4,FALSE)</f>
        <v>30</v>
      </c>
      <c r="R817">
        <f>VLOOKUP(A817,[1]Order_Details!$A$1:$F$2156,5,FALSE)</f>
        <v>0</v>
      </c>
      <c r="S817" s="6">
        <f>VLOOKUP(A817,[1]Order_Details!$A$1:$F$2156,6,FALSE)</f>
        <v>420</v>
      </c>
      <c r="T817" s="6">
        <f>VLOOKUP(A817,[1]!Orders,8,FALSE)</f>
        <v>81.73</v>
      </c>
    </row>
    <row r="818" spans="1:20" x14ac:dyDescent="0.3">
      <c r="A818" s="2">
        <v>11064</v>
      </c>
      <c r="B818" s="2" t="s">
        <v>49</v>
      </c>
      <c r="C818" s="2">
        <v>1</v>
      </c>
      <c r="D818" s="3">
        <v>35916</v>
      </c>
      <c r="E818" t="str">
        <f>VLOOKUP(C818,[1]Employees!$A$1:$O$10,4,FALSE)</f>
        <v>Davolio Nancy</v>
      </c>
      <c r="F818">
        <f>VLOOKUP(A818,[1]!Orders,7,FALSE)</f>
        <v>1</v>
      </c>
      <c r="G818" t="str">
        <f>VLOOKUP(F818,[1]!Shippers,2,FALSE)</f>
        <v>Speedy Express</v>
      </c>
      <c r="H818" t="str">
        <f>VLOOKUP(C818,[1]EmployeeTerritories!$A$1:$B$50,2,FALSE)</f>
        <v>06897</v>
      </c>
      <c r="I818">
        <f>VLOOKUP(C818,[1]EmployeeTerritories!$A$1:$B$50,1,FALSE)</f>
        <v>1</v>
      </c>
      <c r="J818">
        <f>VLOOKUP(H818,[1]!Territories,3,FALSE)</f>
        <v>1</v>
      </c>
      <c r="K818" t="str">
        <f>VLOOKUP(J818,[1]!Region,2,FALSE)</f>
        <v>Eastern</v>
      </c>
      <c r="L818">
        <f>VLOOKUP(A818,[1]Order_Details!$A$1:$F$2156,2,FALSE)</f>
        <v>17</v>
      </c>
      <c r="M818" t="str">
        <f>VLOOKUP(L818,[1]!Products,2,FALSE)</f>
        <v>Alice Mutton</v>
      </c>
      <c r="N818">
        <f>VLOOKUP(L818,[1]!Products,4,FALSE)</f>
        <v>6</v>
      </c>
      <c r="O818" s="6" t="str">
        <f>VLOOKUP(N818,[1]!Categories,2,FALSE)</f>
        <v>Meat/Poultry</v>
      </c>
      <c r="P818" s="6">
        <f>VLOOKUP(A818,[1]Order_Details!$A$1:$F$2156,3,FALSE)</f>
        <v>39</v>
      </c>
      <c r="Q818">
        <f>VLOOKUP(A818,[1]Order_Details!$A$1:$F$2156,4,FALSE)</f>
        <v>77</v>
      </c>
      <c r="R818">
        <f>VLOOKUP(A818,[1]Order_Details!$A$1:$F$2156,5,FALSE)</f>
        <v>0.10000000149011612</v>
      </c>
      <c r="S818" s="6">
        <f>VLOOKUP(A818,[1]Order_Details!$A$1:$F$2156,6,FALSE)</f>
        <v>2702.6999955251813</v>
      </c>
      <c r="T818" s="6">
        <f>VLOOKUP(A818,[1]!Orders,8,FALSE)</f>
        <v>30.09</v>
      </c>
    </row>
    <row r="819" spans="1:20" x14ac:dyDescent="0.3">
      <c r="A819" s="2">
        <v>11065</v>
      </c>
      <c r="B819" s="2" t="s">
        <v>32</v>
      </c>
      <c r="C819" s="2">
        <v>8</v>
      </c>
      <c r="D819" s="3">
        <v>35916</v>
      </c>
      <c r="E819" t="str">
        <f>VLOOKUP(C819,[1]Employees!$A$1:$O$10,4,FALSE)</f>
        <v>Callahan Laura</v>
      </c>
      <c r="F819">
        <f>VLOOKUP(A819,[1]!Orders,7,FALSE)</f>
        <v>1</v>
      </c>
      <c r="G819" t="str">
        <f>VLOOKUP(F819,[1]!Shippers,2,FALSE)</f>
        <v>Speedy Express</v>
      </c>
      <c r="H819" t="str">
        <f>VLOOKUP(C819,[1]EmployeeTerritories!$A$1:$B$50,2,FALSE)</f>
        <v>19428</v>
      </c>
      <c r="I819">
        <f>VLOOKUP(C819,[1]EmployeeTerritories!$A$1:$B$50,1,FALSE)</f>
        <v>8</v>
      </c>
      <c r="J819">
        <f>VLOOKUP(H819,[1]!Territories,3,FALSE)</f>
        <v>3</v>
      </c>
      <c r="K819" t="str">
        <f>VLOOKUP(J819,[1]!Region,2,FALSE)</f>
        <v>Northern</v>
      </c>
      <c r="L819">
        <f>VLOOKUP(A819,[1]Order_Details!$A$1:$F$2156,2,FALSE)</f>
        <v>30</v>
      </c>
      <c r="M819" t="str">
        <f>VLOOKUP(L819,[1]!Products,2,FALSE)</f>
        <v>Nord-Ost Matjeshering</v>
      </c>
      <c r="N819">
        <f>VLOOKUP(L819,[1]!Products,4,FALSE)</f>
        <v>8</v>
      </c>
      <c r="O819" s="6" t="str">
        <f>VLOOKUP(N819,[1]!Categories,2,FALSE)</f>
        <v>Seafood</v>
      </c>
      <c r="P819" s="6">
        <f>VLOOKUP(A819,[1]Order_Details!$A$1:$F$2156,3,FALSE)</f>
        <v>25.89</v>
      </c>
      <c r="Q819">
        <f>VLOOKUP(A819,[1]Order_Details!$A$1:$F$2156,4,FALSE)</f>
        <v>4</v>
      </c>
      <c r="R819">
        <f>VLOOKUP(A819,[1]Order_Details!$A$1:$F$2156,5,FALSE)</f>
        <v>0.25</v>
      </c>
      <c r="S819" s="6">
        <f>VLOOKUP(A819,[1]Order_Details!$A$1:$F$2156,6,FALSE)</f>
        <v>77.67</v>
      </c>
      <c r="T819" s="6">
        <f>VLOOKUP(A819,[1]!Orders,8,FALSE)</f>
        <v>12.91</v>
      </c>
    </row>
    <row r="820" spans="1:20" x14ac:dyDescent="0.3">
      <c r="A820" s="2">
        <v>11066</v>
      </c>
      <c r="B820" s="2" t="s">
        <v>23</v>
      </c>
      <c r="C820" s="2">
        <v>7</v>
      </c>
      <c r="D820" s="3">
        <v>35916</v>
      </c>
      <c r="E820" t="str">
        <f>VLOOKUP(C820,[1]Employees!$A$1:$O$10,4,FALSE)</f>
        <v>King Robert</v>
      </c>
      <c r="F820">
        <f>VLOOKUP(A820,[1]!Orders,7,FALSE)</f>
        <v>2</v>
      </c>
      <c r="G820" t="str">
        <f>VLOOKUP(F820,[1]!Shippers,2,FALSE)</f>
        <v>United Package</v>
      </c>
      <c r="H820" t="str">
        <f>VLOOKUP(C820,[1]EmployeeTerritories!$A$1:$B$50,2,FALSE)</f>
        <v>60179</v>
      </c>
      <c r="I820">
        <f>VLOOKUP(C820,[1]EmployeeTerritories!$A$1:$B$50,1,FALSE)</f>
        <v>7</v>
      </c>
      <c r="J820">
        <f>VLOOKUP(H820,[1]!Territories,3,FALSE)</f>
        <v>2</v>
      </c>
      <c r="K820" t="str">
        <f>VLOOKUP(J820,[1]!Region,2,FALSE)</f>
        <v>Western</v>
      </c>
      <c r="L820">
        <f>VLOOKUP(A820,[1]Order_Details!$A$1:$F$2156,2,FALSE)</f>
        <v>16</v>
      </c>
      <c r="M820" t="str">
        <f>VLOOKUP(L820,[1]!Products,2,FALSE)</f>
        <v>Pavlova</v>
      </c>
      <c r="N820">
        <f>VLOOKUP(L820,[1]!Products,4,FALSE)</f>
        <v>3</v>
      </c>
      <c r="O820" s="6" t="str">
        <f>VLOOKUP(N820,[1]!Categories,2,FALSE)</f>
        <v>Confections</v>
      </c>
      <c r="P820" s="6">
        <f>VLOOKUP(A820,[1]Order_Details!$A$1:$F$2156,3,FALSE)</f>
        <v>17.45</v>
      </c>
      <c r="Q820">
        <f>VLOOKUP(A820,[1]Order_Details!$A$1:$F$2156,4,FALSE)</f>
        <v>3</v>
      </c>
      <c r="R820">
        <f>VLOOKUP(A820,[1]Order_Details!$A$1:$F$2156,5,FALSE)</f>
        <v>0</v>
      </c>
      <c r="S820" s="6">
        <f>VLOOKUP(A820,[1]Order_Details!$A$1:$F$2156,6,FALSE)</f>
        <v>52.349999999999994</v>
      </c>
      <c r="T820" s="6">
        <f>VLOOKUP(A820,[1]!Orders,8,FALSE)</f>
        <v>44.72</v>
      </c>
    </row>
    <row r="821" spans="1:20" x14ac:dyDescent="0.3">
      <c r="A821" s="2">
        <v>11067</v>
      </c>
      <c r="B821" s="2" t="s">
        <v>61</v>
      </c>
      <c r="C821" s="2">
        <v>1</v>
      </c>
      <c r="D821" s="3">
        <v>35919</v>
      </c>
      <c r="E821" t="str">
        <f>VLOOKUP(C821,[1]Employees!$A$1:$O$10,4,FALSE)</f>
        <v>Davolio Nancy</v>
      </c>
      <c r="F821">
        <f>VLOOKUP(A821,[1]!Orders,7,FALSE)</f>
        <v>2</v>
      </c>
      <c r="G821" t="str">
        <f>VLOOKUP(F821,[1]!Shippers,2,FALSE)</f>
        <v>United Package</v>
      </c>
      <c r="H821" t="str">
        <f>VLOOKUP(C821,[1]EmployeeTerritories!$A$1:$B$50,2,FALSE)</f>
        <v>06897</v>
      </c>
      <c r="I821">
        <f>VLOOKUP(C821,[1]EmployeeTerritories!$A$1:$B$50,1,FALSE)</f>
        <v>1</v>
      </c>
      <c r="J821">
        <f>VLOOKUP(H821,[1]!Territories,3,FALSE)</f>
        <v>1</v>
      </c>
      <c r="K821" t="str">
        <f>VLOOKUP(J821,[1]!Region,2,FALSE)</f>
        <v>Eastern</v>
      </c>
      <c r="L821">
        <f>VLOOKUP(A821,[1]Order_Details!$A$1:$F$2156,2,FALSE)</f>
        <v>41</v>
      </c>
      <c r="M821" t="str">
        <f>VLOOKUP(L821,[1]!Products,2,FALSE)</f>
        <v>Jack's New England Clam Chowder</v>
      </c>
      <c r="N821">
        <f>VLOOKUP(L821,[1]!Products,4,FALSE)</f>
        <v>8</v>
      </c>
      <c r="O821" s="6" t="str">
        <f>VLOOKUP(N821,[1]!Categories,2,FALSE)</f>
        <v>Seafood</v>
      </c>
      <c r="P821" s="6">
        <f>VLOOKUP(A821,[1]Order_Details!$A$1:$F$2156,3,FALSE)</f>
        <v>9.65</v>
      </c>
      <c r="Q821">
        <f>VLOOKUP(A821,[1]Order_Details!$A$1:$F$2156,4,FALSE)</f>
        <v>9</v>
      </c>
      <c r="R821">
        <f>VLOOKUP(A821,[1]Order_Details!$A$1:$F$2156,5,FALSE)</f>
        <v>0</v>
      </c>
      <c r="S821" s="6">
        <f>VLOOKUP(A821,[1]Order_Details!$A$1:$F$2156,6,FALSE)</f>
        <v>86.850000000000009</v>
      </c>
      <c r="T821" s="6">
        <f>VLOOKUP(A821,[1]!Orders,8,FALSE)</f>
        <v>7.98</v>
      </c>
    </row>
    <row r="822" spans="1:20" x14ac:dyDescent="0.3">
      <c r="A822" s="2">
        <v>11068</v>
      </c>
      <c r="B822" s="2" t="s">
        <v>66</v>
      </c>
      <c r="C822" s="2">
        <v>8</v>
      </c>
      <c r="D822" s="3">
        <v>35919</v>
      </c>
      <c r="E822" t="str">
        <f>VLOOKUP(C822,[1]Employees!$A$1:$O$10,4,FALSE)</f>
        <v>Callahan Laura</v>
      </c>
      <c r="F822">
        <f>VLOOKUP(A822,[1]!Orders,7,FALSE)</f>
        <v>2</v>
      </c>
      <c r="G822" t="str">
        <f>VLOOKUP(F822,[1]!Shippers,2,FALSE)</f>
        <v>United Package</v>
      </c>
      <c r="H822" t="str">
        <f>VLOOKUP(C822,[1]EmployeeTerritories!$A$1:$B$50,2,FALSE)</f>
        <v>19428</v>
      </c>
      <c r="I822">
        <f>VLOOKUP(C822,[1]EmployeeTerritories!$A$1:$B$50,1,FALSE)</f>
        <v>8</v>
      </c>
      <c r="J822">
        <f>VLOOKUP(H822,[1]!Territories,3,FALSE)</f>
        <v>3</v>
      </c>
      <c r="K822" t="str">
        <f>VLOOKUP(J822,[1]!Region,2,FALSE)</f>
        <v>Northern</v>
      </c>
      <c r="L822">
        <f>VLOOKUP(A822,[1]Order_Details!$A$1:$F$2156,2,FALSE)</f>
        <v>28</v>
      </c>
      <c r="M822" t="str">
        <f>VLOOKUP(L822,[1]!Products,2,FALSE)</f>
        <v>Rössle Sauerkraut</v>
      </c>
      <c r="N822">
        <f>VLOOKUP(L822,[1]!Products,4,FALSE)</f>
        <v>7</v>
      </c>
      <c r="O822" s="6" t="str">
        <f>VLOOKUP(N822,[1]!Categories,2,FALSE)</f>
        <v>Produce</v>
      </c>
      <c r="P822" s="6">
        <f>VLOOKUP(A822,[1]Order_Details!$A$1:$F$2156,3,FALSE)</f>
        <v>45.6</v>
      </c>
      <c r="Q822">
        <f>VLOOKUP(A822,[1]Order_Details!$A$1:$F$2156,4,FALSE)</f>
        <v>8</v>
      </c>
      <c r="R822">
        <f>VLOOKUP(A822,[1]Order_Details!$A$1:$F$2156,5,FALSE)</f>
        <v>0.15000000596046448</v>
      </c>
      <c r="S822" s="6">
        <f>VLOOKUP(A822,[1]Order_Details!$A$1:$F$2156,6,FALSE)</f>
        <v>310.07999782562257</v>
      </c>
      <c r="T822" s="6">
        <f>VLOOKUP(A822,[1]!Orders,8,FALSE)</f>
        <v>81.75</v>
      </c>
    </row>
    <row r="823" spans="1:20" x14ac:dyDescent="0.3">
      <c r="A823" s="2">
        <v>11069</v>
      </c>
      <c r="B823" s="2" t="s">
        <v>27</v>
      </c>
      <c r="C823" s="2">
        <v>1</v>
      </c>
      <c r="D823" s="3">
        <v>35919</v>
      </c>
      <c r="E823" t="str">
        <f>VLOOKUP(C823,[1]Employees!$A$1:$O$10,4,FALSE)</f>
        <v>Davolio Nancy</v>
      </c>
      <c r="F823">
        <f>VLOOKUP(A823,[1]!Orders,7,FALSE)</f>
        <v>2</v>
      </c>
      <c r="G823" t="str">
        <f>VLOOKUP(F823,[1]!Shippers,2,FALSE)</f>
        <v>United Package</v>
      </c>
      <c r="H823" t="str">
        <f>VLOOKUP(C823,[1]EmployeeTerritories!$A$1:$B$50,2,FALSE)</f>
        <v>06897</v>
      </c>
      <c r="I823">
        <f>VLOOKUP(C823,[1]EmployeeTerritories!$A$1:$B$50,1,FALSE)</f>
        <v>1</v>
      </c>
      <c r="J823">
        <f>VLOOKUP(H823,[1]!Territories,3,FALSE)</f>
        <v>1</v>
      </c>
      <c r="K823" t="str">
        <f>VLOOKUP(J823,[1]!Region,2,FALSE)</f>
        <v>Eastern</v>
      </c>
      <c r="L823">
        <f>VLOOKUP(A823,[1]Order_Details!$A$1:$F$2156,2,FALSE)</f>
        <v>39</v>
      </c>
      <c r="M823" t="str">
        <f>VLOOKUP(L823,[1]!Products,2,FALSE)</f>
        <v>Chartreuse verte</v>
      </c>
      <c r="N823">
        <f>VLOOKUP(L823,[1]!Products,4,FALSE)</f>
        <v>1</v>
      </c>
      <c r="O823" s="6" t="str">
        <f>VLOOKUP(N823,[1]!Categories,2,FALSE)</f>
        <v>Beverages</v>
      </c>
      <c r="P823" s="6">
        <f>VLOOKUP(A823,[1]Order_Details!$A$1:$F$2156,3,FALSE)</f>
        <v>18</v>
      </c>
      <c r="Q823">
        <f>VLOOKUP(A823,[1]Order_Details!$A$1:$F$2156,4,FALSE)</f>
        <v>20</v>
      </c>
      <c r="R823">
        <f>VLOOKUP(A823,[1]Order_Details!$A$1:$F$2156,5,FALSE)</f>
        <v>0</v>
      </c>
      <c r="S823" s="6">
        <f>VLOOKUP(A823,[1]Order_Details!$A$1:$F$2156,6,FALSE)</f>
        <v>360</v>
      </c>
      <c r="T823" s="6">
        <f>VLOOKUP(A823,[1]!Orders,8,FALSE)</f>
        <v>15.67</v>
      </c>
    </row>
    <row r="824" spans="1:20" x14ac:dyDescent="0.3">
      <c r="A824" s="2">
        <v>11070</v>
      </c>
      <c r="B824" s="2" t="s">
        <v>30</v>
      </c>
      <c r="C824" s="2">
        <v>2</v>
      </c>
      <c r="D824" s="3">
        <v>35920</v>
      </c>
      <c r="E824" t="str">
        <f>VLOOKUP(C824,[1]Employees!$A$1:$O$10,4,FALSE)</f>
        <v>Fuller Andrew</v>
      </c>
      <c r="F824">
        <f>VLOOKUP(A824,[1]!Orders,7,FALSE)</f>
        <v>1</v>
      </c>
      <c r="G824" t="str">
        <f>VLOOKUP(F824,[1]!Shippers,2,FALSE)</f>
        <v>Speedy Express</v>
      </c>
      <c r="H824" t="str">
        <f>VLOOKUP(C824,[1]EmployeeTerritories!$A$1:$B$50,2,FALSE)</f>
        <v>01581</v>
      </c>
      <c r="I824">
        <f>VLOOKUP(C824,[1]EmployeeTerritories!$A$1:$B$50,1,FALSE)</f>
        <v>2</v>
      </c>
      <c r="J824">
        <f>VLOOKUP(H824,[1]!Territories,3,FALSE)</f>
        <v>1</v>
      </c>
      <c r="K824" t="str">
        <f>VLOOKUP(J824,[1]!Region,2,FALSE)</f>
        <v>Eastern</v>
      </c>
      <c r="L824">
        <f>VLOOKUP(A824,[1]Order_Details!$A$1:$F$2156,2,FALSE)</f>
        <v>1</v>
      </c>
      <c r="M824" t="str">
        <f>VLOOKUP(L824,[1]!Products,2,FALSE)</f>
        <v>Chai</v>
      </c>
      <c r="N824">
        <f>VLOOKUP(L824,[1]!Products,4,FALSE)</f>
        <v>1</v>
      </c>
      <c r="O824" s="6" t="str">
        <f>VLOOKUP(N824,[1]!Categories,2,FALSE)</f>
        <v>Beverages</v>
      </c>
      <c r="P824" s="6">
        <f>VLOOKUP(A824,[1]Order_Details!$A$1:$F$2156,3,FALSE)</f>
        <v>18</v>
      </c>
      <c r="Q824">
        <f>VLOOKUP(A824,[1]Order_Details!$A$1:$F$2156,4,FALSE)</f>
        <v>40</v>
      </c>
      <c r="R824">
        <f>VLOOKUP(A824,[1]Order_Details!$A$1:$F$2156,5,FALSE)</f>
        <v>0.15000000596046448</v>
      </c>
      <c r="S824" s="6">
        <f>VLOOKUP(A824,[1]Order_Details!$A$1:$F$2156,6,FALSE)</f>
        <v>611.99999570846558</v>
      </c>
      <c r="T824" s="6">
        <f>VLOOKUP(A824,[1]!Orders,8,FALSE)</f>
        <v>136</v>
      </c>
    </row>
    <row r="825" spans="1:20" x14ac:dyDescent="0.3">
      <c r="A825" s="2">
        <v>11071</v>
      </c>
      <c r="B825" s="2" t="s">
        <v>32</v>
      </c>
      <c r="C825" s="2">
        <v>1</v>
      </c>
      <c r="D825" s="3">
        <v>35920</v>
      </c>
      <c r="E825" t="str">
        <f>VLOOKUP(C825,[1]Employees!$A$1:$O$10,4,FALSE)</f>
        <v>Davolio Nancy</v>
      </c>
      <c r="F825">
        <f>VLOOKUP(A825,[1]!Orders,7,FALSE)</f>
        <v>1</v>
      </c>
      <c r="G825" t="str">
        <f>VLOOKUP(F825,[1]!Shippers,2,FALSE)</f>
        <v>Speedy Express</v>
      </c>
      <c r="H825" t="str">
        <f>VLOOKUP(C825,[1]EmployeeTerritories!$A$1:$B$50,2,FALSE)</f>
        <v>06897</v>
      </c>
      <c r="I825">
        <f>VLOOKUP(C825,[1]EmployeeTerritories!$A$1:$B$50,1,FALSE)</f>
        <v>1</v>
      </c>
      <c r="J825">
        <f>VLOOKUP(H825,[1]!Territories,3,FALSE)</f>
        <v>1</v>
      </c>
      <c r="K825" t="str">
        <f>VLOOKUP(J825,[1]!Region,2,FALSE)</f>
        <v>Eastern</v>
      </c>
      <c r="L825">
        <f>VLOOKUP(A825,[1]Order_Details!$A$1:$F$2156,2,FALSE)</f>
        <v>7</v>
      </c>
      <c r="M825" t="str">
        <f>VLOOKUP(L825,[1]!Products,2,FALSE)</f>
        <v>Uncle Bob's Organic Dried Pears</v>
      </c>
      <c r="N825">
        <f>VLOOKUP(L825,[1]!Products,4,FALSE)</f>
        <v>7</v>
      </c>
      <c r="O825" s="6" t="str">
        <f>VLOOKUP(N825,[1]!Categories,2,FALSE)</f>
        <v>Produce</v>
      </c>
      <c r="P825" s="6">
        <f>VLOOKUP(A825,[1]Order_Details!$A$1:$F$2156,3,FALSE)</f>
        <v>30</v>
      </c>
      <c r="Q825">
        <f>VLOOKUP(A825,[1]Order_Details!$A$1:$F$2156,4,FALSE)</f>
        <v>15</v>
      </c>
      <c r="R825">
        <f>VLOOKUP(A825,[1]Order_Details!$A$1:$F$2156,5,FALSE)</f>
        <v>5.000000074505806E-2</v>
      </c>
      <c r="S825" s="6">
        <f>VLOOKUP(A825,[1]Order_Details!$A$1:$F$2156,6,FALSE)</f>
        <v>427.49999966472387</v>
      </c>
      <c r="T825" s="6">
        <f>VLOOKUP(A825,[1]!Orders,8,FALSE)</f>
        <v>0.93</v>
      </c>
    </row>
    <row r="826" spans="1:20" x14ac:dyDescent="0.3">
      <c r="A826" s="2">
        <v>11072</v>
      </c>
      <c r="B826" s="2" t="s">
        <v>13</v>
      </c>
      <c r="C826" s="2">
        <v>4</v>
      </c>
      <c r="D826" s="3">
        <v>35920</v>
      </c>
      <c r="E826" t="str">
        <f>VLOOKUP(C826,[1]Employees!$A$1:$O$10,4,FALSE)</f>
        <v>Peacock Margaret</v>
      </c>
      <c r="F826">
        <f>VLOOKUP(A826,[1]!Orders,7,FALSE)</f>
        <v>2</v>
      </c>
      <c r="G826" t="str">
        <f>VLOOKUP(F826,[1]!Shippers,2,FALSE)</f>
        <v>United Package</v>
      </c>
      <c r="H826" t="str">
        <f>VLOOKUP(C826,[1]EmployeeTerritories!$A$1:$B$50,2,FALSE)</f>
        <v>20852</v>
      </c>
      <c r="I826">
        <f>VLOOKUP(C826,[1]EmployeeTerritories!$A$1:$B$50,1,FALSE)</f>
        <v>4</v>
      </c>
      <c r="J826">
        <f>VLOOKUP(H826,[1]!Territories,3,FALSE)</f>
        <v>1</v>
      </c>
      <c r="K826" t="str">
        <f>VLOOKUP(J826,[1]!Region,2,FALSE)</f>
        <v>Eastern</v>
      </c>
      <c r="L826">
        <f>VLOOKUP(A826,[1]Order_Details!$A$1:$F$2156,2,FALSE)</f>
        <v>2</v>
      </c>
      <c r="M826" t="str">
        <f>VLOOKUP(L826,[1]!Products,2,FALSE)</f>
        <v>Chang</v>
      </c>
      <c r="N826">
        <f>VLOOKUP(L826,[1]!Products,4,FALSE)</f>
        <v>1</v>
      </c>
      <c r="O826" s="6" t="str">
        <f>VLOOKUP(N826,[1]!Categories,2,FALSE)</f>
        <v>Beverages</v>
      </c>
      <c r="P826" s="6">
        <f>VLOOKUP(A826,[1]Order_Details!$A$1:$F$2156,3,FALSE)</f>
        <v>19</v>
      </c>
      <c r="Q826">
        <f>VLOOKUP(A826,[1]Order_Details!$A$1:$F$2156,4,FALSE)</f>
        <v>8</v>
      </c>
      <c r="R826">
        <f>VLOOKUP(A826,[1]Order_Details!$A$1:$F$2156,5,FALSE)</f>
        <v>0</v>
      </c>
      <c r="S826" s="6">
        <f>VLOOKUP(A826,[1]Order_Details!$A$1:$F$2156,6,FALSE)</f>
        <v>152</v>
      </c>
      <c r="T826" s="6">
        <f>VLOOKUP(A826,[1]!Orders,8,FALSE)</f>
        <v>258.64</v>
      </c>
    </row>
    <row r="827" spans="1:20" x14ac:dyDescent="0.3">
      <c r="A827" s="2">
        <v>11073</v>
      </c>
      <c r="B827" s="2" t="s">
        <v>47</v>
      </c>
      <c r="C827" s="2">
        <v>2</v>
      </c>
      <c r="D827" s="3">
        <v>35920</v>
      </c>
      <c r="E827" t="str">
        <f>VLOOKUP(C827,[1]Employees!$A$1:$O$10,4,FALSE)</f>
        <v>Fuller Andrew</v>
      </c>
      <c r="F827">
        <f>VLOOKUP(A827,[1]!Orders,7,FALSE)</f>
        <v>2</v>
      </c>
      <c r="G827" t="str">
        <f>VLOOKUP(F827,[1]!Shippers,2,FALSE)</f>
        <v>United Package</v>
      </c>
      <c r="H827" t="str">
        <f>VLOOKUP(C827,[1]EmployeeTerritories!$A$1:$B$50,2,FALSE)</f>
        <v>01581</v>
      </c>
      <c r="I827">
        <f>VLOOKUP(C827,[1]EmployeeTerritories!$A$1:$B$50,1,FALSE)</f>
        <v>2</v>
      </c>
      <c r="J827">
        <f>VLOOKUP(H827,[1]!Territories,3,FALSE)</f>
        <v>1</v>
      </c>
      <c r="K827" t="str">
        <f>VLOOKUP(J827,[1]!Region,2,FALSE)</f>
        <v>Eastern</v>
      </c>
      <c r="L827">
        <f>VLOOKUP(A827,[1]Order_Details!$A$1:$F$2156,2,FALSE)</f>
        <v>11</v>
      </c>
      <c r="M827" t="str">
        <f>VLOOKUP(L827,[1]!Products,2,FALSE)</f>
        <v>Queso Cabrales</v>
      </c>
      <c r="N827">
        <f>VLOOKUP(L827,[1]!Products,4,FALSE)</f>
        <v>4</v>
      </c>
      <c r="O827" s="6" t="str">
        <f>VLOOKUP(N827,[1]!Categories,2,FALSE)</f>
        <v>Dairy Products</v>
      </c>
      <c r="P827" s="6">
        <f>VLOOKUP(A827,[1]Order_Details!$A$1:$F$2156,3,FALSE)</f>
        <v>21</v>
      </c>
      <c r="Q827">
        <f>VLOOKUP(A827,[1]Order_Details!$A$1:$F$2156,4,FALSE)</f>
        <v>10</v>
      </c>
      <c r="R827">
        <f>VLOOKUP(A827,[1]Order_Details!$A$1:$F$2156,5,FALSE)</f>
        <v>0</v>
      </c>
      <c r="S827" s="6">
        <f>VLOOKUP(A827,[1]Order_Details!$A$1:$F$2156,6,FALSE)</f>
        <v>210</v>
      </c>
      <c r="T827" s="6">
        <f>VLOOKUP(A827,[1]!Orders,8,FALSE)</f>
        <v>24.95</v>
      </c>
    </row>
    <row r="828" spans="1:20" x14ac:dyDescent="0.3">
      <c r="A828" s="2">
        <v>11074</v>
      </c>
      <c r="B828" s="2" t="s">
        <v>55</v>
      </c>
      <c r="C828" s="2">
        <v>7</v>
      </c>
      <c r="D828" s="3">
        <v>35921</v>
      </c>
      <c r="E828" t="str">
        <f>VLOOKUP(C828,[1]Employees!$A$1:$O$10,4,FALSE)</f>
        <v>King Robert</v>
      </c>
      <c r="F828">
        <f>VLOOKUP(A828,[1]!Orders,7,FALSE)</f>
        <v>2</v>
      </c>
      <c r="G828" t="str">
        <f>VLOOKUP(F828,[1]!Shippers,2,FALSE)</f>
        <v>United Package</v>
      </c>
      <c r="H828" t="str">
        <f>VLOOKUP(C828,[1]EmployeeTerritories!$A$1:$B$50,2,FALSE)</f>
        <v>60179</v>
      </c>
      <c r="I828">
        <f>VLOOKUP(C828,[1]EmployeeTerritories!$A$1:$B$50,1,FALSE)</f>
        <v>7</v>
      </c>
      <c r="J828">
        <f>VLOOKUP(H828,[1]!Territories,3,FALSE)</f>
        <v>2</v>
      </c>
      <c r="K828" t="str">
        <f>VLOOKUP(J828,[1]!Region,2,FALSE)</f>
        <v>Western</v>
      </c>
      <c r="L828">
        <f>VLOOKUP(A828,[1]Order_Details!$A$1:$F$2156,2,FALSE)</f>
        <v>16</v>
      </c>
      <c r="M828" t="str">
        <f>VLOOKUP(L828,[1]!Products,2,FALSE)</f>
        <v>Pavlova</v>
      </c>
      <c r="N828">
        <f>VLOOKUP(L828,[1]!Products,4,FALSE)</f>
        <v>3</v>
      </c>
      <c r="O828" s="6" t="str">
        <f>VLOOKUP(N828,[1]!Categories,2,FALSE)</f>
        <v>Confections</v>
      </c>
      <c r="P828" s="6">
        <f>VLOOKUP(A828,[1]Order_Details!$A$1:$F$2156,3,FALSE)</f>
        <v>17.45</v>
      </c>
      <c r="Q828">
        <f>VLOOKUP(A828,[1]Order_Details!$A$1:$F$2156,4,FALSE)</f>
        <v>14</v>
      </c>
      <c r="R828">
        <f>VLOOKUP(A828,[1]Order_Details!$A$1:$F$2156,5,FALSE)</f>
        <v>5.000000074505806E-2</v>
      </c>
      <c r="S828" s="6">
        <f>VLOOKUP(A828,[1]Order_Details!$A$1:$F$2156,6,FALSE)</f>
        <v>232.08499981798229</v>
      </c>
      <c r="T828" s="6">
        <f>VLOOKUP(A828,[1]!Orders,8,FALSE)</f>
        <v>18.440000000000001</v>
      </c>
    </row>
    <row r="829" spans="1:20" x14ac:dyDescent="0.3">
      <c r="A829" s="2">
        <v>11075</v>
      </c>
      <c r="B829" s="2" t="s">
        <v>10</v>
      </c>
      <c r="C829" s="2">
        <v>8</v>
      </c>
      <c r="D829" s="3">
        <v>35921</v>
      </c>
      <c r="E829" t="str">
        <f>VLOOKUP(C829,[1]Employees!$A$1:$O$10,4,FALSE)</f>
        <v>Callahan Laura</v>
      </c>
      <c r="F829">
        <f>VLOOKUP(A829,[1]!Orders,7,FALSE)</f>
        <v>2</v>
      </c>
      <c r="G829" t="str">
        <f>VLOOKUP(F829,[1]!Shippers,2,FALSE)</f>
        <v>United Package</v>
      </c>
      <c r="H829" t="str">
        <f>VLOOKUP(C829,[1]EmployeeTerritories!$A$1:$B$50,2,FALSE)</f>
        <v>19428</v>
      </c>
      <c r="I829">
        <f>VLOOKUP(C829,[1]EmployeeTerritories!$A$1:$B$50,1,FALSE)</f>
        <v>8</v>
      </c>
      <c r="J829">
        <f>VLOOKUP(H829,[1]!Territories,3,FALSE)</f>
        <v>3</v>
      </c>
      <c r="K829" t="str">
        <f>VLOOKUP(J829,[1]!Region,2,FALSE)</f>
        <v>Northern</v>
      </c>
      <c r="L829">
        <f>VLOOKUP(A829,[1]Order_Details!$A$1:$F$2156,2,FALSE)</f>
        <v>2</v>
      </c>
      <c r="M829" t="str">
        <f>VLOOKUP(L829,[1]!Products,2,FALSE)</f>
        <v>Chang</v>
      </c>
      <c r="N829">
        <f>VLOOKUP(L829,[1]!Products,4,FALSE)</f>
        <v>1</v>
      </c>
      <c r="O829" s="6" t="str">
        <f>VLOOKUP(N829,[1]!Categories,2,FALSE)</f>
        <v>Beverages</v>
      </c>
      <c r="P829" s="6">
        <f>VLOOKUP(A829,[1]Order_Details!$A$1:$F$2156,3,FALSE)</f>
        <v>19</v>
      </c>
      <c r="Q829">
        <f>VLOOKUP(A829,[1]Order_Details!$A$1:$F$2156,4,FALSE)</f>
        <v>10</v>
      </c>
      <c r="R829">
        <f>VLOOKUP(A829,[1]Order_Details!$A$1:$F$2156,5,FALSE)</f>
        <v>0.15000000596046448</v>
      </c>
      <c r="S829" s="6">
        <f>VLOOKUP(A829,[1]Order_Details!$A$1:$F$2156,6,FALSE)</f>
        <v>161.49999886751175</v>
      </c>
      <c r="T829" s="6">
        <f>VLOOKUP(A829,[1]!Orders,8,FALSE)</f>
        <v>6.19</v>
      </c>
    </row>
    <row r="830" spans="1:20" x14ac:dyDescent="0.3">
      <c r="A830" s="2">
        <v>11076</v>
      </c>
      <c r="B830" s="2" t="s">
        <v>52</v>
      </c>
      <c r="C830" s="2">
        <v>4</v>
      </c>
      <c r="D830" s="3">
        <v>35921</v>
      </c>
      <c r="E830" t="str">
        <f>VLOOKUP(C830,[1]Employees!$A$1:$O$10,4,FALSE)</f>
        <v>Peacock Margaret</v>
      </c>
      <c r="F830">
        <f>VLOOKUP(A830,[1]!Orders,7,FALSE)</f>
        <v>2</v>
      </c>
      <c r="G830" t="str">
        <f>VLOOKUP(F830,[1]!Shippers,2,FALSE)</f>
        <v>United Package</v>
      </c>
      <c r="H830" t="str">
        <f>VLOOKUP(C830,[1]EmployeeTerritories!$A$1:$B$50,2,FALSE)</f>
        <v>20852</v>
      </c>
      <c r="I830">
        <f>VLOOKUP(C830,[1]EmployeeTerritories!$A$1:$B$50,1,FALSE)</f>
        <v>4</v>
      </c>
      <c r="J830">
        <f>VLOOKUP(H830,[1]!Territories,3,FALSE)</f>
        <v>1</v>
      </c>
      <c r="K830" t="str">
        <f>VLOOKUP(J830,[1]!Region,2,FALSE)</f>
        <v>Eastern</v>
      </c>
      <c r="L830">
        <f>VLOOKUP(A830,[1]Order_Details!$A$1:$F$2156,2,FALSE)</f>
        <v>6</v>
      </c>
      <c r="M830" t="str">
        <f>VLOOKUP(L830,[1]!Products,2,FALSE)</f>
        <v>Grandma's Boysenberry Spread</v>
      </c>
      <c r="N830">
        <f>VLOOKUP(L830,[1]!Products,4,FALSE)</f>
        <v>2</v>
      </c>
      <c r="O830" s="6" t="str">
        <f>VLOOKUP(N830,[1]!Categories,2,FALSE)</f>
        <v>Condiments</v>
      </c>
      <c r="P830" s="6">
        <f>VLOOKUP(A830,[1]Order_Details!$A$1:$F$2156,3,FALSE)</f>
        <v>25</v>
      </c>
      <c r="Q830">
        <f>VLOOKUP(A830,[1]Order_Details!$A$1:$F$2156,4,FALSE)</f>
        <v>20</v>
      </c>
      <c r="R830">
        <f>VLOOKUP(A830,[1]Order_Details!$A$1:$F$2156,5,FALSE)</f>
        <v>0.25</v>
      </c>
      <c r="S830" s="6">
        <f>VLOOKUP(A830,[1]Order_Details!$A$1:$F$2156,6,FALSE)</f>
        <v>375</v>
      </c>
      <c r="T830" s="6">
        <f>VLOOKUP(A830,[1]!Orders,8,FALSE)</f>
        <v>38.28</v>
      </c>
    </row>
    <row r="831" spans="1:20" x14ac:dyDescent="0.3">
      <c r="A831" s="2">
        <v>11077</v>
      </c>
      <c r="B831" s="2" t="s">
        <v>17</v>
      </c>
      <c r="C831" s="2">
        <v>1</v>
      </c>
      <c r="D831" s="3">
        <v>35921</v>
      </c>
      <c r="E831" t="str">
        <f>VLOOKUP(C831,[1]Employees!$A$1:$O$10,4,FALSE)</f>
        <v>Davolio Nancy</v>
      </c>
      <c r="F831">
        <f>VLOOKUP(A831,[1]!Orders,7,FALSE)</f>
        <v>2</v>
      </c>
      <c r="G831" t="str">
        <f>VLOOKUP(F831,[1]!Shippers,2,FALSE)</f>
        <v>United Package</v>
      </c>
      <c r="H831" t="str">
        <f>VLOOKUP(C831,[1]EmployeeTerritories!$A$1:$B$50,2,FALSE)</f>
        <v>06897</v>
      </c>
      <c r="I831">
        <f>VLOOKUP(C831,[1]EmployeeTerritories!$A$1:$B$50,1,FALSE)</f>
        <v>1</v>
      </c>
      <c r="J831">
        <f>VLOOKUP(H831,[1]!Territories,3,FALSE)</f>
        <v>1</v>
      </c>
      <c r="K831" t="str">
        <f>VLOOKUP(J831,[1]!Region,2,FALSE)</f>
        <v>Eastern</v>
      </c>
      <c r="L831">
        <f>VLOOKUP(A831,[1]Order_Details!$A$1:$F$2156,2,FALSE)</f>
        <v>2</v>
      </c>
      <c r="M831" t="str">
        <f>VLOOKUP(L831,[1]!Products,2,FALSE)</f>
        <v>Chang</v>
      </c>
      <c r="N831">
        <f>VLOOKUP(L831,[1]!Products,4,FALSE)</f>
        <v>1</v>
      </c>
      <c r="O831" s="6" t="str">
        <f>VLOOKUP(N831,[1]!Categories,2,FALSE)</f>
        <v>Beverages</v>
      </c>
      <c r="P831" s="6">
        <f>VLOOKUP(A831,[1]Order_Details!$A$1:$F$2156,3,FALSE)</f>
        <v>19</v>
      </c>
      <c r="Q831">
        <f>VLOOKUP(A831,[1]Order_Details!$A$1:$F$2156,4,FALSE)</f>
        <v>24</v>
      </c>
      <c r="R831">
        <f>VLOOKUP(A831,[1]Order_Details!$A$1:$F$2156,5,FALSE)</f>
        <v>0.20000000298023224</v>
      </c>
      <c r="S831" s="6">
        <f>VLOOKUP(A831,[1]Order_Details!$A$1:$F$2156,6,FALSE)</f>
        <v>364.7999986410141</v>
      </c>
      <c r="T831" s="6">
        <f>VLOOKUP(A831,[1]!Orders,8,FALSE)</f>
        <v>8.5299999999999994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1A907-2064-4735-83C3-4768A6225E10}">
  <dimension ref="A1:M18"/>
  <sheetViews>
    <sheetView showGridLines="0" tabSelected="1" workbookViewId="0">
      <selection activeCell="G26" sqref="G26"/>
    </sheetView>
  </sheetViews>
  <sheetFormatPr defaultRowHeight="14.4" x14ac:dyDescent="0.3"/>
  <cols>
    <col min="4" max="4" width="12.88671875" bestFit="1" customWidth="1"/>
    <col min="5" max="5" width="11.88671875" bestFit="1" customWidth="1"/>
    <col min="7" max="7" width="12.5546875" bestFit="1" customWidth="1"/>
    <col min="8" max="8" width="14.109375" bestFit="1" customWidth="1"/>
    <col min="12" max="12" width="9" bestFit="1" customWidth="1"/>
    <col min="13" max="13" width="10.88671875" bestFit="1" customWidth="1"/>
  </cols>
  <sheetData>
    <row r="1" spans="1:13" x14ac:dyDescent="0.3">
      <c r="A1" s="8"/>
      <c r="B1" s="9"/>
      <c r="C1" s="10"/>
      <c r="G1" s="17" t="s">
        <v>104</v>
      </c>
      <c r="H1" t="s">
        <v>103</v>
      </c>
      <c r="L1" s="17" t="s">
        <v>138</v>
      </c>
      <c r="M1" t="s">
        <v>103</v>
      </c>
    </row>
    <row r="2" spans="1:13" x14ac:dyDescent="0.3">
      <c r="A2" s="11"/>
      <c r="B2" s="12"/>
      <c r="C2" s="13"/>
      <c r="G2" s="18" t="s">
        <v>115</v>
      </c>
      <c r="H2" s="6">
        <v>120156.03886009777</v>
      </c>
      <c r="L2" s="18" t="s">
        <v>126</v>
      </c>
      <c r="M2" s="6">
        <v>58346.148938571372</v>
      </c>
    </row>
    <row r="3" spans="1:13" x14ac:dyDescent="0.3">
      <c r="A3" s="11"/>
      <c r="B3" s="12"/>
      <c r="C3" s="13"/>
      <c r="G3" s="18" t="s">
        <v>116</v>
      </c>
      <c r="H3" s="6">
        <v>146506.90788244252</v>
      </c>
      <c r="L3" s="18" t="s">
        <v>127</v>
      </c>
      <c r="M3" s="6">
        <v>60757.187461740708</v>
      </c>
    </row>
    <row r="4" spans="1:13" x14ac:dyDescent="0.3">
      <c r="A4" s="11"/>
      <c r="B4" s="12"/>
      <c r="C4" s="13"/>
      <c r="G4" s="18" t="s">
        <v>113</v>
      </c>
      <c r="H4" s="6">
        <v>208249.14183782696</v>
      </c>
      <c r="L4" s="18" t="s">
        <v>128</v>
      </c>
      <c r="M4" s="6">
        <v>68605.249963061127</v>
      </c>
    </row>
    <row r="5" spans="1:13" x14ac:dyDescent="0.3">
      <c r="A5" s="11"/>
      <c r="B5" s="12"/>
      <c r="C5" s="13"/>
      <c r="L5" s="18" t="s">
        <v>129</v>
      </c>
      <c r="M5" s="6">
        <v>61541.134940468066</v>
      </c>
    </row>
    <row r="6" spans="1:13" x14ac:dyDescent="0.3">
      <c r="A6" s="11"/>
      <c r="B6" s="12"/>
      <c r="C6" s="13"/>
      <c r="L6" s="18" t="s">
        <v>130</v>
      </c>
      <c r="M6" s="6">
        <v>20923.984958760884</v>
      </c>
    </row>
    <row r="7" spans="1:13" x14ac:dyDescent="0.3">
      <c r="A7" s="11"/>
      <c r="B7" s="12"/>
      <c r="C7" s="13"/>
      <c r="L7" s="18" t="s">
        <v>131</v>
      </c>
      <c r="M7" s="6">
        <v>11922.36998525653</v>
      </c>
    </row>
    <row r="8" spans="1:13" x14ac:dyDescent="0.3">
      <c r="A8" s="11"/>
      <c r="B8" s="12"/>
      <c r="C8" s="13"/>
      <c r="L8" s="18" t="s">
        <v>132</v>
      </c>
      <c r="M8" s="6">
        <v>31391.774965760036</v>
      </c>
    </row>
    <row r="9" spans="1:13" x14ac:dyDescent="0.3">
      <c r="A9" s="11"/>
      <c r="B9" s="12"/>
      <c r="C9" s="13"/>
      <c r="D9" s="17" t="s">
        <v>104</v>
      </c>
      <c r="E9" t="s">
        <v>103</v>
      </c>
      <c r="L9" s="18" t="s">
        <v>133</v>
      </c>
      <c r="M9" s="6">
        <v>28288.854983568195</v>
      </c>
    </row>
    <row r="10" spans="1:13" x14ac:dyDescent="0.3">
      <c r="A10" s="11"/>
      <c r="B10" s="12"/>
      <c r="C10" s="13"/>
      <c r="D10" s="18" t="s">
        <v>109</v>
      </c>
      <c r="E10" s="6">
        <v>17980.359990800916</v>
      </c>
      <c r="L10" s="18" t="s">
        <v>134</v>
      </c>
      <c r="M10" s="6">
        <v>38695.039968340468</v>
      </c>
    </row>
    <row r="11" spans="1:13" x14ac:dyDescent="0.3">
      <c r="A11" s="11"/>
      <c r="B11" s="12"/>
      <c r="C11" s="13"/>
      <c r="D11" s="18" t="s">
        <v>106</v>
      </c>
      <c r="E11" s="6">
        <v>38061.724970889089</v>
      </c>
      <c r="L11" s="18" t="s">
        <v>135</v>
      </c>
      <c r="M11" s="6">
        <v>29443.999965165931</v>
      </c>
    </row>
    <row r="12" spans="1:13" x14ac:dyDescent="0.3">
      <c r="A12" s="11"/>
      <c r="B12" s="12"/>
      <c r="C12" s="13"/>
      <c r="D12" s="18" t="s">
        <v>111</v>
      </c>
      <c r="E12" s="6">
        <v>41208.767480961047</v>
      </c>
      <c r="L12" s="18" t="s">
        <v>136</v>
      </c>
      <c r="M12" s="6">
        <v>28760.588977356438</v>
      </c>
    </row>
    <row r="13" spans="1:13" x14ac:dyDescent="0.3">
      <c r="A13" s="11"/>
      <c r="B13" s="12"/>
      <c r="C13" s="13"/>
      <c r="D13" s="18" t="s">
        <v>108</v>
      </c>
      <c r="E13" s="6">
        <v>59422.029923654722</v>
      </c>
      <c r="L13" s="18" t="s">
        <v>137</v>
      </c>
      <c r="M13" s="6">
        <v>36235.753472317461</v>
      </c>
    </row>
    <row r="14" spans="1:13" x14ac:dyDescent="0.3">
      <c r="A14" s="11"/>
      <c r="B14" s="12"/>
      <c r="C14" s="13"/>
      <c r="D14" s="18" t="s">
        <v>112</v>
      </c>
      <c r="E14" s="6">
        <v>62445.679914710927</v>
      </c>
      <c r="G14" s="17" t="s">
        <v>104</v>
      </c>
      <c r="H14" t="s">
        <v>118</v>
      </c>
    </row>
    <row r="15" spans="1:13" x14ac:dyDescent="0.3">
      <c r="A15" s="11"/>
      <c r="B15" s="12"/>
      <c r="C15" s="13"/>
      <c r="D15" s="18" t="s">
        <v>107</v>
      </c>
      <c r="E15" s="6">
        <v>65937.045434953834</v>
      </c>
      <c r="G15" s="18" t="s">
        <v>124</v>
      </c>
      <c r="H15" s="6">
        <v>517.58601996647815</v>
      </c>
    </row>
    <row r="16" spans="1:13" x14ac:dyDescent="0.3">
      <c r="A16" s="11"/>
      <c r="B16" s="12"/>
      <c r="C16" s="13"/>
      <c r="D16" s="18" t="s">
        <v>110</v>
      </c>
      <c r="E16" s="6">
        <v>77267.215956850734</v>
      </c>
      <c r="G16" s="18" t="s">
        <v>125</v>
      </c>
      <c r="H16" s="6">
        <v>525.7017584776147</v>
      </c>
    </row>
    <row r="17" spans="1:8" x14ac:dyDescent="0.3">
      <c r="A17" s="11"/>
      <c r="B17" s="12"/>
      <c r="C17" s="13"/>
      <c r="D17" s="18" t="s">
        <v>105</v>
      </c>
      <c r="E17" s="6">
        <v>112589.26490754596</v>
      </c>
      <c r="G17" s="18" t="s">
        <v>117</v>
      </c>
      <c r="H17" s="6">
        <v>563.37084983733689</v>
      </c>
    </row>
    <row r="18" spans="1:8" x14ac:dyDescent="0.3">
      <c r="A18" s="14"/>
      <c r="B18" s="15"/>
      <c r="C18" s="16"/>
      <c r="G18" s="18" t="s">
        <v>114</v>
      </c>
      <c r="H18" s="6">
        <v>609.60743714044304</v>
      </c>
    </row>
  </sheetData>
  <pageMargins left="0.7" right="0.7" top="0.75" bottom="0.75" header="0.3" footer="0.3"/>
  <drawing r:id="rId6"/>
  <extLs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D368F-2F37-467E-947F-394E32B2E0CC}">
  <dimension ref="A1:F69"/>
  <sheetViews>
    <sheetView showGridLines="0" workbookViewId="0">
      <pane ySplit="1" topLeftCell="A2" activePane="bottomLeft" state="frozen"/>
      <selection pane="bottomLeft" activeCell="A2" sqref="A2"/>
    </sheetView>
  </sheetViews>
  <sheetFormatPr defaultRowHeight="14.4" x14ac:dyDescent="0.3"/>
  <sheetData>
    <row r="1" spans="1:6" ht="25.8" x14ac:dyDescent="0.3">
      <c r="A1" s="33" t="s">
        <v>139</v>
      </c>
      <c r="B1" s="33"/>
      <c r="C1" s="33"/>
      <c r="D1" s="33"/>
      <c r="E1" s="33"/>
      <c r="F1" s="33"/>
    </row>
    <row r="2" spans="1:6" x14ac:dyDescent="0.3">
      <c r="A2" s="21"/>
    </row>
    <row r="3" spans="1:6" ht="21" x14ac:dyDescent="0.3">
      <c r="A3" s="22" t="s">
        <v>140</v>
      </c>
    </row>
    <row r="4" spans="1:6" x14ac:dyDescent="0.3">
      <c r="A4" s="21" t="s">
        <v>141</v>
      </c>
    </row>
    <row r="5" spans="1:6" x14ac:dyDescent="0.3">
      <c r="A5" s="23" t="s">
        <v>142</v>
      </c>
    </row>
    <row r="6" spans="1:6" x14ac:dyDescent="0.3">
      <c r="A6" s="23" t="s">
        <v>143</v>
      </c>
    </row>
    <row r="7" spans="1:6" x14ac:dyDescent="0.3">
      <c r="A7" s="23" t="s">
        <v>144</v>
      </c>
    </row>
    <row r="8" spans="1:6" x14ac:dyDescent="0.3">
      <c r="A8" s="23" t="s">
        <v>145</v>
      </c>
    </row>
    <row r="9" spans="1:6" x14ac:dyDescent="0.3">
      <c r="A9" s="23" t="s">
        <v>146</v>
      </c>
    </row>
    <row r="10" spans="1:6" x14ac:dyDescent="0.3">
      <c r="A10" s="23" t="s">
        <v>147</v>
      </c>
    </row>
    <row r="11" spans="1:6" x14ac:dyDescent="0.3">
      <c r="A11" s="23" t="s">
        <v>148</v>
      </c>
    </row>
    <row r="12" spans="1:6" x14ac:dyDescent="0.3">
      <c r="A12" s="23" t="s">
        <v>149</v>
      </c>
    </row>
    <row r="13" spans="1:6" x14ac:dyDescent="0.3">
      <c r="A13" s="23"/>
    </row>
    <row r="14" spans="1:6" ht="18" x14ac:dyDescent="0.3">
      <c r="A14" s="24" t="s">
        <v>150</v>
      </c>
    </row>
    <row r="15" spans="1:6" x14ac:dyDescent="0.3">
      <c r="A15" s="23" t="s">
        <v>151</v>
      </c>
    </row>
    <row r="16" spans="1:6" x14ac:dyDescent="0.3">
      <c r="A16" s="23" t="s">
        <v>152</v>
      </c>
    </row>
    <row r="17" spans="1:1" x14ac:dyDescent="0.3">
      <c r="A17" s="23" t="s">
        <v>153</v>
      </c>
    </row>
    <row r="18" spans="1:1" x14ac:dyDescent="0.3">
      <c r="A18" s="21"/>
    </row>
    <row r="19" spans="1:1" ht="21" x14ac:dyDescent="0.3">
      <c r="A19" s="22" t="s">
        <v>154</v>
      </c>
    </row>
    <row r="20" spans="1:1" x14ac:dyDescent="0.3">
      <c r="A20" s="21" t="s">
        <v>155</v>
      </c>
    </row>
    <row r="21" spans="1:1" x14ac:dyDescent="0.3">
      <c r="A21" s="23" t="s">
        <v>156</v>
      </c>
    </row>
    <row r="22" spans="1:1" x14ac:dyDescent="0.3">
      <c r="A22" s="23" t="s">
        <v>157</v>
      </c>
    </row>
    <row r="23" spans="1:1" x14ac:dyDescent="0.3">
      <c r="A23" s="23" t="s">
        <v>158</v>
      </c>
    </row>
    <row r="24" spans="1:1" x14ac:dyDescent="0.3">
      <c r="A24" s="23"/>
    </row>
    <row r="25" spans="1:1" ht="18" x14ac:dyDescent="0.3">
      <c r="A25" s="25" t="s">
        <v>150</v>
      </c>
    </row>
    <row r="26" spans="1:1" x14ac:dyDescent="0.3">
      <c r="A26" s="23" t="s">
        <v>159</v>
      </c>
    </row>
    <row r="27" spans="1:1" x14ac:dyDescent="0.3">
      <c r="A27" s="23" t="s">
        <v>160</v>
      </c>
    </row>
    <row r="28" spans="1:1" x14ac:dyDescent="0.3">
      <c r="A28" s="23" t="s">
        <v>161</v>
      </c>
    </row>
    <row r="29" spans="1:1" x14ac:dyDescent="0.3">
      <c r="A29" s="23" t="s">
        <v>162</v>
      </c>
    </row>
    <row r="30" spans="1:1" x14ac:dyDescent="0.3">
      <c r="A30" s="23" t="s">
        <v>163</v>
      </c>
    </row>
    <row r="31" spans="1:1" x14ac:dyDescent="0.3">
      <c r="A31" s="21"/>
    </row>
    <row r="32" spans="1:1" ht="23.4" x14ac:dyDescent="0.3">
      <c r="A32" s="26" t="s">
        <v>164</v>
      </c>
    </row>
    <row r="33" spans="1:2" x14ac:dyDescent="0.3">
      <c r="A33" s="27" t="s">
        <v>165</v>
      </c>
      <c r="B33" s="23"/>
    </row>
    <row r="34" spans="1:2" x14ac:dyDescent="0.3">
      <c r="A34" s="28" t="s">
        <v>166</v>
      </c>
      <c r="B34" s="27"/>
    </row>
    <row r="35" spans="1:2" x14ac:dyDescent="0.3">
      <c r="A35" s="29" t="s">
        <v>167</v>
      </c>
    </row>
    <row r="36" spans="1:2" x14ac:dyDescent="0.3">
      <c r="A36" s="29" t="s">
        <v>168</v>
      </c>
    </row>
    <row r="37" spans="1:2" x14ac:dyDescent="0.3">
      <c r="A37" s="23" t="s">
        <v>169</v>
      </c>
    </row>
    <row r="38" spans="1:2" ht="23.4" x14ac:dyDescent="0.3">
      <c r="A38" s="26"/>
    </row>
    <row r="39" spans="1:2" ht="18" x14ac:dyDescent="0.35">
      <c r="A39" s="30" t="s">
        <v>150</v>
      </c>
    </row>
    <row r="40" spans="1:2" x14ac:dyDescent="0.3">
      <c r="A40" s="29" t="s">
        <v>170</v>
      </c>
    </row>
    <row r="41" spans="1:2" x14ac:dyDescent="0.3">
      <c r="A41" s="29" t="s">
        <v>171</v>
      </c>
    </row>
    <row r="42" spans="1:2" x14ac:dyDescent="0.3">
      <c r="A42" s="29" t="s">
        <v>172</v>
      </c>
    </row>
    <row r="43" spans="1:2" x14ac:dyDescent="0.3">
      <c r="A43" s="29" t="s">
        <v>173</v>
      </c>
    </row>
    <row r="44" spans="1:2" x14ac:dyDescent="0.3">
      <c r="A44" s="29" t="s">
        <v>174</v>
      </c>
    </row>
    <row r="45" spans="1:2" x14ac:dyDescent="0.3">
      <c r="A45" s="21"/>
    </row>
    <row r="46" spans="1:2" ht="23.4" x14ac:dyDescent="0.3">
      <c r="A46" s="26"/>
    </row>
    <row r="47" spans="1:2" ht="23.4" x14ac:dyDescent="0.3">
      <c r="A47" s="31" t="s">
        <v>175</v>
      </c>
    </row>
    <row r="48" spans="1:2" x14ac:dyDescent="0.3">
      <c r="A48" s="27" t="s">
        <v>176</v>
      </c>
    </row>
    <row r="49" spans="1:1" x14ac:dyDescent="0.3">
      <c r="A49" s="23" t="s">
        <v>177</v>
      </c>
    </row>
    <row r="50" spans="1:1" x14ac:dyDescent="0.3">
      <c r="A50" s="23" t="s">
        <v>178</v>
      </c>
    </row>
    <row r="51" spans="1:1" x14ac:dyDescent="0.3">
      <c r="A51" s="23" t="s">
        <v>179</v>
      </c>
    </row>
    <row r="52" spans="1:1" x14ac:dyDescent="0.3">
      <c r="A52" s="23" t="s">
        <v>180</v>
      </c>
    </row>
    <row r="53" spans="1:1" x14ac:dyDescent="0.3">
      <c r="A53" s="23" t="s">
        <v>196</v>
      </c>
    </row>
    <row r="54" spans="1:1" x14ac:dyDescent="0.3">
      <c r="A54" s="23" t="s">
        <v>181</v>
      </c>
    </row>
    <row r="55" spans="1:1" x14ac:dyDescent="0.3">
      <c r="A55" s="23" t="s">
        <v>182</v>
      </c>
    </row>
    <row r="56" spans="1:1" x14ac:dyDescent="0.3">
      <c r="A56" s="23" t="s">
        <v>183</v>
      </c>
    </row>
    <row r="57" spans="1:1" x14ac:dyDescent="0.3">
      <c r="A57" s="23" t="s">
        <v>184</v>
      </c>
    </row>
    <row r="58" spans="1:1" x14ac:dyDescent="0.3">
      <c r="A58" s="23" t="s">
        <v>185</v>
      </c>
    </row>
    <row r="59" spans="1:1" x14ac:dyDescent="0.3">
      <c r="A59" s="23" t="s">
        <v>186</v>
      </c>
    </row>
    <row r="60" spans="1:1" x14ac:dyDescent="0.3">
      <c r="A60" s="21" t="s">
        <v>187</v>
      </c>
    </row>
    <row r="61" spans="1:1" x14ac:dyDescent="0.3">
      <c r="A61" s="32"/>
    </row>
    <row r="62" spans="1:1" ht="18" x14ac:dyDescent="0.3">
      <c r="A62" s="25" t="s">
        <v>188</v>
      </c>
    </row>
    <row r="63" spans="1:1" x14ac:dyDescent="0.3">
      <c r="A63" s="23" t="s">
        <v>189</v>
      </c>
    </row>
    <row r="64" spans="1:1" x14ac:dyDescent="0.3">
      <c r="A64" s="23" t="s">
        <v>190</v>
      </c>
    </row>
    <row r="65" spans="1:1" x14ac:dyDescent="0.3">
      <c r="A65" s="23" t="s">
        <v>191</v>
      </c>
    </row>
    <row r="66" spans="1:1" x14ac:dyDescent="0.3">
      <c r="A66" s="23" t="s">
        <v>192</v>
      </c>
    </row>
    <row r="67" spans="1:1" x14ac:dyDescent="0.3">
      <c r="A67" s="23" t="s">
        <v>193</v>
      </c>
    </row>
    <row r="68" spans="1:1" x14ac:dyDescent="0.3">
      <c r="A68" s="23" t="s">
        <v>194</v>
      </c>
    </row>
    <row r="69" spans="1:1" x14ac:dyDescent="0.3">
      <c r="A69" t="s">
        <v>195</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Consilidated Sheet</vt:lpstr>
      <vt:lpstr>Dashboard</vt:lpstr>
      <vt:lpstr>Inferences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Manasi Awasarkar</dc:creator>
  <cp:lastModifiedBy>Manasi Awasarkar</cp:lastModifiedBy>
  <dcterms:created xsi:type="dcterms:W3CDTF">2024-07-09T06:17:51Z</dcterms:created>
  <dcterms:modified xsi:type="dcterms:W3CDTF">2024-07-11T04:04:54Z</dcterms:modified>
</cp:coreProperties>
</file>